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Quality\QA\QMS DATABASE\QMS 2026\0. QMS Spreadsheets 2026\"/>
    </mc:Choice>
  </mc:AlternateContent>
  <xr:revisionPtr revIDLastSave="0" documentId="13_ncr:1_{87105018-591A-4E7B-937D-BB2DDF625021}" xr6:coauthVersionLast="47" xr6:coauthVersionMax="47" xr10:uidLastSave="{00000000-0000-0000-0000-000000000000}"/>
  <workbookProtection workbookAlgorithmName="SHA-512" workbookHashValue="t2jvEYiJz43JryweMFwwzWVTeIY450gsJ/2/jr6w02aMOVB2Dl0Ow5xrRp6JAyrDF57aRgZmYRwClkmPwGEFYQ==" workbookSaltValue="TxWDdI8yGuOEy+3AxBwpAQ==" workbookSpinCount="100000" lockStructure="1"/>
  <bookViews>
    <workbookView xWindow="28680" yWindow="-120" windowWidth="29040" windowHeight="15720" tabRatio="847" xr2:uid="{00000000-000D-0000-FFFF-FFFF00000000}"/>
  </bookViews>
  <sheets>
    <sheet name="OOS-OOT" sheetId="7" r:id="rId1"/>
  </sheets>
  <definedNames>
    <definedName name="_xlnm.Print_Titles" localSheetId="0">'OOS-OOT'!$1:$2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5" i="7" l="1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3" i="7"/>
  <c r="Q4" i="7"/>
  <c r="Q43" i="7" l="1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5" i="7" l="1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</calcChain>
</file>

<file path=xl/sharedStrings.xml><?xml version="1.0" encoding="utf-8"?>
<sst xmlns="http://schemas.openxmlformats.org/spreadsheetml/2006/main" count="98" uniqueCount="56">
  <si>
    <r>
      <t xml:space="preserve">Spreadsheet no:  </t>
    </r>
    <r>
      <rPr>
        <sz val="12"/>
        <rFont val="Arial"/>
        <family val="2"/>
      </rPr>
      <t>ES.CSV.017</t>
    </r>
    <r>
      <rPr>
        <sz val="12"/>
        <color theme="1"/>
        <rFont val="Arial"/>
        <family val="2"/>
      </rPr>
      <t xml:space="preserve">
OOS-OOT
Spreadsheet Owner: Omair Sattar
Ref. SOP: </t>
    </r>
    <r>
      <rPr>
        <sz val="12"/>
        <rFont val="Arial"/>
        <family val="2"/>
      </rPr>
      <t>ES.SOP.016</t>
    </r>
  </si>
  <si>
    <t>QMS DATA OOS-OOT, 
Version 1.0</t>
  </si>
  <si>
    <t>Lab Investigation Number</t>
  </si>
  <si>
    <t>Date Raised</t>
  </si>
  <si>
    <t xml:space="preserve">Raised by </t>
  </si>
  <si>
    <t>Responsible Person of Completion</t>
  </si>
  <si>
    <t>QA RP</t>
  </si>
  <si>
    <t>OOS / OOT</t>
  </si>
  <si>
    <t>Product Name</t>
  </si>
  <si>
    <t>Batch Reference</t>
  </si>
  <si>
    <t>Details of OOS / OOT</t>
  </si>
  <si>
    <t>Cause of OOS / OOT</t>
  </si>
  <si>
    <t>Reviewed By</t>
  </si>
  <si>
    <t>Phase 1a/1b Completed?</t>
  </si>
  <si>
    <t>Phase 2 Completed?</t>
  </si>
  <si>
    <t>Phase 3 Completed?</t>
  </si>
  <si>
    <t>Status</t>
  </si>
  <si>
    <t>Date Closed</t>
  </si>
  <si>
    <t>Days Taken</t>
  </si>
  <si>
    <t>Comments</t>
  </si>
  <si>
    <t>OOS.2026.001</t>
  </si>
  <si>
    <t>QC</t>
  </si>
  <si>
    <t>OOS</t>
  </si>
  <si>
    <t>Levomepromazine Maleate 3mg Tablets</t>
  </si>
  <si>
    <t>ES 177322</t>
  </si>
  <si>
    <t>Assay % Difference for Top Sample A &amp; B and Middle Sample A &amp; B more than 2%
	Assay  Top Sample B out of specification of 95.0-105.0% with the value of 105.7%.</t>
  </si>
  <si>
    <t>OOS.2026.002</t>
  </si>
  <si>
    <t>Levomepromazine Maleate 6mg Tablets</t>
  </si>
  <si>
    <t>ES 177811</t>
  </si>
  <si>
    <t>Assay Top Sample 1 and Assay Top Sample 2 - % RPD out of in-house specification of MNT2% with the result of 3.46%</t>
  </si>
  <si>
    <t>JNB</t>
  </si>
  <si>
    <t>MUA</t>
  </si>
  <si>
    <t>Yes</t>
  </si>
  <si>
    <t>Static on powder blend leading to incorrect weight being transferred into vial</t>
  </si>
  <si>
    <t>MR</t>
  </si>
  <si>
    <t>No</t>
  </si>
  <si>
    <t>Completed</t>
  </si>
  <si>
    <t>OOS.2026.003</t>
  </si>
  <si>
    <t>Incorrect overage amount stated on BMR. Mixing times on BMR was inadequate</t>
  </si>
  <si>
    <t>ES180725</t>
  </si>
  <si>
    <t>Assay for top and middle sample have a%RPD of 8.36 and 2.95 respectively</t>
  </si>
  <si>
    <t>OOS.2026.004</t>
  </si>
  <si>
    <t>Levomepromazine Maleate 3mg ES181485 PV1 Powder Blend
Assay is Out of specification for Middle Left Sample 1 with result of 106.647%, % RPD for Middle Left is 3.30%.
Also %RPD for Top Right is 5.50%
Assay Specification is 95.0% - 105.0%
%RPD in-house limit is ≤2%</t>
  </si>
  <si>
    <t>ES181485</t>
  </si>
  <si>
    <t>Inadequate or inconsistent manual hand shaking during initial blending stages</t>
  </si>
  <si>
    <t>OOS.2026.005</t>
  </si>
  <si>
    <t>MR/
MUA</t>
  </si>
  <si>
    <t xml:space="preserve">Midazolam (as HCl) 10mg/ml Buccal Solution </t>
  </si>
  <si>
    <t>ES184601</t>
  </si>
  <si>
    <t>Bulk and Finished product pH is out of specification of pH 2.9 -3.7 with the value of pH 3.77 for Bulk product and pH 3.81 for Finished product.</t>
  </si>
  <si>
    <t>Moisture uptake by excipients MCC and SSG</t>
  </si>
  <si>
    <t>Porous plug in electrode clogged with Xanthan Gum due to recent high frequency of Xanthan Gum batch testing</t>
  </si>
  <si>
    <t>OOS.2026.006</t>
  </si>
  <si>
    <t>ES186181</t>
  </si>
  <si>
    <t>Bulk product pH out of specification of 2.9 – 3.7 with the value of 3.78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</si>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</sst>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15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15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0">
    <dxf>
      <font>
        <b/>
        <i val="0"/>
        <color rgb="FF00B050"/>
      </font>
    </dxf>
    <dxf>
      <font>
        <b/>
        <i val="0"/>
        <color rgb="FFFF0000"/>
      </font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3B3B"/>
      </font>
      <fill>
        <patternFill>
          <bgColor rgb="FFFFB3B3"/>
        </patternFill>
      </fill>
    </dxf>
    <dxf>
      <font>
        <color theme="5"/>
      </font>
      <fill>
        <patternFill>
          <bgColor rgb="FFF8CDB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7030A0"/>
        </patternFill>
      </fill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center" vertical="center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ill>
        <gradientFill degree="90">
          <stop position="0">
            <color theme="5" tint="0.40000610370189521"/>
          </stop>
          <stop position="1">
            <color theme="5" tint="-0.25098422193060094"/>
          </stop>
        </gradient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9"/>
    </tableStyle>
  </tableStyles>
  <colors>
    <mruColors>
      <color rgb="FFF8CDB2"/>
      <color rgb="FFFF3B3B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2693339</xdr:colOff>
      <xdr:row>0</xdr:row>
      <xdr:rowOff>14624</xdr:rowOff>
    </xdr:from>
    <xdr:ext cx="959454" cy="1026584"/>
    <xdr:pic>
      <xdr:nvPicPr>
        <xdr:cNvPr id="2" name="Picture 1">
          <a:extLst>
            <a:ext uri="{FF2B5EF4-FFF2-40B4-BE49-F238E27FC236}">
              <a16:creationId xmlns:a16="http://schemas.microsoft.com/office/drawing/2014/main" id="{A56BED37-77A4-D4BE-5D01-153E178A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6430" y="14624"/>
          <a:ext cx="959454" cy="102658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2:R196" totalsRowShown="0" headerRowDxfId="28" dataDxfId="27" tableBorderDxfId="26">
  <autoFilter ref="A2:R196" xr:uid="{00000000-0009-0000-0100-000007000000}"/>
  <tableColumns count="18">
    <tableColumn id="1" xr3:uid="{00000000-0010-0000-0000-000001000000}" name="Lab Investigation Number" dataDxfId="25"/>
    <tableColumn id="2" xr3:uid="{00000000-0010-0000-0000-000002000000}" name="Date Raised" dataDxfId="24"/>
    <tableColumn id="14" xr3:uid="{00000000-0010-0000-0000-00000E000000}" name="Raised by " dataDxfId="23"/>
    <tableColumn id="13" xr3:uid="{00000000-0010-0000-0000-00000D000000}" name="Responsible Person of Completion" dataDxfId="22"/>
    <tableColumn id="7" xr3:uid="{00000000-0010-0000-0000-000007000000}" name="QA RP" dataDxfId="21"/>
    <tableColumn id="3" xr3:uid="{00000000-0010-0000-0000-000003000000}" name="OOS / OOT" dataDxfId="20"/>
    <tableColumn id="4" xr3:uid="{00000000-0010-0000-0000-000004000000}" name="Product Name" dataDxfId="19"/>
    <tableColumn id="5" xr3:uid="{00000000-0010-0000-0000-000005000000}" name="Batch Reference" dataDxfId="18"/>
    <tableColumn id="6" xr3:uid="{00000000-0010-0000-0000-000006000000}" name="Details of OOS / OOT" dataDxfId="17"/>
    <tableColumn id="12" xr3:uid="{00000000-0010-0000-0000-00000C000000}" name="Cause of OOS / OOT" dataDxfId="16"/>
    <tableColumn id="8" xr3:uid="{00000000-0010-0000-0000-000008000000}" name="Reviewed By" dataDxfId="15"/>
    <tableColumn id="18" xr3:uid="{00000000-0010-0000-0000-000012000000}" name="Phase 1a/1b Completed?" dataDxfId="14"/>
    <tableColumn id="17" xr3:uid="{00000000-0010-0000-0000-000011000000}" name="Phase 2 Completed?" dataDxfId="13"/>
    <tableColumn id="16" xr3:uid="{00000000-0010-0000-0000-000010000000}" name="Phase 3 Completed?" dataDxfId="12"/>
    <tableColumn id="9" xr3:uid="{00000000-0010-0000-0000-000009000000}" name="Status" dataDxfId="11"/>
    <tableColumn id="10" xr3:uid="{00000000-0010-0000-0000-00000A000000}" name="Date Closed" dataDxfId="10"/>
    <tableColumn id="15" xr3:uid="{00000000-0010-0000-0000-00000F000000}" name="Days Taken" dataDxfId="9">
      <calculatedColumnFormula>Table7[[#This Row],[Date Closed]]-Table7[[#This Row],[Date Raised]]</calculatedColumnFormula>
    </tableColumn>
    <tableColumn id="11" xr3:uid="{00000000-0010-0000-0000-00000B000000}" name="Comments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S196"/>
  <sheetViews>
    <sheetView tabSelected="1" zoomScale="80" zoomScaleNormal="80" workbookViewId="0">
      <pane xSplit="1" topLeftCell="B1" activePane="topRight" state="frozen"/>
      <selection pane="topRight" activeCell="A8" sqref="A8"/>
    </sheetView>
  </sheetViews>
  <sheetFormatPr defaultColWidth="0" defaultRowHeight="15" x14ac:dyDescent="0.25"/>
  <cols>
    <col min="1" max="1" width="21.5546875" style="1" customWidth="1"/>
    <col min="2" max="2" width="14.5546875" style="1" customWidth="1"/>
    <col min="3" max="3" width="12.109375" style="1" customWidth="1"/>
    <col min="4" max="4" width="16.6640625" style="5" customWidth="1"/>
    <col min="5" max="5" width="9" style="5" customWidth="1"/>
    <col min="6" max="6" width="15.6640625" style="1" customWidth="1"/>
    <col min="7" max="7" width="29.44140625" style="1" customWidth="1"/>
    <col min="8" max="8" width="16.33203125" style="1" customWidth="1"/>
    <col min="9" max="9" width="36.6640625" style="1" customWidth="1"/>
    <col min="10" max="10" width="40.88671875" style="1" customWidth="1"/>
    <col min="11" max="11" width="13.109375" style="1" customWidth="1"/>
    <col min="12" max="12" width="17.33203125" style="3" customWidth="1"/>
    <col min="13" max="13" width="17.109375" style="3" customWidth="1"/>
    <col min="14" max="14" width="17" style="3" customWidth="1"/>
    <col min="15" max="15" width="17" style="1" customWidth="1"/>
    <col min="16" max="16" width="14.6640625" style="1" customWidth="1"/>
    <col min="17" max="17" width="12.5546875" style="1" customWidth="1"/>
    <col min="18" max="18" width="53.88671875" style="1" customWidth="1"/>
    <col min="19" max="19" width="53.6640625" style="1" hidden="1" customWidth="1"/>
    <col min="20" max="16384" width="9.33203125" style="5" hidden="1"/>
  </cols>
  <sheetData>
    <row r="1" spans="1:19" s="14" customFormat="1" ht="85.5" customHeight="1" x14ac:dyDescent="0.3">
      <c r="A1" s="13" t="s">
        <v>0</v>
      </c>
      <c r="B1" s="13"/>
      <c r="C1" s="13"/>
      <c r="D1" s="13"/>
      <c r="E1" s="13"/>
      <c r="F1" s="13"/>
      <c r="G1" s="14" t="s">
        <v>1</v>
      </c>
    </row>
    <row r="2" spans="1:19" s="11" customFormat="1" ht="46.8" x14ac:dyDescent="0.3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</row>
    <row r="3" spans="1:19" ht="105" x14ac:dyDescent="0.25">
      <c r="A3" s="1" t="s">
        <v>20</v>
      </c>
      <c r="B3" s="2">
        <v>46036</v>
      </c>
      <c r="C3" s="1" t="s">
        <v>30</v>
      </c>
      <c r="D3" s="2" t="s">
        <v>21</v>
      </c>
      <c r="E3" s="2" t="s">
        <v>34</v>
      </c>
      <c r="F3" s="1" t="s">
        <v>22</v>
      </c>
      <c r="G3" s="3" t="s">
        <v>23</v>
      </c>
      <c r="H3" s="1" t="s">
        <v>24</v>
      </c>
      <c r="I3" s="3" t="s">
        <v>25</v>
      </c>
      <c r="J3" s="3" t="s">
        <v>38</v>
      </c>
      <c r="K3" s="1" t="s">
        <v>31</v>
      </c>
      <c r="L3" s="3" t="s">
        <v>32</v>
      </c>
      <c r="M3" s="3" t="s">
        <v>32</v>
      </c>
      <c r="O3" s="4" t="s">
        <v>36</v>
      </c>
      <c r="P3" s="2">
        <v>46069</v>
      </c>
      <c r="Q3" s="8">
        <f>Table7[[#This Row],[Date Closed]]-Table7[[#This Row],[Date Raised]]</f>
        <v>33</v>
      </c>
      <c r="S3" s="5"/>
    </row>
    <row r="4" spans="1:19" ht="60" x14ac:dyDescent="0.25">
      <c r="A4" s="1" t="s">
        <v>26</v>
      </c>
      <c r="B4" s="2">
        <v>46051</v>
      </c>
      <c r="C4" s="1" t="s">
        <v>30</v>
      </c>
      <c r="D4" s="2" t="s">
        <v>21</v>
      </c>
      <c r="E4" s="2" t="s">
        <v>34</v>
      </c>
      <c r="F4" s="1" t="s">
        <v>22</v>
      </c>
      <c r="G4" s="3" t="s">
        <v>27</v>
      </c>
      <c r="H4" s="1" t="s">
        <v>28</v>
      </c>
      <c r="I4" s="3" t="s">
        <v>29</v>
      </c>
      <c r="J4" s="3" t="s">
        <v>33</v>
      </c>
      <c r="K4" s="1" t="s">
        <v>34</v>
      </c>
      <c r="L4" s="3" t="s">
        <v>32</v>
      </c>
      <c r="M4" s="3" t="s">
        <v>35</v>
      </c>
      <c r="N4" s="3" t="s">
        <v>35</v>
      </c>
      <c r="O4" s="4" t="s">
        <v>36</v>
      </c>
      <c r="P4" s="2">
        <v>46052</v>
      </c>
      <c r="Q4" s="8">
        <f>Table7[[#This Row],[Date Closed]]-Table7[[#This Row],[Date Raised]]</f>
        <v>1</v>
      </c>
      <c r="S4" s="5"/>
    </row>
    <row r="5" spans="1:19" ht="45" x14ac:dyDescent="0.25">
      <c r="A5" s="1" t="s">
        <v>37</v>
      </c>
      <c r="B5" s="2">
        <v>46127</v>
      </c>
      <c r="C5" s="1" t="s">
        <v>30</v>
      </c>
      <c r="D5" s="2" t="s">
        <v>21</v>
      </c>
      <c r="E5" s="2" t="s">
        <v>31</v>
      </c>
      <c r="F5" s="1" t="s">
        <v>22</v>
      </c>
      <c r="G5" s="3" t="s">
        <v>27</v>
      </c>
      <c r="H5" s="1" t="s">
        <v>39</v>
      </c>
      <c r="I5" s="3" t="s">
        <v>40</v>
      </c>
      <c r="J5" s="3" t="s">
        <v>44</v>
      </c>
      <c r="K5" s="1" t="s">
        <v>31</v>
      </c>
      <c r="L5" s="3" t="s">
        <v>32</v>
      </c>
      <c r="M5" s="3" t="s">
        <v>32</v>
      </c>
      <c r="N5" s="3" t="s">
        <v>32</v>
      </c>
      <c r="O5" s="4" t="s">
        <v>36</v>
      </c>
      <c r="P5" s="2">
        <v>46139</v>
      </c>
      <c r="Q5" s="8">
        <f>Table7[[#This Row],[Date Closed]]-Table7[[#This Row],[Date Raised]]</f>
        <v>12</v>
      </c>
      <c r="S5" s="5"/>
    </row>
    <row r="6" spans="1:19" ht="180" x14ac:dyDescent="0.25">
      <c r="A6" s="1" t="s">
        <v>41</v>
      </c>
      <c r="B6" s="2">
        <v>46143</v>
      </c>
      <c r="C6" s="1" t="s">
        <v>30</v>
      </c>
      <c r="D6" s="2" t="s">
        <v>21</v>
      </c>
      <c r="E6" s="2" t="s">
        <v>34</v>
      </c>
      <c r="F6" s="1" t="s">
        <v>22</v>
      </c>
      <c r="G6" s="3" t="s">
        <v>23</v>
      </c>
      <c r="H6" s="1" t="s">
        <v>43</v>
      </c>
      <c r="I6" s="3" t="s">
        <v>42</v>
      </c>
      <c r="J6" s="3" t="s">
        <v>50</v>
      </c>
      <c r="K6" s="1" t="s">
        <v>31</v>
      </c>
      <c r="L6" s="3" t="s">
        <v>32</v>
      </c>
      <c r="M6" s="3" t="s">
        <v>32</v>
      </c>
      <c r="N6" s="3" t="s">
        <v>32</v>
      </c>
      <c r="O6" s="4" t="s">
        <v>36</v>
      </c>
      <c r="P6" s="2">
        <v>46233</v>
      </c>
      <c r="Q6" s="8">
        <f>Table7[[#This Row],[Date Closed]]-Table7[[#This Row],[Date Raised]]</f>
        <v>90</v>
      </c>
      <c r="S6" s="5"/>
    </row>
    <row r="7" spans="1:19" ht="75" x14ac:dyDescent="0.25">
      <c r="A7" s="1" t="s">
        <v>45</v>
      </c>
      <c r="B7" s="2">
        <v>46220</v>
      </c>
      <c r="C7" s="1" t="s">
        <v>30</v>
      </c>
      <c r="D7" s="2" t="s">
        <v>21</v>
      </c>
      <c r="E7" s="12" t="s">
        <v>46</v>
      </c>
      <c r="F7" s="1" t="s">
        <v>22</v>
      </c>
      <c r="G7" s="3" t="s">
        <v>47</v>
      </c>
      <c r="H7" s="1" t="s">
        <v>48</v>
      </c>
      <c r="I7" s="3" t="s">
        <v>49</v>
      </c>
      <c r="J7" s="3" t="s">
        <v>51</v>
      </c>
      <c r="K7" s="1" t="s">
        <v>34</v>
      </c>
      <c r="L7" s="3" t="s">
        <v>32</v>
      </c>
      <c r="M7" s="3" t="s">
        <v>35</v>
      </c>
      <c r="N7" s="3" t="s">
        <v>35</v>
      </c>
      <c r="O7" s="4" t="s">
        <v>36</v>
      </c>
      <c r="P7" s="2">
        <v>46231</v>
      </c>
      <c r="Q7" s="8">
        <f>Table7[[#This Row],[Date Closed]]-Table7[[#This Row],[Date Raised]]</f>
        <v>11</v>
      </c>
      <c r="S7" s="5"/>
    </row>
    <row r="8" spans="1:19" ht="30" x14ac:dyDescent="0.25">
      <c r="A8" s="1" t="s">
        <v>52</v>
      </c>
      <c r="B8" s="2">
        <v>46266</v>
      </c>
      <c r="C8" s="1" t="s">
        <v>30</v>
      </c>
      <c r="D8" s="2" t="s">
        <v>21</v>
      </c>
      <c r="E8" s="2" t="s">
        <v>34</v>
      </c>
      <c r="F8" s="1" t="s">
        <v>22</v>
      </c>
      <c r="G8" s="3" t="s">
        <v>47</v>
      </c>
      <c r="H8" s="1" t="s">
        <v>53</v>
      </c>
      <c r="I8" s="3" t="s">
        <v>54</v>
      </c>
      <c r="J8" s="3"/>
      <c r="O8" s="4" t="s">
        <v>55</v>
      </c>
      <c r="P8" s="2"/>
      <c r="Q8" s="8">
        <f>Table7[[#This Row],[Date Closed]]-Table7[[#This Row],[Date Raised]]</f>
        <v>-46266</v>
      </c>
      <c r="S8" s="5"/>
    </row>
    <row r="9" spans="1:19" ht="15.6" x14ac:dyDescent="0.25">
      <c r="B9" s="2"/>
      <c r="D9" s="2"/>
      <c r="E9" s="2"/>
      <c r="G9" s="3"/>
      <c r="I9" s="3"/>
      <c r="J9" s="3"/>
      <c r="O9" s="4"/>
      <c r="P9" s="2"/>
      <c r="Q9" s="8">
        <f>Table7[[#This Row],[Date Closed]]-Table7[[#This Row],[Date Raised]]</f>
        <v>0</v>
      </c>
      <c r="S9" s="5"/>
    </row>
    <row r="10" spans="1:19" ht="15.6" x14ac:dyDescent="0.25">
      <c r="B10" s="2"/>
      <c r="D10" s="2"/>
      <c r="E10" s="2"/>
      <c r="G10" s="3"/>
      <c r="I10" s="3"/>
      <c r="J10" s="3"/>
      <c r="O10" s="4"/>
      <c r="P10" s="2"/>
      <c r="Q10" s="8">
        <f>Table7[[#This Row],[Date Closed]]-Table7[[#This Row],[Date Raised]]</f>
        <v>0</v>
      </c>
      <c r="S10" s="5"/>
    </row>
    <row r="11" spans="1:19" ht="15.6" x14ac:dyDescent="0.25">
      <c r="B11" s="2"/>
      <c r="D11" s="2"/>
      <c r="E11" s="2"/>
      <c r="G11" s="3"/>
      <c r="I11" s="3"/>
      <c r="J11" s="3"/>
      <c r="O11" s="4"/>
      <c r="P11" s="2"/>
      <c r="Q11" s="8">
        <f>Table7[[#This Row],[Date Closed]]-Table7[[#This Row],[Date Raised]]</f>
        <v>0</v>
      </c>
      <c r="S11" s="5"/>
    </row>
    <row r="12" spans="1:19" ht="15.6" x14ac:dyDescent="0.25">
      <c r="B12" s="2"/>
      <c r="D12" s="2"/>
      <c r="E12" s="2"/>
      <c r="G12" s="3"/>
      <c r="I12" s="3"/>
      <c r="J12" s="3"/>
      <c r="O12" s="4"/>
      <c r="P12" s="2"/>
      <c r="Q12" s="8">
        <f>Table7[[#This Row],[Date Closed]]-Table7[[#This Row],[Date Raised]]</f>
        <v>0</v>
      </c>
      <c r="S12" s="5"/>
    </row>
    <row r="13" spans="1:19" ht="15.6" x14ac:dyDescent="0.25">
      <c r="B13" s="2"/>
      <c r="D13" s="2"/>
      <c r="E13" s="2"/>
      <c r="G13" s="3"/>
      <c r="I13" s="3"/>
      <c r="J13" s="3"/>
      <c r="O13" s="4"/>
      <c r="P13" s="2"/>
      <c r="Q13" s="8">
        <f>Table7[[#This Row],[Date Closed]]-Table7[[#This Row],[Date Raised]]</f>
        <v>0</v>
      </c>
      <c r="S13" s="5"/>
    </row>
    <row r="14" spans="1:19" s="6" customFormat="1" ht="15.6" x14ac:dyDescent="0.25">
      <c r="A14" s="1"/>
      <c r="B14" s="2"/>
      <c r="C14" s="1"/>
      <c r="D14" s="2"/>
      <c r="E14" s="2"/>
      <c r="F14" s="1"/>
      <c r="G14" s="3"/>
      <c r="H14" s="1"/>
      <c r="I14" s="3"/>
      <c r="J14" s="3"/>
      <c r="K14" s="1"/>
      <c r="L14" s="3"/>
      <c r="M14" s="3"/>
      <c r="N14" s="3"/>
      <c r="O14" s="4"/>
      <c r="P14" s="2"/>
      <c r="Q14" s="8">
        <f>Table7[[#This Row],[Date Closed]]-Table7[[#This Row],[Date Raised]]</f>
        <v>0</v>
      </c>
      <c r="R14" s="1"/>
    </row>
    <row r="15" spans="1:19" ht="15.6" x14ac:dyDescent="0.25">
      <c r="B15" s="2"/>
      <c r="D15" s="2"/>
      <c r="E15" s="2"/>
      <c r="G15" s="3"/>
      <c r="I15" s="3"/>
      <c r="J15" s="3"/>
      <c r="O15" s="4"/>
      <c r="P15" s="2"/>
      <c r="Q15" s="8">
        <f>Table7[[#This Row],[Date Closed]]-Table7[[#This Row],[Date Raised]]</f>
        <v>0</v>
      </c>
      <c r="S15" s="5"/>
    </row>
    <row r="16" spans="1:19" ht="15.6" x14ac:dyDescent="0.25">
      <c r="B16" s="2"/>
      <c r="D16" s="2"/>
      <c r="E16" s="2"/>
      <c r="G16" s="3"/>
      <c r="I16" s="3"/>
      <c r="J16" s="3"/>
      <c r="O16" s="4"/>
      <c r="P16" s="2"/>
      <c r="Q16" s="8">
        <f>Table7[[#This Row],[Date Closed]]-Table7[[#This Row],[Date Raised]]</f>
        <v>0</v>
      </c>
      <c r="S16" s="5"/>
    </row>
    <row r="17" spans="1:19" ht="15.6" x14ac:dyDescent="0.25">
      <c r="B17" s="2"/>
      <c r="D17" s="2"/>
      <c r="E17" s="2"/>
      <c r="G17" s="3"/>
      <c r="I17" s="3"/>
      <c r="J17" s="3"/>
      <c r="O17" s="4"/>
      <c r="P17" s="2"/>
      <c r="Q17" s="8">
        <f>Table7[[#This Row],[Date Closed]]-Table7[[#This Row],[Date Raised]]</f>
        <v>0</v>
      </c>
      <c r="S17" s="5"/>
    </row>
    <row r="18" spans="1:19" ht="15.6" x14ac:dyDescent="0.25">
      <c r="B18" s="2"/>
      <c r="D18" s="2"/>
      <c r="E18" s="2"/>
      <c r="G18" s="3"/>
      <c r="I18" s="3"/>
      <c r="J18" s="3"/>
      <c r="O18" s="4"/>
      <c r="P18" s="2"/>
      <c r="Q18" s="8">
        <f>Table7[[#This Row],[Date Closed]]-Table7[[#This Row],[Date Raised]]</f>
        <v>0</v>
      </c>
      <c r="S18" s="5"/>
    </row>
    <row r="19" spans="1:19" ht="15.6" x14ac:dyDescent="0.25">
      <c r="B19" s="2"/>
      <c r="D19" s="2"/>
      <c r="E19" s="2"/>
      <c r="G19" s="3"/>
      <c r="I19" s="3"/>
      <c r="J19" s="3"/>
      <c r="O19" s="4"/>
      <c r="P19" s="2"/>
      <c r="Q19" s="8">
        <f>Table7[[#This Row],[Date Closed]]-Table7[[#This Row],[Date Raised]]</f>
        <v>0</v>
      </c>
      <c r="S19" s="5"/>
    </row>
    <row r="20" spans="1:19" s="7" customFormat="1" ht="15.6" x14ac:dyDescent="0.25">
      <c r="A20" s="1"/>
      <c r="B20" s="2"/>
      <c r="C20" s="1"/>
      <c r="D20" s="2"/>
      <c r="E20" s="2"/>
      <c r="F20" s="1"/>
      <c r="G20" s="3"/>
      <c r="H20" s="1"/>
      <c r="I20" s="3"/>
      <c r="J20" s="3"/>
      <c r="K20" s="1"/>
      <c r="L20" s="3"/>
      <c r="M20" s="3"/>
      <c r="N20" s="3"/>
      <c r="O20" s="4"/>
      <c r="P20" s="2"/>
      <c r="Q20" s="9">
        <f>Table7[[#This Row],[Date Closed]]-Table7[[#This Row],[Date Raised]]</f>
        <v>0</v>
      </c>
      <c r="R20" s="1"/>
    </row>
    <row r="21" spans="1:19" ht="15.6" x14ac:dyDescent="0.25">
      <c r="B21" s="2"/>
      <c r="D21" s="2"/>
      <c r="E21" s="2"/>
      <c r="G21" s="3"/>
      <c r="I21" s="3"/>
      <c r="J21" s="3"/>
      <c r="O21" s="4"/>
      <c r="P21" s="2"/>
      <c r="Q21" s="8">
        <f>Table7[[#This Row],[Date Closed]]-Table7[[#This Row],[Date Raised]]</f>
        <v>0</v>
      </c>
      <c r="S21" s="5"/>
    </row>
    <row r="22" spans="1:19" ht="15.6" x14ac:dyDescent="0.25">
      <c r="B22" s="2"/>
      <c r="D22" s="2"/>
      <c r="E22" s="2"/>
      <c r="G22" s="3"/>
      <c r="I22" s="3"/>
      <c r="J22" s="3"/>
      <c r="O22" s="4"/>
      <c r="P22" s="2"/>
      <c r="Q22" s="8">
        <f>Table7[[#This Row],[Date Closed]]-Table7[[#This Row],[Date Raised]]</f>
        <v>0</v>
      </c>
      <c r="S22" s="5"/>
    </row>
    <row r="23" spans="1:19" ht="15.6" x14ac:dyDescent="0.25">
      <c r="B23" s="2"/>
      <c r="D23" s="2"/>
      <c r="E23" s="2"/>
      <c r="G23" s="3"/>
      <c r="I23" s="3"/>
      <c r="J23" s="3"/>
      <c r="O23" s="4"/>
      <c r="P23" s="2"/>
      <c r="Q23" s="8">
        <f>Table7[[#This Row],[Date Closed]]-Table7[[#This Row],[Date Raised]]</f>
        <v>0</v>
      </c>
      <c r="S23" s="5"/>
    </row>
    <row r="24" spans="1:19" ht="15.6" x14ac:dyDescent="0.25">
      <c r="B24" s="2"/>
      <c r="D24" s="2"/>
      <c r="E24" s="2"/>
      <c r="G24" s="3"/>
      <c r="I24" s="3"/>
      <c r="J24" s="3"/>
      <c r="O24" s="4"/>
      <c r="P24" s="2"/>
      <c r="Q24" s="8">
        <f>Table7[[#This Row],[Date Closed]]-Table7[[#This Row],[Date Raised]]</f>
        <v>0</v>
      </c>
      <c r="S24" s="5"/>
    </row>
    <row r="25" spans="1:19" ht="15.6" x14ac:dyDescent="0.25">
      <c r="B25" s="2"/>
      <c r="D25" s="2"/>
      <c r="E25" s="2"/>
      <c r="G25" s="3"/>
      <c r="I25" s="3"/>
      <c r="J25" s="3"/>
      <c r="O25" s="4"/>
      <c r="P25" s="2"/>
      <c r="Q25" s="8">
        <f>Table7[[#This Row],[Date Closed]]-Table7[[#This Row],[Date Raised]]</f>
        <v>0</v>
      </c>
      <c r="S25" s="5"/>
    </row>
    <row r="26" spans="1:19" ht="15.6" x14ac:dyDescent="0.25">
      <c r="B26" s="2"/>
      <c r="D26" s="2"/>
      <c r="E26" s="2"/>
      <c r="G26" s="3"/>
      <c r="I26" s="3"/>
      <c r="J26" s="3"/>
      <c r="O26" s="4"/>
      <c r="P26" s="2"/>
      <c r="Q26" s="8">
        <f>Table7[[#This Row],[Date Closed]]-Table7[[#This Row],[Date Raised]]</f>
        <v>0</v>
      </c>
      <c r="S26" s="5"/>
    </row>
    <row r="27" spans="1:19" ht="15.6" x14ac:dyDescent="0.25">
      <c r="B27" s="2"/>
      <c r="D27" s="2"/>
      <c r="E27" s="2"/>
      <c r="G27" s="3"/>
      <c r="I27" s="3"/>
      <c r="J27" s="3"/>
      <c r="O27" s="4"/>
      <c r="P27" s="2"/>
      <c r="Q27" s="8">
        <f>Table7[[#This Row],[Date Closed]]-Table7[[#This Row],[Date Raised]]</f>
        <v>0</v>
      </c>
      <c r="S27" s="5"/>
    </row>
    <row r="28" spans="1:19" ht="15.6" x14ac:dyDescent="0.25">
      <c r="B28" s="2"/>
      <c r="D28" s="2"/>
      <c r="E28" s="2"/>
      <c r="G28" s="3"/>
      <c r="I28" s="3"/>
      <c r="J28" s="3"/>
      <c r="O28" s="4"/>
      <c r="P28" s="2"/>
      <c r="Q28" s="8">
        <f>Table7[[#This Row],[Date Closed]]-Table7[[#This Row],[Date Raised]]</f>
        <v>0</v>
      </c>
      <c r="S28" s="5"/>
    </row>
    <row r="29" spans="1:19" ht="15.6" x14ac:dyDescent="0.25">
      <c r="B29" s="2"/>
      <c r="D29" s="2"/>
      <c r="E29" s="2"/>
      <c r="G29" s="3"/>
      <c r="I29" s="3"/>
      <c r="J29" s="3"/>
      <c r="O29" s="4"/>
      <c r="P29" s="2"/>
      <c r="Q29" s="8">
        <f>Table7[[#This Row],[Date Closed]]-Table7[[#This Row],[Date Raised]]</f>
        <v>0</v>
      </c>
      <c r="S29" s="5"/>
    </row>
    <row r="30" spans="1:19" ht="15.6" x14ac:dyDescent="0.25">
      <c r="B30" s="2"/>
      <c r="D30" s="2"/>
      <c r="E30" s="2"/>
      <c r="G30" s="3"/>
      <c r="I30" s="3"/>
      <c r="J30" s="3"/>
      <c r="O30" s="4"/>
      <c r="P30" s="2"/>
      <c r="Q30" s="8">
        <f>Table7[[#This Row],[Date Closed]]-Table7[[#This Row],[Date Raised]]</f>
        <v>0</v>
      </c>
      <c r="S30" s="5"/>
    </row>
    <row r="31" spans="1:19" ht="15.6" x14ac:dyDescent="0.25">
      <c r="B31" s="2"/>
      <c r="D31" s="2"/>
      <c r="E31" s="2"/>
      <c r="G31" s="3"/>
      <c r="I31" s="3"/>
      <c r="J31" s="3"/>
      <c r="O31" s="4"/>
      <c r="P31" s="2"/>
      <c r="Q31" s="8">
        <f>Table7[[#This Row],[Date Closed]]-Table7[[#This Row],[Date Raised]]</f>
        <v>0</v>
      </c>
      <c r="S31" s="5"/>
    </row>
    <row r="32" spans="1:19" ht="15.6" x14ac:dyDescent="0.25">
      <c r="B32" s="2"/>
      <c r="D32" s="2"/>
      <c r="E32" s="2"/>
      <c r="G32" s="3"/>
      <c r="I32" s="3"/>
      <c r="J32" s="3"/>
      <c r="O32" s="4"/>
      <c r="P32" s="2"/>
      <c r="Q32" s="8">
        <f>Table7[[#This Row],[Date Closed]]-Table7[[#This Row],[Date Raised]]</f>
        <v>0</v>
      </c>
      <c r="S32" s="5"/>
    </row>
    <row r="33" spans="2:19" ht="15.6" x14ac:dyDescent="0.25">
      <c r="B33" s="2"/>
      <c r="D33" s="2"/>
      <c r="E33" s="2"/>
      <c r="G33" s="3"/>
      <c r="I33" s="3"/>
      <c r="J33" s="3"/>
      <c r="O33" s="4"/>
      <c r="P33" s="2"/>
      <c r="Q33" s="8">
        <f>Table7[[#This Row],[Date Closed]]-Table7[[#This Row],[Date Raised]]</f>
        <v>0</v>
      </c>
      <c r="S33" s="5"/>
    </row>
    <row r="34" spans="2:19" ht="15.6" x14ac:dyDescent="0.25">
      <c r="B34" s="2"/>
      <c r="D34" s="2"/>
      <c r="E34" s="2"/>
      <c r="G34" s="3"/>
      <c r="I34" s="3"/>
      <c r="J34" s="3"/>
      <c r="O34" s="4"/>
      <c r="P34" s="2"/>
      <c r="Q34" s="8">
        <f>Table7[[#This Row],[Date Closed]]-Table7[[#This Row],[Date Raised]]</f>
        <v>0</v>
      </c>
      <c r="S34" s="5"/>
    </row>
    <row r="35" spans="2:19" ht="15.6" x14ac:dyDescent="0.25">
      <c r="B35" s="2"/>
      <c r="D35" s="2"/>
      <c r="E35" s="2"/>
      <c r="G35" s="3"/>
      <c r="I35" s="3"/>
      <c r="J35" s="3"/>
      <c r="O35" s="4"/>
      <c r="P35" s="2"/>
      <c r="Q35" s="8">
        <f>Table7[[#This Row],[Date Closed]]-Table7[[#This Row],[Date Raised]]</f>
        <v>0</v>
      </c>
      <c r="S35" s="5"/>
    </row>
    <row r="36" spans="2:19" ht="15.6" x14ac:dyDescent="0.25">
      <c r="B36" s="2"/>
      <c r="D36" s="2"/>
      <c r="E36" s="2"/>
      <c r="G36" s="3"/>
      <c r="I36" s="3"/>
      <c r="J36" s="3"/>
      <c r="O36" s="4"/>
      <c r="P36" s="2"/>
      <c r="Q36" s="8">
        <f>Table7[[#This Row],[Date Closed]]-Table7[[#This Row],[Date Raised]]</f>
        <v>0</v>
      </c>
      <c r="S36" s="5"/>
    </row>
    <row r="37" spans="2:19" ht="15.6" x14ac:dyDescent="0.25">
      <c r="B37" s="2"/>
      <c r="D37" s="2"/>
      <c r="E37" s="2"/>
      <c r="G37" s="3"/>
      <c r="I37" s="3"/>
      <c r="J37" s="3"/>
      <c r="O37" s="4"/>
      <c r="P37" s="2"/>
      <c r="Q37" s="8">
        <f>Table7[[#This Row],[Date Closed]]-Table7[[#This Row],[Date Raised]]</f>
        <v>0</v>
      </c>
      <c r="S37" s="5"/>
    </row>
    <row r="38" spans="2:19" ht="15.6" x14ac:dyDescent="0.25">
      <c r="B38" s="2"/>
      <c r="D38" s="2"/>
      <c r="E38" s="2"/>
      <c r="G38" s="3"/>
      <c r="I38" s="3"/>
      <c r="J38" s="3"/>
      <c r="O38" s="4"/>
      <c r="P38" s="2"/>
      <c r="Q38" s="8">
        <f>Table7[[#This Row],[Date Closed]]-Table7[[#This Row],[Date Raised]]</f>
        <v>0</v>
      </c>
      <c r="S38" s="5"/>
    </row>
    <row r="39" spans="2:19" ht="15.6" x14ac:dyDescent="0.25">
      <c r="B39" s="2"/>
      <c r="D39" s="2"/>
      <c r="E39" s="2"/>
      <c r="G39" s="3"/>
      <c r="I39" s="3"/>
      <c r="J39" s="3"/>
      <c r="O39" s="4"/>
      <c r="P39" s="2"/>
      <c r="Q39" s="8">
        <f>Table7[[#This Row],[Date Closed]]-Table7[[#This Row],[Date Raised]]</f>
        <v>0</v>
      </c>
      <c r="S39" s="5"/>
    </row>
    <row r="40" spans="2:19" ht="15.6" x14ac:dyDescent="0.25">
      <c r="B40" s="2"/>
      <c r="D40" s="2"/>
      <c r="E40" s="2"/>
      <c r="G40" s="3"/>
      <c r="I40" s="3"/>
      <c r="J40" s="3"/>
      <c r="O40" s="4"/>
      <c r="P40" s="2"/>
      <c r="Q40" s="8">
        <f>Table7[[#This Row],[Date Closed]]-Table7[[#This Row],[Date Raised]]</f>
        <v>0</v>
      </c>
      <c r="S40" s="5"/>
    </row>
    <row r="41" spans="2:19" ht="15.6" x14ac:dyDescent="0.25">
      <c r="B41" s="2"/>
      <c r="D41" s="2"/>
      <c r="E41" s="2"/>
      <c r="G41" s="3"/>
      <c r="I41" s="3"/>
      <c r="J41" s="3"/>
      <c r="O41" s="4"/>
      <c r="P41" s="2"/>
      <c r="Q41" s="8">
        <f>Table7[[#This Row],[Date Closed]]-Table7[[#This Row],[Date Raised]]</f>
        <v>0</v>
      </c>
      <c r="S41" s="5"/>
    </row>
    <row r="42" spans="2:19" ht="15.6" x14ac:dyDescent="0.25">
      <c r="B42" s="2"/>
      <c r="D42" s="2"/>
      <c r="E42" s="2"/>
      <c r="G42" s="3"/>
      <c r="I42" s="3"/>
      <c r="J42" s="3"/>
      <c r="O42" s="4"/>
      <c r="P42" s="2"/>
      <c r="Q42" s="8">
        <f>Table7[[#This Row],[Date Closed]]-Table7[[#This Row],[Date Raised]]</f>
        <v>0</v>
      </c>
      <c r="S42" s="5"/>
    </row>
    <row r="43" spans="2:19" ht="15.6" x14ac:dyDescent="0.25">
      <c r="B43" s="2"/>
      <c r="D43" s="2"/>
      <c r="E43" s="2"/>
      <c r="G43" s="3"/>
      <c r="I43" s="3"/>
      <c r="J43" s="3"/>
      <c r="O43" s="4"/>
      <c r="P43" s="2"/>
      <c r="Q43" s="8">
        <f>Table7[[#This Row],[Date Closed]]-Table7[[#This Row],[Date Raised]]</f>
        <v>0</v>
      </c>
    </row>
    <row r="44" spans="2:19" ht="15.6" x14ac:dyDescent="0.25">
      <c r="B44" s="2"/>
      <c r="D44" s="2"/>
      <c r="E44" s="2"/>
      <c r="G44" s="3"/>
      <c r="I44" s="3"/>
      <c r="J44" s="3"/>
      <c r="O44" s="4"/>
      <c r="P44" s="2"/>
      <c r="Q44" s="8">
        <f>Table7[[#This Row],[Date Closed]]-Table7[[#This Row],[Date Raised]]</f>
        <v>0</v>
      </c>
    </row>
    <row r="45" spans="2:19" ht="15.6" x14ac:dyDescent="0.25">
      <c r="B45" s="2"/>
      <c r="D45" s="2"/>
      <c r="E45" s="2"/>
      <c r="G45" s="3"/>
      <c r="I45" s="3"/>
      <c r="J45" s="3"/>
      <c r="O45" s="4"/>
      <c r="P45" s="2"/>
      <c r="Q45" s="8">
        <f>Table7[[#This Row],[Date Closed]]-Table7[[#This Row],[Date Raised]]</f>
        <v>0</v>
      </c>
    </row>
    <row r="46" spans="2:19" ht="15.6" x14ac:dyDescent="0.25">
      <c r="B46" s="2"/>
      <c r="D46" s="2"/>
      <c r="E46" s="2"/>
      <c r="G46" s="3"/>
      <c r="I46" s="3"/>
      <c r="J46" s="3"/>
      <c r="O46" s="4"/>
      <c r="P46" s="2"/>
      <c r="Q46" s="8">
        <f>Table7[[#This Row],[Date Closed]]-Table7[[#This Row],[Date Raised]]</f>
        <v>0</v>
      </c>
    </row>
    <row r="47" spans="2:19" ht="15.6" x14ac:dyDescent="0.25">
      <c r="B47" s="2"/>
      <c r="D47" s="2"/>
      <c r="E47" s="2"/>
      <c r="G47" s="3"/>
      <c r="I47" s="3"/>
      <c r="J47" s="3"/>
      <c r="O47" s="4"/>
      <c r="P47" s="2"/>
      <c r="Q47" s="8">
        <f>Table7[[#This Row],[Date Closed]]-Table7[[#This Row],[Date Raised]]</f>
        <v>0</v>
      </c>
    </row>
    <row r="48" spans="2:19" ht="15.6" x14ac:dyDescent="0.25">
      <c r="B48" s="2"/>
      <c r="D48" s="2"/>
      <c r="E48" s="2"/>
      <c r="G48" s="3"/>
      <c r="I48" s="3"/>
      <c r="J48" s="3"/>
      <c r="O48" s="4"/>
      <c r="P48" s="2"/>
      <c r="Q48" s="8">
        <f>Table7[[#This Row],[Date Closed]]-Table7[[#This Row],[Date Raised]]</f>
        <v>0</v>
      </c>
    </row>
    <row r="49" spans="2:17" ht="15.6" x14ac:dyDescent="0.25">
      <c r="B49" s="2"/>
      <c r="D49" s="2"/>
      <c r="E49" s="2"/>
      <c r="G49" s="3"/>
      <c r="I49" s="3"/>
      <c r="J49" s="3"/>
      <c r="O49" s="4"/>
      <c r="P49" s="2"/>
      <c r="Q49" s="8">
        <f>Table7[[#This Row],[Date Closed]]-Table7[[#This Row],[Date Raised]]</f>
        <v>0</v>
      </c>
    </row>
    <row r="50" spans="2:17" ht="15.6" x14ac:dyDescent="0.25">
      <c r="B50" s="2"/>
      <c r="D50" s="2"/>
      <c r="E50" s="2"/>
      <c r="G50" s="3"/>
      <c r="I50" s="3"/>
      <c r="J50" s="3"/>
      <c r="O50" s="4"/>
      <c r="P50" s="2"/>
      <c r="Q50" s="8">
        <f>Table7[[#This Row],[Date Closed]]-Table7[[#This Row],[Date Raised]]</f>
        <v>0</v>
      </c>
    </row>
    <row r="51" spans="2:17" ht="15.6" x14ac:dyDescent="0.25">
      <c r="B51" s="2"/>
      <c r="D51" s="2"/>
      <c r="E51" s="2"/>
      <c r="G51" s="3"/>
      <c r="I51" s="3"/>
      <c r="J51" s="3"/>
      <c r="O51" s="4"/>
      <c r="P51" s="2"/>
      <c r="Q51" s="8">
        <f>Table7[[#This Row],[Date Closed]]-Table7[[#This Row],[Date Raised]]</f>
        <v>0</v>
      </c>
    </row>
    <row r="52" spans="2:17" ht="15.6" x14ac:dyDescent="0.25">
      <c r="B52" s="2"/>
      <c r="D52" s="2"/>
      <c r="E52" s="2"/>
      <c r="G52" s="3"/>
      <c r="I52" s="3"/>
      <c r="J52" s="3"/>
      <c r="O52" s="4"/>
      <c r="P52" s="2"/>
      <c r="Q52" s="8">
        <f>Table7[[#This Row],[Date Closed]]-Table7[[#This Row],[Date Raised]]</f>
        <v>0</v>
      </c>
    </row>
    <row r="53" spans="2:17" ht="15.6" x14ac:dyDescent="0.25">
      <c r="B53" s="2"/>
      <c r="D53" s="2"/>
      <c r="E53" s="2"/>
      <c r="G53" s="3"/>
      <c r="I53" s="3"/>
      <c r="J53" s="3"/>
      <c r="O53" s="4"/>
      <c r="P53" s="2"/>
      <c r="Q53" s="8">
        <f>Table7[[#This Row],[Date Closed]]-Table7[[#This Row],[Date Raised]]</f>
        <v>0</v>
      </c>
    </row>
    <row r="54" spans="2:17" ht="15.6" x14ac:dyDescent="0.25">
      <c r="B54" s="2"/>
      <c r="D54" s="2"/>
      <c r="E54" s="2"/>
      <c r="G54" s="3"/>
      <c r="I54" s="3"/>
      <c r="J54" s="3"/>
      <c r="O54" s="4"/>
      <c r="P54" s="2"/>
      <c r="Q54" s="8">
        <f>Table7[[#This Row],[Date Closed]]-Table7[[#This Row],[Date Raised]]</f>
        <v>0</v>
      </c>
    </row>
    <row r="55" spans="2:17" ht="15.6" x14ac:dyDescent="0.25">
      <c r="B55" s="2"/>
      <c r="D55" s="2"/>
      <c r="E55" s="2"/>
      <c r="G55" s="3"/>
      <c r="I55" s="3"/>
      <c r="J55" s="3"/>
      <c r="O55" s="4"/>
      <c r="P55" s="2"/>
      <c r="Q55" s="8">
        <f>Table7[[#This Row],[Date Closed]]-Table7[[#This Row],[Date Raised]]</f>
        <v>0</v>
      </c>
    </row>
    <row r="56" spans="2:17" ht="15.6" x14ac:dyDescent="0.25">
      <c r="B56" s="2"/>
      <c r="D56" s="2"/>
      <c r="E56" s="2"/>
      <c r="G56" s="3"/>
      <c r="I56" s="3"/>
      <c r="J56" s="3"/>
      <c r="O56" s="4"/>
      <c r="P56" s="2"/>
      <c r="Q56" s="8">
        <f>Table7[[#This Row],[Date Closed]]-Table7[[#This Row],[Date Raised]]</f>
        <v>0</v>
      </c>
    </row>
    <row r="57" spans="2:17" ht="15.6" x14ac:dyDescent="0.25">
      <c r="B57" s="2"/>
      <c r="D57" s="2"/>
      <c r="E57" s="2"/>
      <c r="G57" s="3"/>
      <c r="I57" s="3"/>
      <c r="J57" s="3"/>
      <c r="O57" s="4"/>
      <c r="P57" s="2"/>
      <c r="Q57" s="8">
        <f>Table7[[#This Row],[Date Closed]]-Table7[[#This Row],[Date Raised]]</f>
        <v>0</v>
      </c>
    </row>
    <row r="58" spans="2:17" ht="15.6" x14ac:dyDescent="0.25">
      <c r="B58" s="2"/>
      <c r="D58" s="2"/>
      <c r="E58" s="2"/>
      <c r="G58" s="3"/>
      <c r="I58" s="3"/>
      <c r="J58" s="3"/>
      <c r="O58" s="4"/>
      <c r="P58" s="2"/>
      <c r="Q58" s="8">
        <f>Table7[[#This Row],[Date Closed]]-Table7[[#This Row],[Date Raised]]</f>
        <v>0</v>
      </c>
    </row>
    <row r="59" spans="2:17" ht="15.6" x14ac:dyDescent="0.25">
      <c r="B59" s="2"/>
      <c r="D59" s="2"/>
      <c r="E59" s="2"/>
      <c r="G59" s="3"/>
      <c r="I59" s="3"/>
      <c r="J59" s="3"/>
      <c r="O59" s="4"/>
      <c r="P59" s="2"/>
      <c r="Q59" s="8">
        <f>Table7[[#This Row],[Date Closed]]-Table7[[#This Row],[Date Raised]]</f>
        <v>0</v>
      </c>
    </row>
    <row r="60" spans="2:17" ht="15.6" x14ac:dyDescent="0.25">
      <c r="B60" s="2"/>
      <c r="D60" s="2"/>
      <c r="E60" s="2"/>
      <c r="I60" s="3"/>
      <c r="J60" s="3"/>
      <c r="O60" s="4"/>
      <c r="P60" s="2"/>
      <c r="Q60" s="8">
        <f>Table7[[#This Row],[Date Closed]]-Table7[[#This Row],[Date Raised]]</f>
        <v>0</v>
      </c>
    </row>
    <row r="61" spans="2:17" ht="15.6" x14ac:dyDescent="0.25">
      <c r="B61" s="2"/>
      <c r="D61" s="2"/>
      <c r="E61" s="2"/>
      <c r="G61" s="3"/>
      <c r="I61" s="3"/>
      <c r="J61" s="3"/>
      <c r="O61" s="4"/>
      <c r="P61" s="2"/>
      <c r="Q61" s="8">
        <f>Table7[[#This Row],[Date Closed]]-Table7[[#This Row],[Date Raised]]</f>
        <v>0</v>
      </c>
    </row>
    <row r="62" spans="2:17" ht="15.6" x14ac:dyDescent="0.25">
      <c r="B62" s="2"/>
      <c r="D62" s="2"/>
      <c r="E62" s="2"/>
      <c r="G62" s="3"/>
      <c r="I62" s="3"/>
      <c r="J62" s="3"/>
      <c r="O62" s="4"/>
      <c r="P62" s="2"/>
      <c r="Q62" s="8">
        <f>Table7[[#This Row],[Date Closed]]-Table7[[#This Row],[Date Raised]]</f>
        <v>0</v>
      </c>
    </row>
    <row r="63" spans="2:17" ht="15.6" x14ac:dyDescent="0.25">
      <c r="B63" s="2"/>
      <c r="D63" s="2"/>
      <c r="E63" s="2"/>
      <c r="G63" s="3"/>
      <c r="I63" s="3"/>
      <c r="J63" s="3"/>
      <c r="O63" s="4"/>
      <c r="P63" s="2"/>
      <c r="Q63" s="8">
        <f>Table7[[#This Row],[Date Closed]]-Table7[[#This Row],[Date Raised]]</f>
        <v>0</v>
      </c>
    </row>
    <row r="64" spans="2:17" ht="15.6" x14ac:dyDescent="0.25">
      <c r="B64" s="2"/>
      <c r="D64" s="2"/>
      <c r="E64" s="2"/>
      <c r="G64" s="3"/>
      <c r="I64" s="3"/>
      <c r="J64" s="3"/>
      <c r="O64" s="4"/>
      <c r="P64" s="2"/>
      <c r="Q64" s="8">
        <f>Table7[[#This Row],[Date Closed]]-Table7[[#This Row],[Date Raised]]</f>
        <v>0</v>
      </c>
    </row>
    <row r="65" spans="2:17" ht="15.6" x14ac:dyDescent="0.25">
      <c r="B65" s="2"/>
      <c r="D65" s="2"/>
      <c r="E65" s="2"/>
      <c r="G65" s="3"/>
      <c r="I65" s="3"/>
      <c r="J65" s="3"/>
      <c r="O65" s="4"/>
      <c r="P65" s="2"/>
      <c r="Q65" s="8">
        <f>Table7[[#This Row],[Date Closed]]-Table7[[#This Row],[Date Raised]]</f>
        <v>0</v>
      </c>
    </row>
    <row r="66" spans="2:17" ht="15.6" x14ac:dyDescent="0.25">
      <c r="B66" s="2"/>
      <c r="D66" s="2"/>
      <c r="E66" s="2"/>
      <c r="G66" s="3"/>
      <c r="I66" s="3"/>
      <c r="J66" s="3"/>
      <c r="O66" s="4"/>
      <c r="P66" s="2"/>
      <c r="Q66" s="8">
        <f>Table7[[#This Row],[Date Closed]]-Table7[[#This Row],[Date Raised]]</f>
        <v>0</v>
      </c>
    </row>
    <row r="67" spans="2:17" ht="15.6" x14ac:dyDescent="0.25">
      <c r="B67" s="2"/>
      <c r="D67" s="2"/>
      <c r="E67" s="2"/>
      <c r="G67" s="3"/>
      <c r="I67" s="3"/>
      <c r="J67" s="3"/>
      <c r="O67" s="4"/>
      <c r="P67" s="2"/>
      <c r="Q67" s="8">
        <f>Table7[[#This Row],[Date Closed]]-Table7[[#This Row],[Date Raised]]</f>
        <v>0</v>
      </c>
    </row>
    <row r="68" spans="2:17" ht="15.6" x14ac:dyDescent="0.25">
      <c r="B68" s="2"/>
      <c r="D68" s="2"/>
      <c r="E68" s="2"/>
      <c r="G68" s="3"/>
      <c r="I68" s="3"/>
      <c r="J68" s="3"/>
      <c r="O68" s="4"/>
      <c r="P68" s="2"/>
      <c r="Q68" s="8">
        <f>Table7[[#This Row],[Date Closed]]-Table7[[#This Row],[Date Raised]]</f>
        <v>0</v>
      </c>
    </row>
    <row r="69" spans="2:17" ht="15.6" x14ac:dyDescent="0.25">
      <c r="B69" s="2"/>
      <c r="D69" s="2"/>
      <c r="E69" s="2"/>
      <c r="G69" s="3"/>
      <c r="I69" s="3"/>
      <c r="J69" s="3"/>
      <c r="O69" s="4"/>
      <c r="P69" s="2"/>
      <c r="Q69" s="8">
        <f>Table7[[#This Row],[Date Closed]]-Table7[[#This Row],[Date Raised]]</f>
        <v>0</v>
      </c>
    </row>
    <row r="70" spans="2:17" ht="15.6" x14ac:dyDescent="0.25">
      <c r="B70" s="2"/>
      <c r="D70" s="2"/>
      <c r="E70" s="2"/>
      <c r="G70" s="3"/>
      <c r="I70" s="3"/>
      <c r="J70" s="3"/>
      <c r="O70" s="4"/>
      <c r="P70" s="2"/>
      <c r="Q70" s="8">
        <f>Table7[[#This Row],[Date Closed]]-Table7[[#This Row],[Date Raised]]</f>
        <v>0</v>
      </c>
    </row>
    <row r="71" spans="2:17" ht="15.6" x14ac:dyDescent="0.25">
      <c r="B71" s="2"/>
      <c r="D71" s="2"/>
      <c r="E71" s="2"/>
      <c r="G71" s="3"/>
      <c r="I71" s="3"/>
      <c r="J71" s="3"/>
      <c r="O71" s="4"/>
      <c r="P71" s="2"/>
      <c r="Q71" s="8">
        <f>Table7[[#This Row],[Date Closed]]-Table7[[#This Row],[Date Raised]]</f>
        <v>0</v>
      </c>
    </row>
    <row r="72" spans="2:17" ht="15.6" x14ac:dyDescent="0.25">
      <c r="B72" s="2"/>
      <c r="D72" s="2"/>
      <c r="E72" s="2"/>
      <c r="G72" s="3"/>
      <c r="I72" s="3"/>
      <c r="J72" s="3"/>
      <c r="O72" s="4"/>
      <c r="P72" s="2"/>
      <c r="Q72" s="8">
        <f>Table7[[#This Row],[Date Closed]]-Table7[[#This Row],[Date Raised]]</f>
        <v>0</v>
      </c>
    </row>
    <row r="73" spans="2:17" ht="15.6" x14ac:dyDescent="0.25">
      <c r="B73" s="2"/>
      <c r="D73" s="2"/>
      <c r="E73" s="2"/>
      <c r="G73" s="3"/>
      <c r="I73" s="3"/>
      <c r="J73" s="3"/>
      <c r="O73" s="4"/>
      <c r="P73" s="2"/>
      <c r="Q73" s="8">
        <f>Table7[[#This Row],[Date Closed]]-Table7[[#This Row],[Date Raised]]</f>
        <v>0</v>
      </c>
    </row>
    <row r="74" spans="2:17" ht="15.6" x14ac:dyDescent="0.25">
      <c r="B74" s="2"/>
      <c r="D74" s="2"/>
      <c r="E74" s="2"/>
      <c r="G74" s="3"/>
      <c r="I74" s="3"/>
      <c r="J74" s="3"/>
      <c r="O74" s="4"/>
      <c r="P74" s="2"/>
      <c r="Q74" s="8">
        <f>Table7[[#This Row],[Date Closed]]-Table7[[#This Row],[Date Raised]]</f>
        <v>0</v>
      </c>
    </row>
    <row r="75" spans="2:17" ht="15.6" x14ac:dyDescent="0.25">
      <c r="B75" s="2"/>
      <c r="D75" s="2"/>
      <c r="E75" s="2"/>
      <c r="G75" s="3"/>
      <c r="I75" s="3"/>
      <c r="J75" s="3"/>
      <c r="O75" s="4"/>
      <c r="P75" s="2"/>
      <c r="Q75" s="8">
        <f>Table7[[#This Row],[Date Closed]]-Table7[[#This Row],[Date Raised]]</f>
        <v>0</v>
      </c>
    </row>
    <row r="76" spans="2:17" ht="15.6" x14ac:dyDescent="0.25">
      <c r="B76" s="2"/>
      <c r="D76" s="2"/>
      <c r="E76" s="2"/>
      <c r="G76" s="3"/>
      <c r="I76" s="3"/>
      <c r="J76" s="3"/>
      <c r="O76" s="4"/>
      <c r="P76" s="2"/>
      <c r="Q76" s="8">
        <f>Table7[[#This Row],[Date Closed]]-Table7[[#This Row],[Date Raised]]</f>
        <v>0</v>
      </c>
    </row>
    <row r="77" spans="2:17" ht="15.6" x14ac:dyDescent="0.25">
      <c r="B77" s="2"/>
      <c r="D77" s="2"/>
      <c r="E77" s="2"/>
      <c r="G77" s="3"/>
      <c r="I77" s="3"/>
      <c r="J77" s="3"/>
      <c r="O77" s="4"/>
      <c r="P77" s="2"/>
      <c r="Q77" s="8">
        <f>Table7[[#This Row],[Date Closed]]-Table7[[#This Row],[Date Raised]]</f>
        <v>0</v>
      </c>
    </row>
    <row r="78" spans="2:17" ht="15.6" x14ac:dyDescent="0.25">
      <c r="B78" s="2"/>
      <c r="D78" s="2"/>
      <c r="E78" s="2"/>
      <c r="G78" s="3"/>
      <c r="I78" s="3"/>
      <c r="J78" s="3"/>
      <c r="O78" s="4"/>
      <c r="P78" s="2"/>
      <c r="Q78" s="8">
        <f>Table7[[#This Row],[Date Closed]]-Table7[[#This Row],[Date Raised]]</f>
        <v>0</v>
      </c>
    </row>
    <row r="79" spans="2:17" ht="15.6" x14ac:dyDescent="0.25">
      <c r="B79" s="2"/>
      <c r="D79" s="2"/>
      <c r="E79" s="2"/>
      <c r="G79" s="3"/>
      <c r="I79" s="3"/>
      <c r="J79" s="3"/>
      <c r="O79" s="4"/>
      <c r="P79" s="2"/>
      <c r="Q79" s="8">
        <f>Table7[[#This Row],[Date Closed]]-Table7[[#This Row],[Date Raised]]</f>
        <v>0</v>
      </c>
    </row>
    <row r="80" spans="2:17" ht="15.6" x14ac:dyDescent="0.25">
      <c r="B80" s="2"/>
      <c r="D80" s="2"/>
      <c r="E80" s="2"/>
      <c r="G80" s="3"/>
      <c r="I80" s="3"/>
      <c r="J80" s="3"/>
      <c r="O80" s="4"/>
      <c r="P80" s="2"/>
      <c r="Q80" s="8">
        <f>Table7[[#This Row],[Date Closed]]-Table7[[#This Row],[Date Raised]]</f>
        <v>0</v>
      </c>
    </row>
    <row r="81" spans="2:17" ht="15.6" x14ac:dyDescent="0.25">
      <c r="B81" s="2"/>
      <c r="D81" s="2"/>
      <c r="E81" s="2"/>
      <c r="G81" s="3"/>
      <c r="I81" s="3"/>
      <c r="J81" s="3"/>
      <c r="O81" s="4"/>
      <c r="P81" s="2"/>
      <c r="Q81" s="8">
        <f>Table7[[#This Row],[Date Closed]]-Table7[[#This Row],[Date Raised]]</f>
        <v>0</v>
      </c>
    </row>
    <row r="82" spans="2:17" ht="15.6" x14ac:dyDescent="0.25">
      <c r="B82" s="2"/>
      <c r="D82" s="2"/>
      <c r="E82" s="2"/>
      <c r="G82" s="3"/>
      <c r="I82" s="3"/>
      <c r="J82" s="3"/>
      <c r="O82" s="4"/>
      <c r="P82" s="2"/>
      <c r="Q82" s="8">
        <f>Table7[[#This Row],[Date Closed]]-Table7[[#This Row],[Date Raised]]</f>
        <v>0</v>
      </c>
    </row>
    <row r="83" spans="2:17" ht="15.6" x14ac:dyDescent="0.25">
      <c r="B83" s="2"/>
      <c r="D83" s="2"/>
      <c r="E83" s="2"/>
      <c r="G83" s="3"/>
      <c r="I83" s="3"/>
      <c r="J83" s="3"/>
      <c r="O83" s="4"/>
      <c r="P83" s="2"/>
      <c r="Q83" s="8">
        <f>Table7[[#This Row],[Date Closed]]-Table7[[#This Row],[Date Raised]]</f>
        <v>0</v>
      </c>
    </row>
    <row r="84" spans="2:17" ht="15.6" x14ac:dyDescent="0.25">
      <c r="B84" s="2"/>
      <c r="D84" s="2"/>
      <c r="E84" s="2"/>
      <c r="G84" s="3"/>
      <c r="I84" s="3"/>
      <c r="J84" s="3"/>
      <c r="O84" s="4"/>
      <c r="P84" s="2"/>
      <c r="Q84" s="8">
        <f>Table7[[#This Row],[Date Closed]]-Table7[[#This Row],[Date Raised]]</f>
        <v>0</v>
      </c>
    </row>
    <row r="85" spans="2:17" ht="15.6" x14ac:dyDescent="0.25">
      <c r="B85" s="2"/>
      <c r="D85" s="2"/>
      <c r="E85" s="2"/>
      <c r="G85" s="3"/>
      <c r="I85" s="3"/>
      <c r="J85" s="3"/>
      <c r="O85" s="4"/>
      <c r="P85" s="2"/>
      <c r="Q85" s="8">
        <f>Table7[[#This Row],[Date Closed]]-Table7[[#This Row],[Date Raised]]</f>
        <v>0</v>
      </c>
    </row>
    <row r="86" spans="2:17" ht="15.6" x14ac:dyDescent="0.25">
      <c r="B86" s="2"/>
      <c r="D86" s="2"/>
      <c r="E86" s="2"/>
      <c r="G86" s="3"/>
      <c r="I86" s="3"/>
      <c r="J86" s="3"/>
      <c r="O86" s="4"/>
      <c r="P86" s="2"/>
      <c r="Q86" s="8">
        <f>Table7[[#This Row],[Date Closed]]-Table7[[#This Row],[Date Raised]]</f>
        <v>0</v>
      </c>
    </row>
    <row r="87" spans="2:17" ht="15.6" x14ac:dyDescent="0.25">
      <c r="B87" s="2"/>
      <c r="D87" s="2"/>
      <c r="E87" s="2"/>
      <c r="G87" s="3"/>
      <c r="I87" s="3"/>
      <c r="J87" s="3"/>
      <c r="O87" s="4"/>
      <c r="P87" s="2"/>
      <c r="Q87" s="8">
        <f>Table7[[#This Row],[Date Closed]]-Table7[[#This Row],[Date Raised]]</f>
        <v>0</v>
      </c>
    </row>
    <row r="88" spans="2:17" ht="15.6" x14ac:dyDescent="0.25">
      <c r="B88" s="2"/>
      <c r="D88" s="2"/>
      <c r="E88" s="2"/>
      <c r="G88" s="3"/>
      <c r="I88" s="3"/>
      <c r="J88" s="3"/>
      <c r="O88" s="4"/>
      <c r="P88" s="2"/>
      <c r="Q88" s="8">
        <f>Table7[[#This Row],[Date Closed]]-Table7[[#This Row],[Date Raised]]</f>
        <v>0</v>
      </c>
    </row>
    <row r="89" spans="2:17" ht="15.6" x14ac:dyDescent="0.25">
      <c r="B89" s="2"/>
      <c r="D89" s="2"/>
      <c r="E89" s="2"/>
      <c r="G89" s="3"/>
      <c r="I89" s="3"/>
      <c r="J89" s="3"/>
      <c r="O89" s="4"/>
      <c r="P89" s="2"/>
      <c r="Q89" s="8">
        <f>Table7[[#This Row],[Date Closed]]-Table7[[#This Row],[Date Raised]]</f>
        <v>0</v>
      </c>
    </row>
    <row r="90" spans="2:17" ht="15.6" x14ac:dyDescent="0.25">
      <c r="B90" s="2"/>
      <c r="D90" s="2"/>
      <c r="E90" s="2"/>
      <c r="G90" s="3"/>
      <c r="I90" s="3"/>
      <c r="J90" s="3"/>
      <c r="O90" s="4"/>
      <c r="P90" s="2"/>
      <c r="Q90" s="8">
        <f>Table7[[#This Row],[Date Closed]]-Table7[[#This Row],[Date Raised]]</f>
        <v>0</v>
      </c>
    </row>
    <row r="91" spans="2:17" ht="15.6" x14ac:dyDescent="0.25">
      <c r="B91" s="2"/>
      <c r="D91" s="2"/>
      <c r="E91" s="2"/>
      <c r="G91" s="3"/>
      <c r="I91" s="3"/>
      <c r="J91" s="3"/>
      <c r="O91" s="4"/>
      <c r="P91" s="2"/>
      <c r="Q91" s="8">
        <f>Table7[[#This Row],[Date Closed]]-Table7[[#This Row],[Date Raised]]</f>
        <v>0</v>
      </c>
    </row>
    <row r="92" spans="2:17" ht="15.6" x14ac:dyDescent="0.25">
      <c r="B92" s="2"/>
      <c r="D92" s="2"/>
      <c r="E92" s="2"/>
      <c r="G92" s="3"/>
      <c r="I92" s="3"/>
      <c r="J92" s="3"/>
      <c r="O92" s="4"/>
      <c r="P92" s="2"/>
      <c r="Q92" s="8">
        <f>Table7[[#This Row],[Date Closed]]-Table7[[#This Row],[Date Raised]]</f>
        <v>0</v>
      </c>
    </row>
    <row r="93" spans="2:17" ht="15.6" x14ac:dyDescent="0.25">
      <c r="B93" s="2"/>
      <c r="D93" s="2"/>
      <c r="E93" s="2"/>
      <c r="G93" s="3"/>
      <c r="I93" s="3"/>
      <c r="J93" s="3"/>
      <c r="O93" s="4"/>
      <c r="P93" s="2"/>
      <c r="Q93" s="8">
        <f>Table7[[#This Row],[Date Closed]]-Table7[[#This Row],[Date Raised]]</f>
        <v>0</v>
      </c>
    </row>
    <row r="94" spans="2:17" ht="15.6" x14ac:dyDescent="0.25">
      <c r="B94" s="2"/>
      <c r="D94" s="2"/>
      <c r="E94" s="2"/>
      <c r="G94" s="3"/>
      <c r="I94" s="3"/>
      <c r="J94" s="3"/>
      <c r="O94" s="4"/>
      <c r="P94" s="2"/>
      <c r="Q94" s="8">
        <f>Table7[[#This Row],[Date Closed]]-Table7[[#This Row],[Date Raised]]</f>
        <v>0</v>
      </c>
    </row>
    <row r="95" spans="2:17" ht="15.6" x14ac:dyDescent="0.25">
      <c r="B95" s="2"/>
      <c r="D95" s="2"/>
      <c r="E95" s="2"/>
      <c r="G95" s="3"/>
      <c r="I95" s="3"/>
      <c r="J95" s="3"/>
      <c r="O95" s="4"/>
      <c r="P95" s="2"/>
      <c r="Q95" s="8">
        <f>Table7[[#This Row],[Date Closed]]-Table7[[#This Row],[Date Raised]]</f>
        <v>0</v>
      </c>
    </row>
    <row r="96" spans="2:17" ht="15.6" x14ac:dyDescent="0.25">
      <c r="B96" s="2"/>
      <c r="D96" s="2"/>
      <c r="E96" s="2"/>
      <c r="G96" s="3"/>
      <c r="I96" s="3"/>
      <c r="J96" s="3"/>
      <c r="O96" s="4"/>
      <c r="P96" s="2"/>
      <c r="Q96" s="8">
        <f>Table7[[#This Row],[Date Closed]]-Table7[[#This Row],[Date Raised]]</f>
        <v>0</v>
      </c>
    </row>
    <row r="97" spans="2:17" ht="15.6" x14ac:dyDescent="0.25">
      <c r="B97" s="2"/>
      <c r="D97" s="2"/>
      <c r="E97" s="2"/>
      <c r="G97" s="3"/>
      <c r="I97" s="3"/>
      <c r="J97" s="3"/>
      <c r="O97" s="4"/>
      <c r="P97" s="2"/>
      <c r="Q97" s="8">
        <f>Table7[[#This Row],[Date Closed]]-Table7[[#This Row],[Date Raised]]</f>
        <v>0</v>
      </c>
    </row>
    <row r="98" spans="2:17" ht="15.6" x14ac:dyDescent="0.25">
      <c r="B98" s="2"/>
      <c r="D98" s="2"/>
      <c r="E98" s="2"/>
      <c r="G98" s="3"/>
      <c r="I98" s="3"/>
      <c r="J98" s="3"/>
      <c r="O98" s="4"/>
      <c r="P98" s="2"/>
      <c r="Q98" s="8">
        <f>Table7[[#This Row],[Date Closed]]-Table7[[#This Row],[Date Raised]]</f>
        <v>0</v>
      </c>
    </row>
    <row r="99" spans="2:17" ht="15.6" x14ac:dyDescent="0.25">
      <c r="B99" s="2"/>
      <c r="D99" s="2"/>
      <c r="E99" s="2"/>
      <c r="G99" s="3"/>
      <c r="I99" s="3"/>
      <c r="J99" s="3"/>
      <c r="O99" s="4"/>
      <c r="P99" s="2"/>
      <c r="Q99" s="8">
        <f>Table7[[#This Row],[Date Closed]]-Table7[[#This Row],[Date Raised]]</f>
        <v>0</v>
      </c>
    </row>
    <row r="100" spans="2:17" ht="15.6" x14ac:dyDescent="0.25">
      <c r="B100" s="2"/>
      <c r="D100" s="2"/>
      <c r="E100" s="2"/>
      <c r="G100" s="3"/>
      <c r="I100" s="3"/>
      <c r="J100" s="3"/>
      <c r="O100" s="4"/>
      <c r="P100" s="2"/>
      <c r="Q100" s="8">
        <f>Table7[[#This Row],[Date Closed]]-Table7[[#This Row],[Date Raised]]</f>
        <v>0</v>
      </c>
    </row>
    <row r="101" spans="2:17" ht="15.6" x14ac:dyDescent="0.25">
      <c r="B101" s="2"/>
      <c r="D101" s="2"/>
      <c r="E101" s="2"/>
      <c r="G101" s="3"/>
      <c r="I101" s="3"/>
      <c r="J101" s="3"/>
      <c r="O101" s="4"/>
      <c r="P101" s="2"/>
      <c r="Q101" s="8">
        <f>Table7[[#This Row],[Date Closed]]-Table7[[#This Row],[Date Raised]]</f>
        <v>0</v>
      </c>
    </row>
    <row r="102" spans="2:17" ht="15.6" x14ac:dyDescent="0.25">
      <c r="B102" s="2"/>
      <c r="D102" s="2"/>
      <c r="E102" s="2"/>
      <c r="G102" s="3"/>
      <c r="I102" s="3"/>
      <c r="J102" s="3"/>
      <c r="O102" s="4"/>
      <c r="P102" s="2"/>
      <c r="Q102" s="8">
        <f>Table7[[#This Row],[Date Closed]]-Table7[[#This Row],[Date Raised]]</f>
        <v>0</v>
      </c>
    </row>
    <row r="103" spans="2:17" ht="15.6" x14ac:dyDescent="0.25">
      <c r="B103" s="2"/>
      <c r="D103" s="2"/>
      <c r="E103" s="2"/>
      <c r="G103" s="3"/>
      <c r="I103" s="3"/>
      <c r="J103" s="3"/>
      <c r="O103" s="4"/>
      <c r="P103" s="2"/>
      <c r="Q103" s="8">
        <f>Table7[[#This Row],[Date Closed]]-Table7[[#This Row],[Date Raised]]</f>
        <v>0</v>
      </c>
    </row>
    <row r="104" spans="2:17" ht="15.6" x14ac:dyDescent="0.25">
      <c r="B104" s="2"/>
      <c r="D104" s="2"/>
      <c r="E104" s="2"/>
      <c r="G104" s="3"/>
      <c r="I104" s="3"/>
      <c r="J104" s="3"/>
      <c r="O104" s="4"/>
      <c r="P104" s="2"/>
      <c r="Q104" s="8">
        <f>Table7[[#This Row],[Date Closed]]-Table7[[#This Row],[Date Raised]]</f>
        <v>0</v>
      </c>
    </row>
    <row r="105" spans="2:17" ht="15.6" x14ac:dyDescent="0.25">
      <c r="B105" s="2"/>
      <c r="D105" s="2"/>
      <c r="E105" s="2"/>
      <c r="G105" s="3"/>
      <c r="I105" s="3"/>
      <c r="J105" s="3"/>
      <c r="O105" s="4"/>
      <c r="P105" s="2"/>
      <c r="Q105" s="8">
        <f>Table7[[#This Row],[Date Closed]]-Table7[[#This Row],[Date Raised]]</f>
        <v>0</v>
      </c>
    </row>
    <row r="106" spans="2:17" ht="15.6" x14ac:dyDescent="0.25">
      <c r="B106" s="2"/>
      <c r="D106" s="2"/>
      <c r="E106" s="2"/>
      <c r="G106" s="3"/>
      <c r="I106" s="3"/>
      <c r="J106" s="3"/>
      <c r="O106" s="4"/>
      <c r="P106" s="2"/>
      <c r="Q106" s="8">
        <f>Table7[[#This Row],[Date Closed]]-Table7[[#This Row],[Date Raised]]</f>
        <v>0</v>
      </c>
    </row>
    <row r="107" spans="2:17" ht="15.6" x14ac:dyDescent="0.25">
      <c r="B107" s="2"/>
      <c r="D107" s="2"/>
      <c r="E107" s="2"/>
      <c r="G107" s="3"/>
      <c r="I107" s="3"/>
      <c r="J107" s="3"/>
      <c r="O107" s="4"/>
      <c r="P107" s="2"/>
      <c r="Q107" s="8">
        <f>Table7[[#This Row],[Date Closed]]-Table7[[#This Row],[Date Raised]]</f>
        <v>0</v>
      </c>
    </row>
    <row r="108" spans="2:17" ht="15.6" x14ac:dyDescent="0.25">
      <c r="B108" s="2"/>
      <c r="D108" s="2"/>
      <c r="E108" s="2"/>
      <c r="G108" s="3"/>
      <c r="I108" s="3"/>
      <c r="J108" s="3"/>
      <c r="O108" s="4"/>
      <c r="P108" s="2"/>
      <c r="Q108" s="8">
        <f>Table7[[#This Row],[Date Closed]]-Table7[[#This Row],[Date Raised]]</f>
        <v>0</v>
      </c>
    </row>
    <row r="109" spans="2:17" ht="15.6" x14ac:dyDescent="0.25">
      <c r="B109" s="2"/>
      <c r="D109" s="2"/>
      <c r="E109" s="2"/>
      <c r="G109" s="3"/>
      <c r="I109" s="3"/>
      <c r="J109" s="3"/>
      <c r="O109" s="4"/>
      <c r="P109" s="2"/>
      <c r="Q109" s="8">
        <f>Table7[[#This Row],[Date Closed]]-Table7[[#This Row],[Date Raised]]</f>
        <v>0</v>
      </c>
    </row>
    <row r="110" spans="2:17" ht="15.6" x14ac:dyDescent="0.25">
      <c r="B110" s="2"/>
      <c r="D110" s="2"/>
      <c r="E110" s="2"/>
      <c r="G110" s="3"/>
      <c r="I110" s="3"/>
      <c r="J110" s="3"/>
      <c r="O110" s="4"/>
      <c r="P110" s="2"/>
      <c r="Q110" s="8">
        <f>Table7[[#This Row],[Date Closed]]-Table7[[#This Row],[Date Raised]]</f>
        <v>0</v>
      </c>
    </row>
    <row r="111" spans="2:17" ht="15.6" x14ac:dyDescent="0.25">
      <c r="B111" s="2"/>
      <c r="D111" s="2"/>
      <c r="E111" s="2"/>
      <c r="G111" s="3"/>
      <c r="I111" s="3"/>
      <c r="J111" s="3"/>
      <c r="O111" s="4"/>
      <c r="P111" s="2"/>
      <c r="Q111" s="8">
        <f>Table7[[#This Row],[Date Closed]]-Table7[[#This Row],[Date Raised]]</f>
        <v>0</v>
      </c>
    </row>
    <row r="112" spans="2:17" ht="15.6" x14ac:dyDescent="0.25">
      <c r="B112" s="2"/>
      <c r="D112" s="2"/>
      <c r="E112" s="2"/>
      <c r="G112" s="3"/>
      <c r="I112" s="3"/>
      <c r="J112" s="3"/>
      <c r="O112" s="4"/>
      <c r="P112" s="2"/>
      <c r="Q112" s="8">
        <f>Table7[[#This Row],[Date Closed]]-Table7[[#This Row],[Date Raised]]</f>
        <v>0</v>
      </c>
    </row>
    <row r="113" spans="2:17" ht="15.6" x14ac:dyDescent="0.25">
      <c r="B113" s="2"/>
      <c r="D113" s="2"/>
      <c r="E113" s="2"/>
      <c r="G113" s="3"/>
      <c r="I113" s="3"/>
      <c r="J113" s="3"/>
      <c r="O113" s="4"/>
      <c r="P113" s="2"/>
      <c r="Q113" s="8">
        <f>Table7[[#This Row],[Date Closed]]-Table7[[#This Row],[Date Raised]]</f>
        <v>0</v>
      </c>
    </row>
    <row r="114" spans="2:17" ht="15.6" x14ac:dyDescent="0.25">
      <c r="B114" s="2"/>
      <c r="D114" s="2"/>
      <c r="E114" s="2"/>
      <c r="G114" s="3"/>
      <c r="I114" s="3"/>
      <c r="J114" s="3"/>
      <c r="O114" s="4"/>
      <c r="P114" s="2"/>
      <c r="Q114" s="8">
        <f>Table7[[#This Row],[Date Closed]]-Table7[[#This Row],[Date Raised]]</f>
        <v>0</v>
      </c>
    </row>
    <row r="115" spans="2:17" ht="15.6" x14ac:dyDescent="0.25">
      <c r="B115" s="2"/>
      <c r="D115" s="2"/>
      <c r="E115" s="2"/>
      <c r="G115" s="3"/>
      <c r="I115" s="3"/>
      <c r="J115" s="3"/>
      <c r="O115" s="4"/>
      <c r="P115" s="2"/>
      <c r="Q115" s="8">
        <f>Table7[[#This Row],[Date Closed]]-Table7[[#This Row],[Date Raised]]</f>
        <v>0</v>
      </c>
    </row>
    <row r="116" spans="2:17" ht="15.6" x14ac:dyDescent="0.25">
      <c r="B116" s="2"/>
      <c r="D116" s="2"/>
      <c r="E116" s="2"/>
      <c r="G116" s="3"/>
      <c r="I116" s="3"/>
      <c r="J116" s="3"/>
      <c r="O116" s="4"/>
      <c r="P116" s="2"/>
      <c r="Q116" s="8">
        <f>Table7[[#This Row],[Date Closed]]-Table7[[#This Row],[Date Raised]]</f>
        <v>0</v>
      </c>
    </row>
    <row r="117" spans="2:17" ht="15.6" x14ac:dyDescent="0.25">
      <c r="B117" s="2"/>
      <c r="D117" s="2"/>
      <c r="E117" s="2"/>
      <c r="G117" s="3"/>
      <c r="I117" s="3"/>
      <c r="J117" s="3"/>
      <c r="O117" s="4"/>
      <c r="P117" s="2"/>
      <c r="Q117" s="8">
        <f>Table7[[#This Row],[Date Closed]]-Table7[[#This Row],[Date Raised]]</f>
        <v>0</v>
      </c>
    </row>
    <row r="118" spans="2:17" ht="15.6" x14ac:dyDescent="0.25">
      <c r="B118" s="2"/>
      <c r="D118" s="2"/>
      <c r="E118" s="2"/>
      <c r="G118" s="3"/>
      <c r="I118" s="3"/>
      <c r="J118" s="3"/>
      <c r="O118" s="4"/>
      <c r="P118" s="2"/>
      <c r="Q118" s="8">
        <f>Table7[[#This Row],[Date Closed]]-Table7[[#This Row],[Date Raised]]</f>
        <v>0</v>
      </c>
    </row>
    <row r="119" spans="2:17" ht="15.6" x14ac:dyDescent="0.25">
      <c r="B119" s="2"/>
      <c r="D119" s="2"/>
      <c r="E119" s="2"/>
      <c r="G119" s="3"/>
      <c r="I119" s="3"/>
      <c r="J119" s="3"/>
      <c r="O119" s="4"/>
      <c r="P119" s="2"/>
      <c r="Q119" s="8">
        <f>Table7[[#This Row],[Date Closed]]-Table7[[#This Row],[Date Raised]]</f>
        <v>0</v>
      </c>
    </row>
    <row r="120" spans="2:17" ht="15.6" x14ac:dyDescent="0.25">
      <c r="B120" s="2"/>
      <c r="D120" s="2"/>
      <c r="E120" s="2"/>
      <c r="G120" s="3"/>
      <c r="I120" s="3"/>
      <c r="J120" s="3"/>
      <c r="O120" s="4"/>
      <c r="P120" s="2"/>
      <c r="Q120" s="8">
        <f>Table7[[#This Row],[Date Closed]]-Table7[[#This Row],[Date Raised]]</f>
        <v>0</v>
      </c>
    </row>
    <row r="121" spans="2:17" ht="15.6" x14ac:dyDescent="0.25">
      <c r="B121" s="2"/>
      <c r="D121" s="2"/>
      <c r="E121" s="2"/>
      <c r="G121" s="3"/>
      <c r="I121" s="3"/>
      <c r="J121" s="3"/>
      <c r="O121" s="4"/>
      <c r="P121" s="2"/>
      <c r="Q121" s="8">
        <f>Table7[[#This Row],[Date Closed]]-Table7[[#This Row],[Date Raised]]</f>
        <v>0</v>
      </c>
    </row>
    <row r="122" spans="2:17" ht="15.6" x14ac:dyDescent="0.25">
      <c r="B122" s="2"/>
      <c r="D122" s="2"/>
      <c r="E122" s="2"/>
      <c r="G122" s="3"/>
      <c r="I122" s="3"/>
      <c r="J122" s="3"/>
      <c r="O122" s="4"/>
      <c r="P122" s="2"/>
      <c r="Q122" s="8">
        <f>Table7[[#This Row],[Date Closed]]-Table7[[#This Row],[Date Raised]]</f>
        <v>0</v>
      </c>
    </row>
    <row r="123" spans="2:17" ht="15.6" x14ac:dyDescent="0.25">
      <c r="B123" s="2"/>
      <c r="D123" s="2"/>
      <c r="E123" s="2"/>
      <c r="G123" s="3"/>
      <c r="I123" s="3"/>
      <c r="J123" s="3"/>
      <c r="O123" s="4"/>
      <c r="P123" s="2"/>
      <c r="Q123" s="8">
        <f>Table7[[#This Row],[Date Closed]]-Table7[[#This Row],[Date Raised]]</f>
        <v>0</v>
      </c>
    </row>
    <row r="124" spans="2:17" ht="15.6" x14ac:dyDescent="0.25">
      <c r="B124" s="2"/>
      <c r="D124" s="2"/>
      <c r="E124" s="2"/>
      <c r="G124" s="3"/>
      <c r="I124" s="3"/>
      <c r="J124" s="3"/>
      <c r="O124" s="4"/>
      <c r="P124" s="2"/>
      <c r="Q124" s="8">
        <f>Table7[[#This Row],[Date Closed]]-Table7[[#This Row],[Date Raised]]</f>
        <v>0</v>
      </c>
    </row>
    <row r="125" spans="2:17" ht="15.6" x14ac:dyDescent="0.25">
      <c r="B125" s="2"/>
      <c r="D125" s="2"/>
      <c r="E125" s="2"/>
      <c r="G125" s="3"/>
      <c r="I125" s="3"/>
      <c r="J125" s="3"/>
      <c r="O125" s="4"/>
      <c r="P125" s="2"/>
      <c r="Q125" s="8">
        <f>Table7[[#This Row],[Date Closed]]-Table7[[#This Row],[Date Raised]]</f>
        <v>0</v>
      </c>
    </row>
    <row r="126" spans="2:17" ht="15.6" x14ac:dyDescent="0.25">
      <c r="B126" s="2"/>
      <c r="D126" s="2"/>
      <c r="E126" s="2"/>
      <c r="G126" s="3"/>
      <c r="I126" s="3"/>
      <c r="J126" s="3"/>
      <c r="O126" s="4"/>
      <c r="P126" s="2"/>
      <c r="Q126" s="8">
        <f>Table7[[#This Row],[Date Closed]]-Table7[[#This Row],[Date Raised]]</f>
        <v>0</v>
      </c>
    </row>
    <row r="127" spans="2:17" ht="15.6" x14ac:dyDescent="0.25">
      <c r="B127" s="2"/>
      <c r="D127" s="2"/>
      <c r="E127" s="2"/>
      <c r="G127" s="3"/>
      <c r="I127" s="3"/>
      <c r="J127" s="3"/>
      <c r="O127" s="4"/>
      <c r="P127" s="2"/>
      <c r="Q127" s="8">
        <f>Table7[[#This Row],[Date Closed]]-Table7[[#This Row],[Date Raised]]</f>
        <v>0</v>
      </c>
    </row>
    <row r="128" spans="2:17" ht="15.6" x14ac:dyDescent="0.25">
      <c r="B128" s="2"/>
      <c r="D128" s="2"/>
      <c r="E128" s="2"/>
      <c r="G128" s="3"/>
      <c r="I128" s="3"/>
      <c r="J128" s="3"/>
      <c r="O128" s="4"/>
      <c r="P128" s="2"/>
      <c r="Q128" s="8">
        <f>Table7[[#This Row],[Date Closed]]-Table7[[#This Row],[Date Raised]]</f>
        <v>0</v>
      </c>
    </row>
    <row r="129" spans="2:17" ht="15.6" x14ac:dyDescent="0.25">
      <c r="B129" s="2"/>
      <c r="D129" s="2"/>
      <c r="E129" s="2"/>
      <c r="G129" s="3"/>
      <c r="I129" s="3"/>
      <c r="J129" s="3"/>
      <c r="O129" s="4"/>
      <c r="P129" s="2"/>
      <c r="Q129" s="8">
        <f>Table7[[#This Row],[Date Closed]]-Table7[[#This Row],[Date Raised]]</f>
        <v>0</v>
      </c>
    </row>
    <row r="130" spans="2:17" ht="15.6" x14ac:dyDescent="0.25">
      <c r="B130" s="2"/>
      <c r="D130" s="2"/>
      <c r="E130" s="2"/>
      <c r="G130" s="3"/>
      <c r="I130" s="3"/>
      <c r="J130" s="3"/>
      <c r="O130" s="4"/>
      <c r="P130" s="2"/>
      <c r="Q130" s="8">
        <f>Table7[[#This Row],[Date Closed]]-Table7[[#This Row],[Date Raised]]</f>
        <v>0</v>
      </c>
    </row>
    <row r="131" spans="2:17" ht="15.6" x14ac:dyDescent="0.25">
      <c r="B131" s="2"/>
      <c r="D131" s="2"/>
      <c r="E131" s="2"/>
      <c r="G131" s="3"/>
      <c r="I131" s="3"/>
      <c r="J131" s="3"/>
      <c r="O131" s="4"/>
      <c r="P131" s="2"/>
      <c r="Q131" s="8">
        <f>Table7[[#This Row],[Date Closed]]-Table7[[#This Row],[Date Raised]]</f>
        <v>0</v>
      </c>
    </row>
    <row r="132" spans="2:17" ht="15.6" x14ac:dyDescent="0.25">
      <c r="B132" s="2"/>
      <c r="D132" s="2"/>
      <c r="E132" s="2"/>
      <c r="G132" s="3"/>
      <c r="I132" s="3"/>
      <c r="J132" s="3"/>
      <c r="O132" s="4"/>
      <c r="P132" s="2"/>
      <c r="Q132" s="8">
        <f>Table7[[#This Row],[Date Closed]]-Table7[[#This Row],[Date Raised]]</f>
        <v>0</v>
      </c>
    </row>
    <row r="133" spans="2:17" ht="15.6" x14ac:dyDescent="0.25">
      <c r="B133" s="2"/>
      <c r="D133" s="2"/>
      <c r="E133" s="2"/>
      <c r="G133" s="3"/>
      <c r="I133" s="3"/>
      <c r="J133" s="3"/>
      <c r="O133" s="4"/>
      <c r="P133" s="2"/>
      <c r="Q133" s="8">
        <f>Table7[[#This Row],[Date Closed]]-Table7[[#This Row],[Date Raised]]</f>
        <v>0</v>
      </c>
    </row>
    <row r="134" spans="2:17" ht="15.6" x14ac:dyDescent="0.25">
      <c r="B134" s="2"/>
      <c r="D134" s="2"/>
      <c r="E134" s="2"/>
      <c r="G134" s="3"/>
      <c r="I134" s="3"/>
      <c r="J134" s="3"/>
      <c r="O134" s="4"/>
      <c r="P134" s="2"/>
      <c r="Q134" s="8">
        <f>Table7[[#This Row],[Date Closed]]-Table7[[#This Row],[Date Raised]]</f>
        <v>0</v>
      </c>
    </row>
    <row r="135" spans="2:17" ht="15.6" x14ac:dyDescent="0.25">
      <c r="B135" s="2"/>
      <c r="D135" s="2"/>
      <c r="E135" s="2"/>
      <c r="G135" s="3"/>
      <c r="I135" s="3"/>
      <c r="J135" s="3"/>
      <c r="O135" s="4"/>
      <c r="P135" s="2"/>
      <c r="Q135" s="8">
        <f>Table7[[#This Row],[Date Closed]]-Table7[[#This Row],[Date Raised]]</f>
        <v>0</v>
      </c>
    </row>
    <row r="136" spans="2:17" ht="15.6" x14ac:dyDescent="0.25">
      <c r="B136" s="2"/>
      <c r="D136" s="2"/>
      <c r="E136" s="2"/>
      <c r="G136" s="3"/>
      <c r="I136" s="3"/>
      <c r="J136" s="3"/>
      <c r="O136" s="4"/>
      <c r="P136" s="2"/>
      <c r="Q136" s="8">
        <f>Table7[[#This Row],[Date Closed]]-Table7[[#This Row],[Date Raised]]</f>
        <v>0</v>
      </c>
    </row>
    <row r="137" spans="2:17" ht="15.6" x14ac:dyDescent="0.25">
      <c r="B137" s="2"/>
      <c r="D137" s="2"/>
      <c r="E137" s="2"/>
      <c r="G137" s="3"/>
      <c r="I137" s="3"/>
      <c r="J137" s="3"/>
      <c r="O137" s="4"/>
      <c r="P137" s="2"/>
      <c r="Q137" s="8">
        <f>Table7[[#This Row],[Date Closed]]-Table7[[#This Row],[Date Raised]]</f>
        <v>0</v>
      </c>
    </row>
    <row r="138" spans="2:17" ht="15.6" x14ac:dyDescent="0.25">
      <c r="B138" s="2"/>
      <c r="D138" s="2"/>
      <c r="E138" s="2"/>
      <c r="G138" s="3"/>
      <c r="I138" s="3"/>
      <c r="J138" s="3"/>
      <c r="O138" s="4"/>
      <c r="P138" s="2"/>
      <c r="Q138" s="8">
        <f>Table7[[#This Row],[Date Closed]]-Table7[[#This Row],[Date Raised]]</f>
        <v>0</v>
      </c>
    </row>
    <row r="139" spans="2:17" ht="15.6" x14ac:dyDescent="0.25">
      <c r="B139" s="2"/>
      <c r="D139" s="2"/>
      <c r="E139" s="2"/>
      <c r="G139" s="3"/>
      <c r="I139" s="3"/>
      <c r="J139" s="3"/>
      <c r="O139" s="4"/>
      <c r="P139" s="2"/>
      <c r="Q139" s="8">
        <f>Table7[[#This Row],[Date Closed]]-Table7[[#This Row],[Date Raised]]</f>
        <v>0</v>
      </c>
    </row>
    <row r="140" spans="2:17" ht="15.6" x14ac:dyDescent="0.25">
      <c r="B140" s="2"/>
      <c r="D140" s="2"/>
      <c r="E140" s="2"/>
      <c r="G140" s="3"/>
      <c r="I140" s="3"/>
      <c r="J140" s="3"/>
      <c r="O140" s="4"/>
      <c r="P140" s="2"/>
      <c r="Q140" s="8">
        <f>Table7[[#This Row],[Date Closed]]-Table7[[#This Row],[Date Raised]]</f>
        <v>0</v>
      </c>
    </row>
    <row r="141" spans="2:17" ht="15.6" x14ac:dyDescent="0.25">
      <c r="B141" s="2"/>
      <c r="D141" s="2"/>
      <c r="E141" s="2"/>
      <c r="G141" s="3"/>
      <c r="I141" s="3"/>
      <c r="J141" s="3"/>
      <c r="O141" s="4"/>
      <c r="P141" s="2"/>
      <c r="Q141" s="8">
        <f>Table7[[#This Row],[Date Closed]]-Table7[[#This Row],[Date Raised]]</f>
        <v>0</v>
      </c>
    </row>
    <row r="142" spans="2:17" ht="15.6" x14ac:dyDescent="0.25">
      <c r="B142" s="2"/>
      <c r="D142" s="2"/>
      <c r="E142" s="2"/>
      <c r="G142" s="3"/>
      <c r="I142" s="3"/>
      <c r="J142" s="3"/>
      <c r="O142" s="4"/>
      <c r="P142" s="2"/>
      <c r="Q142" s="8">
        <f>Table7[[#This Row],[Date Closed]]-Table7[[#This Row],[Date Raised]]</f>
        <v>0</v>
      </c>
    </row>
    <row r="143" spans="2:17" ht="15.6" x14ac:dyDescent="0.25">
      <c r="B143" s="2"/>
      <c r="D143" s="2"/>
      <c r="E143" s="2"/>
      <c r="G143" s="3"/>
      <c r="I143" s="3"/>
      <c r="J143" s="3"/>
      <c r="O143" s="4"/>
      <c r="P143" s="2"/>
      <c r="Q143" s="8">
        <f>Table7[[#This Row],[Date Closed]]-Table7[[#This Row],[Date Raised]]</f>
        <v>0</v>
      </c>
    </row>
    <row r="144" spans="2:17" ht="15.6" x14ac:dyDescent="0.25">
      <c r="B144" s="2"/>
      <c r="D144" s="2"/>
      <c r="E144" s="2"/>
      <c r="G144" s="3"/>
      <c r="I144" s="3"/>
      <c r="J144" s="3"/>
      <c r="O144" s="4"/>
      <c r="P144" s="2"/>
      <c r="Q144" s="8">
        <f>Table7[[#This Row],[Date Closed]]-Table7[[#This Row],[Date Raised]]</f>
        <v>0</v>
      </c>
    </row>
    <row r="145" spans="2:17" ht="15.6" x14ac:dyDescent="0.25">
      <c r="B145" s="2"/>
      <c r="D145" s="2"/>
      <c r="E145" s="2"/>
      <c r="G145" s="3"/>
      <c r="I145" s="3"/>
      <c r="J145" s="3"/>
      <c r="O145" s="4"/>
      <c r="P145" s="2"/>
      <c r="Q145" s="8">
        <f>Table7[[#This Row],[Date Closed]]-Table7[[#This Row],[Date Raised]]</f>
        <v>0</v>
      </c>
    </row>
    <row r="146" spans="2:17" ht="15.6" x14ac:dyDescent="0.25">
      <c r="B146" s="2"/>
      <c r="D146" s="2"/>
      <c r="E146" s="2"/>
      <c r="G146" s="3"/>
      <c r="I146" s="3"/>
      <c r="J146" s="3"/>
      <c r="O146" s="4"/>
      <c r="P146" s="2"/>
      <c r="Q146" s="8">
        <f>Table7[[#This Row],[Date Closed]]-Table7[[#This Row],[Date Raised]]</f>
        <v>0</v>
      </c>
    </row>
    <row r="147" spans="2:17" ht="15.6" x14ac:dyDescent="0.25">
      <c r="B147" s="2"/>
      <c r="D147" s="2"/>
      <c r="E147" s="2"/>
      <c r="G147" s="3"/>
      <c r="I147" s="3"/>
      <c r="J147" s="3"/>
      <c r="O147" s="4"/>
      <c r="P147" s="2"/>
      <c r="Q147" s="8">
        <f>Table7[[#This Row],[Date Closed]]-Table7[[#This Row],[Date Raised]]</f>
        <v>0</v>
      </c>
    </row>
    <row r="148" spans="2:17" ht="15.6" x14ac:dyDescent="0.25">
      <c r="B148" s="2"/>
      <c r="D148" s="2"/>
      <c r="E148" s="2"/>
      <c r="G148" s="3"/>
      <c r="I148" s="3"/>
      <c r="J148" s="3"/>
      <c r="O148" s="4"/>
      <c r="P148" s="2"/>
      <c r="Q148" s="8">
        <f>Table7[[#This Row],[Date Closed]]-Table7[[#This Row],[Date Raised]]</f>
        <v>0</v>
      </c>
    </row>
    <row r="149" spans="2:17" ht="15.6" x14ac:dyDescent="0.25">
      <c r="B149" s="2"/>
      <c r="D149" s="2"/>
      <c r="E149" s="2"/>
      <c r="G149" s="3"/>
      <c r="I149" s="3"/>
      <c r="J149" s="3"/>
      <c r="O149" s="4"/>
      <c r="P149" s="2"/>
      <c r="Q149" s="8">
        <f>Table7[[#This Row],[Date Closed]]-Table7[[#This Row],[Date Raised]]</f>
        <v>0</v>
      </c>
    </row>
    <row r="150" spans="2:17" ht="15.6" x14ac:dyDescent="0.25">
      <c r="B150" s="2"/>
      <c r="D150" s="2"/>
      <c r="E150" s="2"/>
      <c r="G150" s="3"/>
      <c r="I150" s="3"/>
      <c r="J150" s="3"/>
      <c r="O150" s="4"/>
      <c r="P150" s="2"/>
      <c r="Q150" s="8">
        <f>Table7[[#This Row],[Date Closed]]-Table7[[#This Row],[Date Raised]]</f>
        <v>0</v>
      </c>
    </row>
    <row r="151" spans="2:17" ht="15.6" x14ac:dyDescent="0.25">
      <c r="B151" s="2"/>
      <c r="D151" s="2"/>
      <c r="E151" s="2"/>
      <c r="G151" s="3"/>
      <c r="I151" s="3"/>
      <c r="J151" s="3"/>
      <c r="O151" s="4"/>
      <c r="P151" s="2"/>
      <c r="Q151" s="8">
        <f>Table7[[#This Row],[Date Closed]]-Table7[[#This Row],[Date Raised]]</f>
        <v>0</v>
      </c>
    </row>
    <row r="152" spans="2:17" ht="15.6" x14ac:dyDescent="0.25">
      <c r="B152" s="2"/>
      <c r="D152" s="2"/>
      <c r="E152" s="2"/>
      <c r="G152" s="3"/>
      <c r="I152" s="3"/>
      <c r="J152" s="3"/>
      <c r="O152" s="4"/>
      <c r="P152" s="2"/>
      <c r="Q152" s="8">
        <f>Table7[[#This Row],[Date Closed]]-Table7[[#This Row],[Date Raised]]</f>
        <v>0</v>
      </c>
    </row>
    <row r="153" spans="2:17" ht="15.6" x14ac:dyDescent="0.25">
      <c r="B153" s="2"/>
      <c r="D153" s="2"/>
      <c r="E153" s="2"/>
      <c r="G153" s="3"/>
      <c r="I153" s="3"/>
      <c r="J153" s="3"/>
      <c r="O153" s="4"/>
      <c r="P153" s="2"/>
      <c r="Q153" s="8">
        <f>Table7[[#This Row],[Date Closed]]-Table7[[#This Row],[Date Raised]]</f>
        <v>0</v>
      </c>
    </row>
    <row r="154" spans="2:17" ht="15.6" x14ac:dyDescent="0.25">
      <c r="B154" s="2"/>
      <c r="D154" s="2"/>
      <c r="E154" s="2"/>
      <c r="G154" s="3"/>
      <c r="I154" s="3"/>
      <c r="J154" s="3"/>
      <c r="O154" s="4"/>
      <c r="P154" s="2"/>
      <c r="Q154" s="8">
        <f>Table7[[#This Row],[Date Closed]]-Table7[[#This Row],[Date Raised]]</f>
        <v>0</v>
      </c>
    </row>
    <row r="155" spans="2:17" ht="15.6" x14ac:dyDescent="0.25">
      <c r="B155" s="2"/>
      <c r="D155" s="2"/>
      <c r="E155" s="2"/>
      <c r="G155" s="3"/>
      <c r="I155" s="3"/>
      <c r="J155" s="3"/>
      <c r="O155" s="4"/>
      <c r="P155" s="2"/>
      <c r="Q155" s="8">
        <f>Table7[[#This Row],[Date Closed]]-Table7[[#This Row],[Date Raised]]</f>
        <v>0</v>
      </c>
    </row>
    <row r="156" spans="2:17" ht="15.6" x14ac:dyDescent="0.25">
      <c r="B156" s="2"/>
      <c r="D156" s="2"/>
      <c r="E156" s="2"/>
      <c r="G156" s="3"/>
      <c r="I156" s="3"/>
      <c r="J156" s="3"/>
      <c r="O156" s="4"/>
      <c r="P156" s="2"/>
      <c r="Q156" s="8">
        <f>Table7[[#This Row],[Date Closed]]-Table7[[#This Row],[Date Raised]]</f>
        <v>0</v>
      </c>
    </row>
    <row r="157" spans="2:17" ht="15.6" x14ac:dyDescent="0.25">
      <c r="B157" s="2"/>
      <c r="D157" s="2"/>
      <c r="E157" s="2"/>
      <c r="G157" s="3"/>
      <c r="I157" s="3"/>
      <c r="J157" s="3"/>
      <c r="O157" s="4"/>
      <c r="P157" s="2"/>
      <c r="Q157" s="8">
        <f>Table7[[#This Row],[Date Closed]]-Table7[[#This Row],[Date Raised]]</f>
        <v>0</v>
      </c>
    </row>
    <row r="158" spans="2:17" ht="15.6" x14ac:dyDescent="0.25">
      <c r="B158" s="2"/>
      <c r="D158" s="2"/>
      <c r="E158" s="2"/>
      <c r="G158" s="3"/>
      <c r="I158" s="3"/>
      <c r="J158" s="3"/>
      <c r="O158" s="4"/>
      <c r="P158" s="2"/>
      <c r="Q158" s="8">
        <f>Table7[[#This Row],[Date Closed]]-Table7[[#This Row],[Date Raised]]</f>
        <v>0</v>
      </c>
    </row>
    <row r="159" spans="2:17" ht="15.6" x14ac:dyDescent="0.25">
      <c r="B159" s="2"/>
      <c r="D159" s="2"/>
      <c r="E159" s="2"/>
      <c r="G159" s="3"/>
      <c r="I159" s="3"/>
      <c r="J159" s="3"/>
      <c r="O159" s="4"/>
      <c r="P159" s="2"/>
      <c r="Q159" s="8">
        <f>Table7[[#This Row],[Date Closed]]-Table7[[#This Row],[Date Raised]]</f>
        <v>0</v>
      </c>
    </row>
    <row r="160" spans="2:17" ht="15.6" x14ac:dyDescent="0.25">
      <c r="B160" s="2"/>
      <c r="D160" s="2"/>
      <c r="E160" s="2"/>
      <c r="G160" s="3"/>
      <c r="I160" s="3"/>
      <c r="J160" s="3"/>
      <c r="O160" s="4"/>
      <c r="P160" s="2"/>
      <c r="Q160" s="8">
        <f>Table7[[#This Row],[Date Closed]]-Table7[[#This Row],[Date Raised]]</f>
        <v>0</v>
      </c>
    </row>
    <row r="161" spans="2:17" ht="15.6" x14ac:dyDescent="0.25">
      <c r="B161" s="2"/>
      <c r="D161" s="2"/>
      <c r="E161" s="2"/>
      <c r="G161" s="3"/>
      <c r="I161" s="3"/>
      <c r="J161" s="3"/>
      <c r="O161" s="4"/>
      <c r="P161" s="2"/>
      <c r="Q161" s="8">
        <f>Table7[[#This Row],[Date Closed]]-Table7[[#This Row],[Date Raised]]</f>
        <v>0</v>
      </c>
    </row>
    <row r="162" spans="2:17" ht="15.6" x14ac:dyDescent="0.25">
      <c r="B162" s="2"/>
      <c r="D162" s="2"/>
      <c r="E162" s="2"/>
      <c r="G162" s="3"/>
      <c r="I162" s="3"/>
      <c r="J162" s="3"/>
      <c r="O162" s="4"/>
      <c r="P162" s="2"/>
      <c r="Q162" s="8">
        <f>Table7[[#This Row],[Date Closed]]-Table7[[#This Row],[Date Raised]]</f>
        <v>0</v>
      </c>
    </row>
    <row r="163" spans="2:17" ht="15.6" x14ac:dyDescent="0.25">
      <c r="B163" s="2"/>
      <c r="D163" s="2"/>
      <c r="E163" s="2"/>
      <c r="G163" s="3"/>
      <c r="I163" s="3"/>
      <c r="J163" s="3"/>
      <c r="O163" s="4"/>
      <c r="P163" s="2"/>
      <c r="Q163" s="8">
        <f>Table7[[#This Row],[Date Closed]]-Table7[[#This Row],[Date Raised]]</f>
        <v>0</v>
      </c>
    </row>
    <row r="164" spans="2:17" ht="15.6" x14ac:dyDescent="0.25">
      <c r="B164" s="2"/>
      <c r="D164" s="2"/>
      <c r="E164" s="2"/>
      <c r="G164" s="3"/>
      <c r="I164" s="3"/>
      <c r="J164" s="3"/>
      <c r="O164" s="4"/>
      <c r="P164" s="2"/>
      <c r="Q164" s="8">
        <f>Table7[[#This Row],[Date Closed]]-Table7[[#This Row],[Date Raised]]</f>
        <v>0</v>
      </c>
    </row>
    <row r="165" spans="2:17" ht="15.6" x14ac:dyDescent="0.25">
      <c r="B165" s="2"/>
      <c r="D165" s="2"/>
      <c r="E165" s="2"/>
      <c r="G165" s="3"/>
      <c r="I165" s="3"/>
      <c r="J165" s="3"/>
      <c r="O165" s="4"/>
      <c r="P165" s="2"/>
      <c r="Q165" s="8">
        <f>Table7[[#This Row],[Date Closed]]-Table7[[#This Row],[Date Raised]]</f>
        <v>0</v>
      </c>
    </row>
    <row r="166" spans="2:17" ht="15.6" x14ac:dyDescent="0.25">
      <c r="B166" s="2"/>
      <c r="D166" s="2"/>
      <c r="E166" s="2"/>
      <c r="G166" s="3"/>
      <c r="I166" s="3"/>
      <c r="J166" s="3"/>
      <c r="O166" s="4"/>
      <c r="P166" s="2"/>
      <c r="Q166" s="8">
        <f>Table7[[#This Row],[Date Closed]]-Table7[[#This Row],[Date Raised]]</f>
        <v>0</v>
      </c>
    </row>
    <row r="167" spans="2:17" ht="15.6" x14ac:dyDescent="0.25">
      <c r="B167" s="2"/>
      <c r="D167" s="2"/>
      <c r="E167" s="2"/>
      <c r="G167" s="3"/>
      <c r="I167" s="3"/>
      <c r="J167" s="3"/>
      <c r="O167" s="4"/>
      <c r="P167" s="2"/>
      <c r="Q167" s="8">
        <f>Table7[[#This Row],[Date Closed]]-Table7[[#This Row],[Date Raised]]</f>
        <v>0</v>
      </c>
    </row>
    <row r="168" spans="2:17" ht="15.6" x14ac:dyDescent="0.25">
      <c r="B168" s="2"/>
      <c r="D168" s="2"/>
      <c r="E168" s="2"/>
      <c r="G168" s="3"/>
      <c r="I168" s="3"/>
      <c r="J168" s="3"/>
      <c r="O168" s="4"/>
      <c r="P168" s="2"/>
      <c r="Q168" s="8">
        <f>Table7[[#This Row],[Date Closed]]-Table7[[#This Row],[Date Raised]]</f>
        <v>0</v>
      </c>
    </row>
    <row r="169" spans="2:17" ht="15.6" x14ac:dyDescent="0.25">
      <c r="B169" s="2"/>
      <c r="D169" s="2"/>
      <c r="E169" s="2"/>
      <c r="G169" s="3"/>
      <c r="I169" s="3"/>
      <c r="J169" s="3"/>
      <c r="O169" s="4"/>
      <c r="P169" s="2"/>
      <c r="Q169" s="8">
        <f>Table7[[#This Row],[Date Closed]]-Table7[[#This Row],[Date Raised]]</f>
        <v>0</v>
      </c>
    </row>
    <row r="170" spans="2:17" ht="15.6" x14ac:dyDescent="0.25">
      <c r="B170" s="2"/>
      <c r="D170" s="2"/>
      <c r="E170" s="2"/>
      <c r="G170" s="3"/>
      <c r="I170" s="3"/>
      <c r="J170" s="3"/>
      <c r="O170" s="4"/>
      <c r="P170" s="2"/>
      <c r="Q170" s="8">
        <f>Table7[[#This Row],[Date Closed]]-Table7[[#This Row],[Date Raised]]</f>
        <v>0</v>
      </c>
    </row>
    <row r="171" spans="2:17" ht="15.6" x14ac:dyDescent="0.25">
      <c r="B171" s="2"/>
      <c r="D171" s="2"/>
      <c r="E171" s="2"/>
      <c r="G171" s="3"/>
      <c r="I171" s="3"/>
      <c r="J171" s="3"/>
      <c r="O171" s="4"/>
      <c r="P171" s="2"/>
      <c r="Q171" s="8">
        <f>Table7[[#This Row],[Date Closed]]-Table7[[#This Row],[Date Raised]]</f>
        <v>0</v>
      </c>
    </row>
    <row r="172" spans="2:17" ht="15.6" x14ac:dyDescent="0.25">
      <c r="B172" s="2"/>
      <c r="D172" s="2"/>
      <c r="E172" s="2"/>
      <c r="G172" s="3"/>
      <c r="I172" s="3"/>
      <c r="J172" s="3"/>
      <c r="O172" s="4"/>
      <c r="P172" s="2"/>
      <c r="Q172" s="8">
        <f>Table7[[#This Row],[Date Closed]]-Table7[[#This Row],[Date Raised]]</f>
        <v>0</v>
      </c>
    </row>
    <row r="173" spans="2:17" ht="15.6" x14ac:dyDescent="0.25">
      <c r="B173" s="2"/>
      <c r="D173" s="2"/>
      <c r="E173" s="2"/>
      <c r="G173" s="3"/>
      <c r="I173" s="3"/>
      <c r="J173" s="3"/>
      <c r="O173" s="4"/>
      <c r="P173" s="2"/>
      <c r="Q173" s="8">
        <f>Table7[[#This Row],[Date Closed]]-Table7[[#This Row],[Date Raised]]</f>
        <v>0</v>
      </c>
    </row>
    <row r="174" spans="2:17" ht="15.6" x14ac:dyDescent="0.25">
      <c r="B174" s="2"/>
      <c r="D174" s="2"/>
      <c r="E174" s="2"/>
      <c r="G174" s="3"/>
      <c r="I174" s="3"/>
      <c r="J174" s="3"/>
      <c r="O174" s="4"/>
      <c r="P174" s="2"/>
      <c r="Q174" s="8">
        <f>Table7[[#This Row],[Date Closed]]-Table7[[#This Row],[Date Raised]]</f>
        <v>0</v>
      </c>
    </row>
    <row r="175" spans="2:17" ht="15.6" x14ac:dyDescent="0.25">
      <c r="B175" s="2"/>
      <c r="D175" s="2"/>
      <c r="E175" s="2"/>
      <c r="G175" s="3"/>
      <c r="I175" s="3"/>
      <c r="J175" s="3"/>
      <c r="O175" s="4"/>
      <c r="P175" s="2"/>
      <c r="Q175" s="8">
        <f>Table7[[#This Row],[Date Closed]]-Table7[[#This Row],[Date Raised]]</f>
        <v>0</v>
      </c>
    </row>
    <row r="176" spans="2:17" ht="15.6" x14ac:dyDescent="0.25">
      <c r="B176" s="2"/>
      <c r="D176" s="2"/>
      <c r="E176" s="2"/>
      <c r="G176" s="3"/>
      <c r="I176" s="3"/>
      <c r="J176" s="3"/>
      <c r="O176" s="4"/>
      <c r="P176" s="2"/>
      <c r="Q176" s="8">
        <f>Table7[[#This Row],[Date Closed]]-Table7[[#This Row],[Date Raised]]</f>
        <v>0</v>
      </c>
    </row>
    <row r="177" spans="2:17" ht="15.6" x14ac:dyDescent="0.25">
      <c r="B177" s="2"/>
      <c r="D177" s="2"/>
      <c r="E177" s="2"/>
      <c r="G177" s="3"/>
      <c r="I177" s="3"/>
      <c r="J177" s="3"/>
      <c r="O177" s="4"/>
      <c r="P177" s="2"/>
      <c r="Q177" s="8">
        <f>Table7[[#This Row],[Date Closed]]-Table7[[#This Row],[Date Raised]]</f>
        <v>0</v>
      </c>
    </row>
    <row r="178" spans="2:17" ht="15.6" x14ac:dyDescent="0.25">
      <c r="B178" s="2"/>
      <c r="D178" s="2"/>
      <c r="E178" s="2"/>
      <c r="G178" s="3"/>
      <c r="I178" s="3"/>
      <c r="J178" s="3"/>
      <c r="O178" s="4"/>
      <c r="P178" s="2"/>
      <c r="Q178" s="8">
        <f>Table7[[#This Row],[Date Closed]]-Table7[[#This Row],[Date Raised]]</f>
        <v>0</v>
      </c>
    </row>
    <row r="179" spans="2:17" ht="15.6" x14ac:dyDescent="0.25">
      <c r="B179" s="2"/>
      <c r="D179" s="2"/>
      <c r="E179" s="2"/>
      <c r="G179" s="3"/>
      <c r="I179" s="3"/>
      <c r="J179" s="3"/>
      <c r="O179" s="4"/>
      <c r="P179" s="2"/>
      <c r="Q179" s="8">
        <f>Table7[[#This Row],[Date Closed]]-Table7[[#This Row],[Date Raised]]</f>
        <v>0</v>
      </c>
    </row>
    <row r="180" spans="2:17" ht="15.6" x14ac:dyDescent="0.25">
      <c r="B180" s="2"/>
      <c r="D180" s="2"/>
      <c r="E180" s="2"/>
      <c r="G180" s="3"/>
      <c r="I180" s="3"/>
      <c r="J180" s="3"/>
      <c r="O180" s="4"/>
      <c r="P180" s="2"/>
      <c r="Q180" s="8">
        <f>Table7[[#This Row],[Date Closed]]-Table7[[#This Row],[Date Raised]]</f>
        <v>0</v>
      </c>
    </row>
    <row r="181" spans="2:17" ht="15.6" x14ac:dyDescent="0.25">
      <c r="B181" s="2"/>
      <c r="D181" s="2"/>
      <c r="E181" s="2"/>
      <c r="G181" s="3"/>
      <c r="I181" s="3"/>
      <c r="J181" s="3"/>
      <c r="O181" s="4"/>
      <c r="P181" s="2"/>
      <c r="Q181" s="8">
        <f>Table7[[#This Row],[Date Closed]]-Table7[[#This Row],[Date Raised]]</f>
        <v>0</v>
      </c>
    </row>
    <row r="182" spans="2:17" ht="15.6" x14ac:dyDescent="0.25">
      <c r="B182" s="2"/>
      <c r="D182" s="2"/>
      <c r="E182" s="2"/>
      <c r="G182" s="3"/>
      <c r="I182" s="3"/>
      <c r="J182" s="3"/>
      <c r="O182" s="4"/>
      <c r="P182" s="2"/>
      <c r="Q182" s="8">
        <f>Table7[[#This Row],[Date Closed]]-Table7[[#This Row],[Date Raised]]</f>
        <v>0</v>
      </c>
    </row>
    <row r="183" spans="2:17" ht="15.6" x14ac:dyDescent="0.25">
      <c r="B183" s="2"/>
      <c r="D183" s="2"/>
      <c r="E183" s="2"/>
      <c r="G183" s="3"/>
      <c r="I183" s="3"/>
      <c r="J183" s="3"/>
      <c r="O183" s="4"/>
      <c r="P183" s="2"/>
      <c r="Q183" s="8">
        <f>Table7[[#This Row],[Date Closed]]-Table7[[#This Row],[Date Raised]]</f>
        <v>0</v>
      </c>
    </row>
    <row r="184" spans="2:17" ht="15.6" x14ac:dyDescent="0.25">
      <c r="B184" s="2"/>
      <c r="D184" s="2"/>
      <c r="E184" s="2"/>
      <c r="G184" s="3"/>
      <c r="I184" s="3"/>
      <c r="J184" s="3"/>
      <c r="O184" s="4"/>
      <c r="P184" s="2"/>
      <c r="Q184" s="8">
        <f>Table7[[#This Row],[Date Closed]]-Table7[[#This Row],[Date Raised]]</f>
        <v>0</v>
      </c>
    </row>
    <row r="185" spans="2:17" ht="15.6" x14ac:dyDescent="0.25">
      <c r="B185" s="2"/>
      <c r="D185" s="2"/>
      <c r="E185" s="2"/>
      <c r="G185" s="3"/>
      <c r="I185" s="3"/>
      <c r="J185" s="3"/>
      <c r="O185" s="4"/>
      <c r="P185" s="2"/>
      <c r="Q185" s="8">
        <f>Table7[[#This Row],[Date Closed]]-Table7[[#This Row],[Date Raised]]</f>
        <v>0</v>
      </c>
    </row>
    <row r="186" spans="2:17" ht="15.6" x14ac:dyDescent="0.25">
      <c r="B186" s="2"/>
      <c r="D186" s="2"/>
      <c r="E186" s="2"/>
      <c r="G186" s="3"/>
      <c r="I186" s="3"/>
      <c r="J186" s="3"/>
      <c r="O186" s="4"/>
      <c r="P186" s="2"/>
      <c r="Q186" s="8">
        <f>Table7[[#This Row],[Date Closed]]-Table7[[#This Row],[Date Raised]]</f>
        <v>0</v>
      </c>
    </row>
    <row r="187" spans="2:17" ht="15.6" x14ac:dyDescent="0.25">
      <c r="B187" s="2"/>
      <c r="D187" s="2"/>
      <c r="E187" s="2"/>
      <c r="G187" s="3"/>
      <c r="I187" s="3"/>
      <c r="J187" s="3"/>
      <c r="O187" s="4"/>
      <c r="P187" s="2"/>
      <c r="Q187" s="8">
        <f>Table7[[#This Row],[Date Closed]]-Table7[[#This Row],[Date Raised]]</f>
        <v>0</v>
      </c>
    </row>
    <row r="188" spans="2:17" ht="15.6" x14ac:dyDescent="0.25">
      <c r="B188" s="2"/>
      <c r="D188" s="2"/>
      <c r="E188" s="2"/>
      <c r="G188" s="3"/>
      <c r="I188" s="3"/>
      <c r="J188" s="3"/>
      <c r="O188" s="4"/>
      <c r="P188" s="2"/>
      <c r="Q188" s="8">
        <f>Table7[[#This Row],[Date Closed]]-Table7[[#This Row],[Date Raised]]</f>
        <v>0</v>
      </c>
    </row>
    <row r="189" spans="2:17" ht="15.6" x14ac:dyDescent="0.25">
      <c r="B189" s="2"/>
      <c r="D189" s="2"/>
      <c r="E189" s="2"/>
      <c r="G189" s="3"/>
      <c r="I189" s="3"/>
      <c r="J189" s="3"/>
      <c r="O189" s="4"/>
      <c r="P189" s="2"/>
      <c r="Q189" s="8">
        <f>Table7[[#This Row],[Date Closed]]-Table7[[#This Row],[Date Raised]]</f>
        <v>0</v>
      </c>
    </row>
    <row r="190" spans="2:17" ht="15.6" x14ac:dyDescent="0.25">
      <c r="B190" s="2"/>
      <c r="D190" s="2"/>
      <c r="E190" s="2"/>
      <c r="G190" s="3"/>
      <c r="I190" s="3"/>
      <c r="J190" s="3"/>
      <c r="O190" s="4"/>
      <c r="P190" s="2"/>
      <c r="Q190" s="8">
        <f>Table7[[#This Row],[Date Closed]]-Table7[[#This Row],[Date Raised]]</f>
        <v>0</v>
      </c>
    </row>
    <row r="191" spans="2:17" ht="15.6" x14ac:dyDescent="0.25">
      <c r="B191" s="2"/>
      <c r="D191" s="2"/>
      <c r="E191" s="2"/>
      <c r="G191" s="3"/>
      <c r="I191" s="3"/>
      <c r="J191" s="3"/>
      <c r="O191" s="4"/>
      <c r="P191" s="2"/>
      <c r="Q191" s="8">
        <f>Table7[[#This Row],[Date Closed]]-Table7[[#This Row],[Date Raised]]</f>
        <v>0</v>
      </c>
    </row>
    <row r="192" spans="2:17" ht="15.6" x14ac:dyDescent="0.25">
      <c r="B192" s="2"/>
      <c r="D192" s="2"/>
      <c r="E192" s="2"/>
      <c r="G192" s="3"/>
      <c r="I192" s="3"/>
      <c r="J192" s="3"/>
      <c r="O192" s="4"/>
      <c r="P192" s="2"/>
      <c r="Q192" s="8">
        <f>Table7[[#This Row],[Date Closed]]-Table7[[#This Row],[Date Raised]]</f>
        <v>0</v>
      </c>
    </row>
    <row r="193" spans="2:17" ht="15.6" x14ac:dyDescent="0.25">
      <c r="B193" s="2"/>
      <c r="D193" s="2"/>
      <c r="E193" s="2"/>
      <c r="G193" s="3"/>
      <c r="I193" s="3"/>
      <c r="J193" s="3"/>
      <c r="O193" s="4"/>
      <c r="P193" s="2"/>
      <c r="Q193" s="8">
        <f>Table7[[#This Row],[Date Closed]]-Table7[[#This Row],[Date Raised]]</f>
        <v>0</v>
      </c>
    </row>
    <row r="194" spans="2:17" ht="15.6" x14ac:dyDescent="0.25">
      <c r="B194" s="2"/>
      <c r="D194" s="2"/>
      <c r="E194" s="2"/>
      <c r="G194" s="3"/>
      <c r="I194" s="3"/>
      <c r="J194" s="3"/>
      <c r="O194" s="4"/>
      <c r="P194" s="2"/>
      <c r="Q194" s="8">
        <f>Table7[[#This Row],[Date Closed]]-Table7[[#This Row],[Date Raised]]</f>
        <v>0</v>
      </c>
    </row>
    <row r="195" spans="2:17" ht="15.6" x14ac:dyDescent="0.25">
      <c r="B195" s="2"/>
      <c r="D195" s="2"/>
      <c r="E195" s="2"/>
      <c r="G195" s="3"/>
      <c r="I195" s="3"/>
      <c r="J195" s="3"/>
      <c r="O195" s="4"/>
      <c r="P195" s="2"/>
      <c r="Q195" s="8">
        <f>Table7[[#This Row],[Date Closed]]-Table7[[#This Row],[Date Raised]]</f>
        <v>0</v>
      </c>
    </row>
    <row r="196" spans="2:17" ht="15.6" x14ac:dyDescent="0.25">
      <c r="B196" s="2"/>
      <c r="D196" s="2"/>
      <c r="E196" s="2"/>
      <c r="G196" s="3"/>
      <c r="I196" s="3"/>
      <c r="J196" s="3"/>
      <c r="O196" s="4"/>
      <c r="P196" s="2"/>
      <c r="Q196" s="8">
        <f>Table7[[#This Row],[Date Closed]]-Table7[[#This Row],[Date Raised]]</f>
        <v>0</v>
      </c>
    </row>
  </sheetData>
  <sheetProtection algorithmName="SHA-512" hashValue="SFlrSXPXlqen4IwYNiCkYu2B8nFV0ZwQUhETGCfsmgvHga4lvlEJ2xS9QiT/1d5WyIQP0F0AhRv4p9ntjuqmUw==" saltValue="uMEud4cHXsL7mhGnk2roiA==" spinCount="100000" sheet="1" objects="1" scenarios="1" autoFilter="0"/>
  <mergeCells count="3">
    <mergeCell ref="A1:F1"/>
    <mergeCell ref="G1:N1"/>
    <mergeCell ref="O1:XFD1"/>
  </mergeCells>
  <phoneticPr fontId="2" type="noConversion"/>
  <conditionalFormatting sqref="F3:F1048576">
    <cfRule type="containsText" dxfId="7" priority="6" operator="containsText" text="Atypical">
      <formula>NOT(ISERROR(SEARCH("Atypical",F3)))</formula>
    </cfRule>
    <cfRule type="containsText" dxfId="6" priority="7" operator="containsText" text="OOT">
      <formula>NOT(ISERROR(SEARCH("OOT",F3)))</formula>
    </cfRule>
    <cfRule type="containsText" dxfId="5" priority="8" operator="containsText" text="OOS">
      <formula>NOT(ISERROR(SEARCH("OOS",F3)))</formula>
    </cfRule>
  </conditionalFormatting>
  <conditionalFormatting sqref="L3:N1048576">
    <cfRule type="containsText" dxfId="4" priority="1" operator="containsText" text="Other (insert comment in comment section)">
      <formula>NOT(ISERROR(SEARCH("Other (insert comment in comment section)",L3)))</formula>
    </cfRule>
    <cfRule type="containsText" dxfId="3" priority="2" operator="containsText" text="No">
      <formula>NOT(ISERROR(SEARCH("No",L3)))</formula>
    </cfRule>
    <cfRule type="containsText" dxfId="2" priority="3" operator="containsText" text="Yes">
      <formula>NOT(ISERROR(SEARCH("Yes",L3)))</formula>
    </cfRule>
  </conditionalFormatting>
  <conditionalFormatting sqref="O3:O1048576">
    <cfRule type="containsText" dxfId="1" priority="4" operator="containsText" text="In-Progress">
      <formula>NOT(ISERROR(SEARCH("In-Progress",O3)))</formula>
    </cfRule>
    <cfRule type="containsText" dxfId="0" priority="5" operator="containsText" text="Completed">
      <formula>NOT(ISERROR(SEARCH("Completed",O3)))</formula>
    </cfRule>
  </conditionalFormatting>
  <dataValidations count="3">
    <dataValidation type="list" allowBlank="1" showInputMessage="1" showErrorMessage="1" sqref="F3:F1048576" xr:uid="{00000000-0002-0000-0000-000000000000}">
      <formula1>"OOS, OOT, Atypical"</formula1>
    </dataValidation>
    <dataValidation type="list" allowBlank="1" showInputMessage="1" showErrorMessage="1" sqref="O3:O1048576" xr:uid="{00000000-0002-0000-0000-000001000000}">
      <formula1>"Completed, In-Progress"</formula1>
    </dataValidation>
    <dataValidation type="list" allowBlank="1" showInputMessage="1" showErrorMessage="1" sqref="L3:N1048576" xr:uid="{00000000-0002-0000-0000-000002000000}">
      <formula1>"Yes, No, Other (insert comment in comment section)"</formula1>
    </dataValidation>
  </dataValidations>
  <pageMargins left="0.7" right="0.7" top="0.75" bottom="0.75" header="0.3" footer="0.3"/>
  <pageSetup paperSize="9" scale="30" fitToHeight="0" orientation="landscape" r:id="rId1"/>
  <headerFooter>
    <oddFooter>&amp;LPrinted By (Print &amp; Sign):________________________________________________________
Reviewed By (Print &amp; Sign):______________________________________________________&amp;RPage no: &amp;P of &amp;N
&amp;D, &amp;T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f983f-8b2f-4cc8-9f06-5b87614c9598" xsi:nil="true"/>
    <lcf76f155ced4ddcb4097134ff3c332f xmlns="1238d261-19dc-4c10-a5e2-efd717162f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7D0584C65D54BA5094F13A0FC7D85" ma:contentTypeVersion="16" ma:contentTypeDescription="Create a new document." ma:contentTypeScope="" ma:versionID="e3cb76a1a49c7f3335bb1ec3b4c13603">
  <xsd:schema xmlns:xsd="http://www.w3.org/2001/XMLSchema" xmlns:xs="http://www.w3.org/2001/XMLSchema" xmlns:p="http://schemas.microsoft.com/office/2006/metadata/properties" xmlns:ns2="f569dac8-a9d9-40be-8f23-bfd88c56db6f" xmlns:ns3="1238d261-19dc-4c10-a5e2-efd717162ffa" xmlns:ns4="07df983f-8b2f-4cc8-9f06-5b87614c9598" targetNamespace="http://schemas.microsoft.com/office/2006/metadata/properties" ma:root="true" ma:fieldsID="1fa28a92aa75f35dea2d022687465406" ns2:_="" ns3:_="" ns4:_="">
    <xsd:import namespace="f569dac8-a9d9-40be-8f23-bfd88c56db6f"/>
    <xsd:import namespace="1238d261-19dc-4c10-a5e2-efd717162ffa"/>
    <xsd:import namespace="07df983f-8b2f-4cc8-9f06-5b87614c959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9dac8-a9d9-40be-8f23-bfd88c56db6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8d261-19dc-4c10-a5e2-efd717162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2621de-c763-4c71-a8ab-90f0fd30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f983f-8b2f-4cc8-9f06-5b87614c959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2a5fd70-d5d9-4adf-adee-5da4fcb19b3b}" ma:internalName="TaxCatchAll" ma:showField="CatchAllData" ma:web="07df983f-8b2f-4cc8-9f06-5b87614c9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D0F5C7-FEE2-4119-8AF1-03BDA7AE71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D1556F-9161-45E2-91B0-FA5D03F1A0E2}">
  <ds:schemaRefs>
    <ds:schemaRef ds:uri="http://purl.org/dc/elements/1.1/"/>
    <ds:schemaRef ds:uri="1238d261-19dc-4c10-a5e2-efd717162ffa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07df983f-8b2f-4cc8-9f06-5b87614c9598"/>
    <ds:schemaRef ds:uri="f569dac8-a9d9-40be-8f23-bfd88c56db6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A66ED1-B48B-431C-9A77-F3A52189B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69dac8-a9d9-40be-8f23-bfd88c56db6f"/>
    <ds:schemaRef ds:uri="1238d261-19dc-4c10-a5e2-efd717162ffa"/>
    <ds:schemaRef ds:uri="07df983f-8b2f-4cc8-9f06-5b87614c9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OOS-OOT</vt:lpstr>
      <vt:lpstr>'OOS-OOT'!Print_Titles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Aqsa Baig</dc:creator>
  <cp:keywords/>
  <dc:description/>
  <cp:lastModifiedBy>Minhaz Raja</cp:lastModifiedBy>
  <cp:revision/>
  <dcterms:created xsi:type="dcterms:W3CDTF">2018-01-02T11:40:51Z</dcterms:created>
  <dcterms:modified xsi:type="dcterms:W3CDTF">2026-09-02T08:52:41Z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0x010100C997D0584C65D54BA5094F13A0FC7D85</vt:lpwstr>
  </property>
  <property fmtid="{D5CDD505-2E9C-101B-9397-08002B2CF9AE}" pid="3" name="MediaServiceImageTags">
    <vt:lpwstr/>
  </property>
</Properties>
</file>