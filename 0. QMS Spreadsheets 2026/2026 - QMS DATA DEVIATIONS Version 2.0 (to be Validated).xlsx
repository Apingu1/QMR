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N:\Quality\QA\QMS DATABASE\QMS 2026\0. QMS Spreadsheets 2026\"/>
    </mc:Choice>
  </mc:AlternateContent>
  <xr:revisionPtr revIDLastSave="0" documentId="13_ncr:1_{8575CAF5-5B10-4C27-8CAB-B838AB503AD7}" xr6:coauthVersionLast="47" xr6:coauthVersionMax="47" xr10:uidLastSave="{00000000-0000-0000-0000-000000000000}"/>
  <workbookProtection workbookAlgorithmName="SHA-512" workbookHashValue="Ob64aehUizX7HyfrGolUQXIlndHIdhBqTdUex0AzwiPfM3aI78L0ZosmUUqmDkfZ/LSLqjxdFpDCZ5DY0xcFWw==" workbookSaltValue="Rq+x5CgrhloMuhwDQ190CQ==" workbookSpinCount="100000" lockStructure="1"/>
  <bookViews>
    <workbookView xWindow="-120" yWindow="-120" windowWidth="29040" windowHeight="15720" xr2:uid="{00000000-000D-0000-FFFF-FFFF00000000}"/>
  </bookViews>
  <sheets>
    <sheet name="Deviations" sheetId="1" r:id="rId1"/>
    <sheet name="Deviation Area " sheetId="2" state="hidden" r:id="rId2"/>
  </sheets>
  <definedNames>
    <definedName name="_xlnm.Print_Titles" localSheetId="0">Deviations!$1:$2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0" i="1" l="1"/>
  <c r="S20" i="1" l="1"/>
  <c r="S19" i="1"/>
  <c r="O19" i="1"/>
  <c r="M19" i="1"/>
  <c r="S18" i="1"/>
  <c r="O18" i="1"/>
  <c r="M18" i="1"/>
  <c r="M201" i="1"/>
  <c r="O201" i="1"/>
  <c r="S201" i="1"/>
  <c r="M200" i="1"/>
  <c r="O200" i="1"/>
  <c r="S200" i="1"/>
  <c r="O3" i="1"/>
  <c r="O4" i="1"/>
  <c r="O5" i="1"/>
  <c r="O6" i="1"/>
  <c r="O7" i="1"/>
  <c r="M6" i="1"/>
  <c r="S198" i="1"/>
  <c r="M198" i="1"/>
  <c r="O198" i="1"/>
  <c r="S6" i="1"/>
  <c r="S7" i="1"/>
  <c r="S8" i="1"/>
  <c r="S9" i="1"/>
  <c r="S10" i="1"/>
  <c r="S11" i="1"/>
  <c r="S12" i="1"/>
  <c r="S13" i="1"/>
  <c r="S14" i="1"/>
  <c r="S15" i="1"/>
  <c r="S16" i="1"/>
  <c r="S17"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9" i="1"/>
  <c r="S3" i="1"/>
  <c r="M5" i="1"/>
  <c r="M7" i="1"/>
  <c r="M8" i="1"/>
  <c r="M9" i="1"/>
  <c r="M10" i="1"/>
  <c r="M11" i="1"/>
  <c r="M12" i="1"/>
  <c r="M13" i="1"/>
  <c r="M14" i="1"/>
  <c r="M15" i="1"/>
  <c r="S4" i="1"/>
  <c r="S5" i="1"/>
  <c r="M16" i="1"/>
  <c r="M17" i="1"/>
  <c r="M21" i="1"/>
  <c r="M22" i="1"/>
  <c r="M23" i="1"/>
  <c r="M24" i="1"/>
  <c r="M25" i="1"/>
  <c r="M3" i="1"/>
  <c r="M4"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9" i="1"/>
  <c r="O9" i="1"/>
  <c r="O10" i="1"/>
  <c r="O11" i="1"/>
  <c r="O12" i="1"/>
  <c r="O13" i="1"/>
  <c r="O14" i="1"/>
  <c r="O15" i="1"/>
  <c r="O16" i="1"/>
  <c r="O17"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9" i="1"/>
  <c r="O8" i="1"/>
</calcChain>
</file>

<file path=xl/sharedStrings.xml><?xml version="1.0" encoding="utf-8"?>
<sst xmlns="http://schemas.openxmlformats.org/spreadsheetml/2006/main" count="601" uniqueCount="268">
  <si>
    <t>Date Deviation Raised</t>
  </si>
  <si>
    <t>QA RP</t>
  </si>
  <si>
    <t xml:space="preserve">Brief  Summary </t>
  </si>
  <si>
    <t>Part 1 Due Date</t>
  </si>
  <si>
    <t>Part 1 Completion Date</t>
  </si>
  <si>
    <t>Days Taken to do Part 1</t>
  </si>
  <si>
    <t>Details of Deviation</t>
  </si>
  <si>
    <t>Classification of Deviation</t>
  </si>
  <si>
    <t>Person Assigned</t>
  </si>
  <si>
    <t>Target Date</t>
  </si>
  <si>
    <t>Status</t>
  </si>
  <si>
    <t>QA Approval By</t>
  </si>
  <si>
    <t>Wet ink copy filed away? (Y/N)</t>
  </si>
  <si>
    <t>Location</t>
  </si>
  <si>
    <t>Comments</t>
  </si>
  <si>
    <t>Product Details 
(if applicable)</t>
  </si>
  <si>
    <t>Deviation Area (Processes and activities)</t>
  </si>
  <si>
    <t>Document Reference</t>
  </si>
  <si>
    <t>Root Cause(s) Identified</t>
  </si>
  <si>
    <t>Department(s) Invloved in Root Cause (if applicable)</t>
  </si>
  <si>
    <t>RPN</t>
  </si>
  <si>
    <t>Reclassification of Deviation</t>
  </si>
  <si>
    <t>Investigation Closed</t>
  </si>
  <si>
    <t>Days Investigation Open</t>
  </si>
  <si>
    <t>Approval Date</t>
  </si>
  <si>
    <t>Deviation Reference</t>
  </si>
  <si>
    <t>Deviation Raised By</t>
  </si>
  <si>
    <t>Root causes identified</t>
  </si>
  <si>
    <t>Department involved in root causes</t>
  </si>
  <si>
    <t>QC Standards</t>
  </si>
  <si>
    <t>Internal Audits</t>
  </si>
  <si>
    <t>Labelling</t>
  </si>
  <si>
    <t>Cleaning</t>
  </si>
  <si>
    <t>Documentation</t>
  </si>
  <si>
    <t>Environmental Monitoring</t>
  </si>
  <si>
    <t>Non-Conforming Product</t>
  </si>
  <si>
    <t>Event Logging Procedure</t>
  </si>
  <si>
    <t>Equipment</t>
  </si>
  <si>
    <t>Stability</t>
  </si>
  <si>
    <t>CBPM Shipment</t>
  </si>
  <si>
    <t>No procedure in place</t>
  </si>
  <si>
    <t>Validation /Calibration</t>
  </si>
  <si>
    <t>Other</t>
  </si>
  <si>
    <t>BMR</t>
  </si>
  <si>
    <t>Customer Service</t>
  </si>
  <si>
    <t>CBPM</t>
  </si>
  <si>
    <t>Procurement</t>
  </si>
  <si>
    <t xml:space="preserve">Final Release </t>
  </si>
  <si>
    <t xml:space="preserve">QA </t>
  </si>
  <si>
    <t xml:space="preserve">QC </t>
  </si>
  <si>
    <t xml:space="preserve">Dispatch </t>
  </si>
  <si>
    <t>R&amp;D</t>
  </si>
  <si>
    <t xml:space="preserve">SLT </t>
  </si>
  <si>
    <t>Finance</t>
  </si>
  <si>
    <t>Production</t>
  </si>
  <si>
    <t>Department/Area Affected</t>
  </si>
  <si>
    <t>Departments/Areas Affected</t>
  </si>
  <si>
    <t>Spreadsheet no:  ES.CSV.013
DEVIATIONS
Spreadsheet Owner:
Ref. SOP: ES.SOP.015</t>
  </si>
  <si>
    <t xml:space="preserve">QMS DATA DEVIATIONS
Version </t>
  </si>
  <si>
    <t>QC Testing</t>
  </si>
  <si>
    <t>Product Manufacturing</t>
  </si>
  <si>
    <t>Temperature Monitoring</t>
  </si>
  <si>
    <t>Validation</t>
  </si>
  <si>
    <t>QC Samples</t>
  </si>
  <si>
    <t>QC Annual Performance Qualification</t>
  </si>
  <si>
    <t>Third Party Product Release</t>
  </si>
  <si>
    <t>Product Processing</t>
  </si>
  <si>
    <t>Temperature Excursion</t>
  </si>
  <si>
    <t>Product Storage</t>
  </si>
  <si>
    <t>Data Integrity</t>
  </si>
  <si>
    <t xml:space="preserve">Dispatch Cleaning Procedure </t>
  </si>
  <si>
    <t xml:space="preserve">Product Mixup </t>
  </si>
  <si>
    <t>Equipment Validation</t>
  </si>
  <si>
    <t>Transport</t>
  </si>
  <si>
    <t>Product Formulation</t>
  </si>
  <si>
    <t>Business Central</t>
  </si>
  <si>
    <t>Human Error</t>
  </si>
  <si>
    <t>Communication Issue</t>
  </si>
  <si>
    <t>Inadequate Planning</t>
  </si>
  <si>
    <t>Equipment Fault - Wear And Tear</t>
  </si>
  <si>
    <t>Inadequate Storage</t>
  </si>
  <si>
    <t>Equipment Availability</t>
  </si>
  <si>
    <t xml:space="preserve">Training / Skills / Knowledge Issue </t>
  </si>
  <si>
    <t>Staff Availability</t>
  </si>
  <si>
    <t>IT/System Issues</t>
  </si>
  <si>
    <t>Facility Issue</t>
  </si>
  <si>
    <t>Environmental Conditions</t>
  </si>
  <si>
    <t>Gdocp Not Followed</t>
  </si>
  <si>
    <t>Formulation Issue</t>
  </si>
  <si>
    <t>Material/Consumable Availability</t>
  </si>
  <si>
    <t>Inadequate Material/Consumables</t>
  </si>
  <si>
    <t>Procedure is defficient</t>
  </si>
  <si>
    <t>DEV.2026.001</t>
  </si>
  <si>
    <t xml:space="preserve">Production </t>
  </si>
  <si>
    <t xml:space="preserve">Spillage has removed data entry in a production logbook </t>
  </si>
  <si>
    <t>Minor</t>
  </si>
  <si>
    <t>UD</t>
  </si>
  <si>
    <t>ES.LOG.026.V02</t>
  </si>
  <si>
    <t>Equipment Logbook- Silverson Mixer- Bay 1 AN048</t>
  </si>
  <si>
    <t>DEV.2026.002</t>
  </si>
  <si>
    <t>SP</t>
  </si>
  <si>
    <t>GN</t>
  </si>
  <si>
    <t>QC</t>
  </si>
  <si>
    <t xml:space="preserve">SBS Stability Chamber </t>
  </si>
  <si>
    <t>N/A</t>
  </si>
  <si>
    <t>Loan Comark Transmitter reading recording low humidity</t>
  </si>
  <si>
    <t>Loan Comark Transmitter reading recording low humidity 46% RH for SBS Stability Chamber (Source Bioscience: AN474), accelerated conditions (40°C / 75% RH)</t>
  </si>
  <si>
    <t>In-Progress</t>
  </si>
  <si>
    <t>DEV.2026.003</t>
  </si>
  <si>
    <t>AH</t>
  </si>
  <si>
    <t>OMEP1</t>
  </si>
  <si>
    <t>Omeprazole Suspension 5mg/5ml</t>
  </si>
  <si>
    <t>Recurring auto-sampler error (wash vial not released by robotic arm).
This is the fourth occasion in the last 7 months.
Error was reported to Jaytee engineer during annual PM. 
Engineer did not experience the error occurring during their time onsite but advised that the root cause may be due to an electronic component inside the module as opposed to the injector arm getting stuck when injecting solutions (which was the original conclusion formed within QC).</t>
  </si>
  <si>
    <t>Recurring auto-sampler error (wash vial not released by robotic arm).</t>
  </si>
  <si>
    <t>Part 1 Completed</t>
  </si>
  <si>
    <t>MR</t>
  </si>
  <si>
    <t>ALL</t>
  </si>
  <si>
    <t>QUET1, 
QUET2, 
QUET3, 
QUET4, 
QUET5, 
QUET7</t>
  </si>
  <si>
    <t>Quetiapine Oral Suspensions</t>
  </si>
  <si>
    <t>DEV.2026.004</t>
  </si>
  <si>
    <t>DEV.2026.005</t>
  </si>
  <si>
    <t>APS has been added to label instead of Fagron. Some products have been processed with incorrect information written on BMRs. All BMRs affected will need to be checked.</t>
  </si>
  <si>
    <t xml:space="preserve">QC &amp; Production </t>
  </si>
  <si>
    <t xml:space="preserve">A stain from the Production manufacturing area has dropped onto the logbook page and removed mulitple rows and 2 columns of data. </t>
  </si>
  <si>
    <t>Incorrect API quantity stated on the master formula for Quetiapine BMRs</t>
  </si>
  <si>
    <t>The quantity of API powder established on the master formula of QUET2 BMR (Quetiapine 25 mg/5ml Oral Suspension) was incorrect and was potentially double the required strength.
This was raised with QA Management, who subsequently verified that the quantity of API specified in the master formula for all quetiapine BMRs (QUET1, QUET2, QUET3, QUET4, QUET5 and QUET7) was double what it should be.
Immediate actions taken are detailed in Section 3 of this deviation report and include quarantine and containment of all affected batches of product.</t>
  </si>
  <si>
    <t>Critical</t>
  </si>
  <si>
    <t>Procedure is deficient
Training/skills/Knowledge issue</t>
  </si>
  <si>
    <t>R&amp;D 
QA</t>
  </si>
  <si>
    <t>MUA</t>
  </si>
  <si>
    <t>Complete</t>
  </si>
  <si>
    <t>Y</t>
  </si>
  <si>
    <t>Closed Deviation File</t>
  </si>
  <si>
    <t>JNB</t>
  </si>
  <si>
    <t>Diltiazem HCl powder</t>
  </si>
  <si>
    <t xml:space="preserve">DILT1, DILT2, </t>
  </si>
  <si>
    <t>DEV.2026.006</t>
  </si>
  <si>
    <t>LEVO17</t>
  </si>
  <si>
    <t>ES179206
Cleaning Verification</t>
  </si>
  <si>
    <t>For the HPLC sequence that was performed for the cleaning verification testing, the Levothyroxine peak areas for the 0.02ppm Limit of Quantification and the 0.01ppm Limit of Detection were 200% greater than the areas obtained in previous sequences.</t>
  </si>
  <si>
    <t xml:space="preserve">Peak area was greater </t>
  </si>
  <si>
    <t>HK</t>
  </si>
  <si>
    <t>AHA</t>
  </si>
  <si>
    <t>DEV.2026.007</t>
  </si>
  <si>
    <t>ACET8</t>
  </si>
  <si>
    <t>Major</t>
  </si>
  <si>
    <t>On 05-MAR-2026, a stability sample of Acetic Acid 2% Ear Drops, Batch STAB1125-001, stored under 25 °C/60 % RH conditions at Marfleet Analytical Services, was received by the Eaststone QC Department. Upon receipt and verification, it was identified that the sample provided was incorrectly labelled as “SPARE” instead of the required T3 stability timepoint sample.
It was therefore determined that the SPARE stability sample had been inadvertently pulled and transported in place of the requested T3 timepoint sample.</t>
  </si>
  <si>
    <t xml:space="preserve">Acetic Acid 2% Ear Drops </t>
  </si>
  <si>
    <t>Incorrect stabilty sample pulled</t>
  </si>
  <si>
    <t>Equipment Fault</t>
  </si>
  <si>
    <t>DEV.2026.008</t>
  </si>
  <si>
    <t>MEXI3</t>
  </si>
  <si>
    <t>Mexiletine 50mg Capsules</t>
  </si>
  <si>
    <t xml:space="preserve">No temperature data during transit of Stability sample Mexiletine Hydrochloride Capsules 50mg </t>
  </si>
  <si>
    <t>DEV.2026.009</t>
  </si>
  <si>
    <t>Dispatch</t>
  </si>
  <si>
    <t>Dispatch Comark device not transmitting data to comark portal</t>
  </si>
  <si>
    <t>DEV.2026.010</t>
  </si>
  <si>
    <t>NAD</t>
  </si>
  <si>
    <t>QA</t>
  </si>
  <si>
    <t>MELA1</t>
  </si>
  <si>
    <t>Melatonin 2mg/5ml Oral solution ES180330</t>
  </si>
  <si>
    <t xml:space="preserve">customer requested Melatonin 2mg/5ml Oral suspension but ab oral solution BMR was generated and manufactured </t>
  </si>
  <si>
    <t>Melatonin 2mg/5ml oral solution (BN ES180330) was manufactured on 07 Apr 2026 following receipt of a customer order requesting Melatonin 2mg/5ml oral suspension. However, during order processing, the BMR generator incorrectly generated a Batch Manufacturing Record (BMR) for the oral solution instead of the requested oral suspension.
The BMR verifier failed to identify this error and approved the incorrect BMR for manufacture. As a result, the batch was produced as an oral solution in line with the generated BMR rather than the customer’s requested oral suspension.
The error was not identified during any in-process checks and remained undetected until Final Release, where NAD identified that the manufactured product did not match the customer’s original request. The batch was subsequently rejected.</t>
  </si>
  <si>
    <t>DEV.2026.011</t>
  </si>
  <si>
    <t>QA/QC</t>
  </si>
  <si>
    <t xml:space="preserve">Stabilty  
Documents </t>
  </si>
  <si>
    <t xml:space="preserve">No QA/independent  review of stabilty timepoints </t>
  </si>
  <si>
    <t xml:space="preserve">WHO: 
The deviation involves the person responsible for the coordination (Sunil Patel) and shipment of the stability samples (Charlotte Pryor). Validation Scientist, Sunil Patel from Eaststone Ltd decided to use FedEx as the transport provider (guaranteed next day delivery) as used by Marfleet Analytical Services Ltd, the contracted storage site for Eaststone stability samples.
WHAT: 
No temperature data was recorded during transit of stability samples. Although a Tinytag Ultra 2 data logger was included within the shipping container, it did not capture any temperature or humidity data during shipment period. This resulted in a lack of evidence to confirm the storage conditions of the stability samples during transit.
WHEN: 
The shipping container, including the data logger was received at Marfleet on 18-March-2026. The data logger was configured to begin recording on 23-March-2026 at 05:00, which is after the shipment had already taken place. Sample retrieval was originally scheduled for 23-March-2026, with return expected on 24-March-2026; however, the samples were instead shipped on their actual pull date of 19-March-2026 and returned on the following day 20-March-2026 before 13:00.
WHERE: 
The deviation occurred during transit between the dispatch site, Marfleet Analytical Services Ltd and the receiving site Eaststone Ltd, where the shipping container and data logger were delivered without any recorded transit temperature data. </t>
  </si>
  <si>
    <t>Procedure is deficient / Human Error</t>
  </si>
  <si>
    <t xml:space="preserve">Procedure is deficient </t>
  </si>
  <si>
    <t>DEV.2026.012</t>
  </si>
  <si>
    <t xml:space="preserve">Silverson Failure. </t>
  </si>
  <si>
    <t>WB/UD</t>
  </si>
  <si>
    <t>On 13APR26, it was identified that stability data for products is not routinely reviewed by Quality Assurance (QA) at each scheduled testing timepoint, and is instead only subject to final review upon completion of the study by the Head of Quality. This indicates that interim stability results are not being formally assessed or documented during the ongoing stability study lifecycle.
As a result, there is a potential gap in the timely identification of results, Out-Of-Specification (OOS) or Out-Of-Trend (OOT) results, which could delay appropriate investigation and escalation. This practice is not fully aligned with expectations for continuous monitoring of stability data to ensure ongoing product quality, patient safety and regulatory compliance.</t>
  </si>
  <si>
    <t>DEV.2026.013</t>
  </si>
  <si>
    <t>DEV.2026.014</t>
  </si>
  <si>
    <t>DEV.2026.015</t>
  </si>
  <si>
    <t>MA</t>
  </si>
  <si>
    <t>Instruction on BMR to use a 4-point balance not followed</t>
  </si>
  <si>
    <t>QC release label states incorrect Supplier name</t>
  </si>
  <si>
    <t>Excessive foaming of Doxycycline Suspension product</t>
  </si>
  <si>
    <t>DEV.2026.016</t>
  </si>
  <si>
    <t>During levomet powder blend mixing the V-MIXER start making noise and suddenly stop working as a precaution, we turned off switch and stopped manufacturing stock batch we quarantine the batch for now.</t>
  </si>
  <si>
    <t>DEV.2026.017</t>
  </si>
  <si>
    <t>It is in the dispatch department where two products (on your desk) were incorrectly labelled with DX labels and should have been labelled as Polarspeed. They were labelled incorrectly and kept on the shelves outside the packing room overnight thus not being stored in the correct conditions overnight and will now need to be disposed.
The orders will be reprocessed and completed today to ensure patients receive their medication however we need to investigate, determine root cause and place the required CAPA to prevent reoccurrence.</t>
  </si>
  <si>
    <t xml:space="preserve">Products incorrectly labelled in Dispatch </t>
  </si>
  <si>
    <t>Carbimazole 10mg/5ml Oral Suspension ES 181377 &amp; Omeprazole 10mg/5ml Oral Suspension ES 180494</t>
  </si>
  <si>
    <t>DW</t>
  </si>
  <si>
    <t>Doxycycline 50mg/5ml 
Oral Suspension ES 181288</t>
  </si>
  <si>
    <t>On 24 Apr 2026, during Final Release assessment, a batch of Doxycycline 50 mg/5ml Oral Suspension was observed to exhibit excessive foam formation when shaken (see Appendix 1). As the product is a suspension, shaking prior to use is required to ensure even redistribution of the active ingredient and consistent dosing. However, when the bottle was shaken in accordance with normal use instructions, the batch generated an abnormal and persistent level of foam that was significantly greater than expected for this product.</t>
  </si>
  <si>
    <t>On 23 Apr 2026 at approximately 18:15, during final release review of the Batch Manufacturing Record, the Final Release Officer identified that the required quantity of Beclometasone powder (13 mg) had been weighed using a 3-point balance and in grams, despite the approved BMR specifically instructing that the API must be weighed in milligrams using a 4-point balance. Investigation confirmed that the weighing was performed using an alternative method and equipment not specified within the approved manufacturing instructions. As the defined BMR requirement was not followed, the accuracy and appropriateness of the weighing step could not be assured in line with the approved process. Consequently, the batch was rejected at Final Release and deemed unsuitable for release.</t>
  </si>
  <si>
    <t>BECL3</t>
  </si>
  <si>
    <t xml:space="preserve">Beclometasone Dipropionate 0.0025% in White Soft Parrafin Cream </t>
  </si>
  <si>
    <t xml:space="preserve">ES 181035 </t>
  </si>
  <si>
    <t xml:space="preserve">Hydroxychloroquine Sulphate 200mg/5ml Oral Suspension </t>
  </si>
  <si>
    <t>On 20/04/2026 at 15:15 a trained production operator HA started manufacturing hydroxychloroquine sulphate 200mg/5ml oral suspension stock batch after line clearance which was carried out by trained line clearance operator WB and the volume check was performed by WB. After the volume check HA switched on the Silverson AX5 Asset No. 513 and began mixing. Shortly after starting up HA noticed a slight spark followed by a small puff of smoke from the rear of the Silverson along with a burning smell. HA immediately switched off the Silverson using the speed control knob and powered it down from the rear of the machine. HA then reported the incident to the production lead WB who was present at the time. When WB entered the bay WB also noticed a burning smell. As a precaution WB instructed HA to stop manufacturing. WB quarantined the product and the Silverson AX5 placed a Do Not Use label on the equipment and reported the incident to the Production Manager AA and Head of Department IP.</t>
  </si>
  <si>
    <t>ES 181378, EXP:27/04/2028</t>
  </si>
  <si>
    <t>The deviation occurred due to equipment failure. The production technician FP identified an unusual noise coming from the VH mixer during powder blend mixing. FP promptly informed the team lead WB. When WB attended to inspect the equipment, the machine emitted several loud noises and then stopped operating.
In response, FP pressed the emergency stop button on machine and switched off the machine from the main power supply. Both the VH mixer and the powder blend have been placed under quarantine pending further investigation. A “Do Not Use” label has been placed on the VH-Mixer.</t>
  </si>
  <si>
    <t>Other - Marfleet qa admin error</t>
  </si>
  <si>
    <t>DEV.2026.018</t>
  </si>
  <si>
    <t>Omeprazole Suspension 10mg/5ml (Cleaning Verification)</t>
  </si>
  <si>
    <t>OMEP2</t>
  </si>
  <si>
    <t>For the HPLC sequence HPLC4/2026/OMEPRAZOLE/05MAY/14MAY26_1 which was performed for the cleaning verification procedure for batch ES182047, the last injection of 100ppm Standard A had a peak area approximately 88% of the expected value, which caused the sequence precision to equate to 4.00% (in-house limit of 2.0% was exceeded).
Therefore, the system suitability test failed for the above sequence.</t>
  </si>
  <si>
    <t xml:space="preserve">System suitability test failed </t>
  </si>
  <si>
    <t>On 24 April 2026, during line clearance in production, the Production Supervisor observed a discrepancy in the labelling of Sodium Bicarbonate API ES Batch No. 25G15-B03/160126. 
The internal green “Approved” label indicated APS as the supplier, whereas the original supplier label on the raw material container identified Fagron as the supplier.</t>
  </si>
  <si>
    <t>SODI3</t>
  </si>
  <si>
    <t xml:space="preserve"> SODIUM BICARBONATE 8.4% (1MMOL/1ML) ORAL SOLUTION (S/F) </t>
  </si>
  <si>
    <t>DEV.2026.019</t>
  </si>
  <si>
    <t>HPLC leak</t>
  </si>
  <si>
    <t>AM</t>
  </si>
  <si>
    <t>For the HPLC sequence HPLC4/2026/OMEPRAZOLE/05MAY/20MAY26_1 which was performed for the cleaning verification procedure for batch ES182304, the second injection of 100ppm Standard A had a peak area of 47.6951 mAU*min, whereas the first injection of 100ppm Standard A had a typical peak area of 78.3650 mAU*min.
Based on the atypically low peak area observed for the second 100 ppm Standard A injection, the sequence was stopped. Column performance was suspected; therefore, column COL048 was replaced with column COL040. 
The sequence was re-started with additional blank injections as part of a lengthy system equilibration period as column COL040 had not been used for any analysis since being cleaned with 0.1% Phosphoric Acid.</t>
  </si>
  <si>
    <t>A data logging interruption occurred in the Comark temperature monitoring system located in the dispatch area. The system failed to continuously record temperature data, resulting in multiple gaps in recorded data. Initial gaps were observed on 30 March 2026, followed by further interruptions despite reprogramming of the system tasks (Task 8 and subsequently Task 9).</t>
  </si>
  <si>
    <t>DEV.2026.020</t>
  </si>
  <si>
    <t>Tiny Tag Set 1 Temperature Logger (AN:068)</t>
  </si>
  <si>
    <t>Overdue calibration on tinytag used to monitor humidty for tableting bay batches</t>
  </si>
  <si>
    <t>Human Error - Lapse</t>
  </si>
  <si>
    <t>DEV.2026.021</t>
  </si>
  <si>
    <t>ES182764</t>
  </si>
  <si>
    <t>Midazolam (as Hydrochloride) 10mg/ml Buccal Solution (S/F)</t>
  </si>
  <si>
    <t>Midazolam Hydrochloride raw material used is past its expiry date</t>
  </si>
  <si>
    <t>QC
QA</t>
  </si>
  <si>
    <t>Tinytag AN068 was identified as being used for Tableting Bay humidity monitoring beyond its calibration due date, while incorrectly recorded on the tracker as inactive/decommissioned. This is a repeat Tinytag calibration governance failure linked to CAPA.2025.017 effectiveness. Immediate containment and batch impact review completed; no humidity-related product impact identified. CAPA.2026.026 raised to strengthen tracker control, calibration governance, decommissioning controls, point-of-use checks, and fixed Comark monitoring.</t>
  </si>
  <si>
    <t>DEV.2026.022</t>
  </si>
  <si>
    <t>Site wide power outage</t>
  </si>
  <si>
    <t xml:space="preserve">On Friday 3rd July 2026, a site wide power outage resulted in temporary temperature excursions affecting four temperature controlled refrigerators used for the storage of pharmaceutical materials and products. The affected units were Dispatch Fridge 1, Dispatch Fridge 2, Production Fridge 1, and the QC Laboratory Fridge.
The power outgae caused each refrigerator to exceed its approved storage temperature range of 2–8°C for a limited duration. The recorded excursions were as follows:
Dispatch Fridge 1: 19:06–20:15 (approximately 69 minutes), maximum temperature 10.3°C.
Dispatch Fridge 2: 18:58–19:56 (approximately 58 minutes), maximum temperature 10.9°C.
Production Fridge 1: 19:14–20:00 (approximately 46 minutes), maximum temperature 10.5°C.
QC Laboratory Fridge: 19:26–19:53 (approximately 27 minutes), maximum temperature 9.0°C.
The excursion occurred because of the loss of electrical power, resulting in the refrigeration units being unable to maintain the validated storage temperature throughout the outage. Following restoration of power, normal operating temperatures were re-established. An assessment was initiated to identify all affected materials and products and to evaluate the potential impact of the excursions on product quality and to support product disposition in accordance with GMP requirements. See Appendix 1.
</t>
  </si>
  <si>
    <t>DEV.2026.023</t>
  </si>
  <si>
    <t>DEV.2026.024</t>
  </si>
  <si>
    <t>AA</t>
  </si>
  <si>
    <t>On 25 June 2026, during the reconciliation and logging of raw material usage for batch ES182764, procurement staff member SB identified that the Midazolam Hydrochloride Powder API used in the manufacture of the stock batch had exceeded its assigned expiry date. Upon review of the batch details, it was confirmed that the API material had an expiry date of 11 April 2026, while the stock batch manufacturing date was 02 June 2026.</t>
  </si>
  <si>
    <t>No procedure in place
Procedure is deficient
Human Error</t>
  </si>
  <si>
    <t>QA
Production</t>
  </si>
  <si>
    <t>WB</t>
  </si>
  <si>
    <t>DOXY2A, DOXY2B</t>
  </si>
  <si>
    <t>DEV.2026.025</t>
  </si>
  <si>
    <t>E-Copy</t>
  </si>
  <si>
    <t>DILT6</t>
  </si>
  <si>
    <t>Diltiazem HCL 0.2% cream</t>
  </si>
  <si>
    <t>The reason for rejection was that the cream overflowed from the tube upon opening the cap as the tube used was not suitable for the quantity requested. For this quantity a tub would usually be used however the customer specifically requested the cream to be packaged in a tube.</t>
  </si>
  <si>
    <t xml:space="preserve">Rejected batch </t>
  </si>
  <si>
    <t>DEV.2026.026</t>
  </si>
  <si>
    <t xml:space="preserve">water pooling was observed  in plant room </t>
  </si>
  <si>
    <t>On Thursday 09JUL26 , water pooling was observed on the floor close to the HVAC unit serving the GMP production area. The water was cleaned up and the area monitored. Later the same day, further water pooling was observed in the same location.</t>
  </si>
  <si>
    <t>DEV.2026.027</t>
  </si>
  <si>
    <t>HPLC sequence HPLC4/2026/DILTIAZEM/07JUL/28JUL26_1 was interrupted at injection 26 due to a leak in the autosampler module (QC event QCEV043)
QC Team Lead advised using HPLC1 to repeat the sequence using the same vials (the sample trays were switched over) as they had been kept at 5°C throughout the sequence.
HPLC sequence HPLC1/2026/DILTIAZEM/07JUL/29JUL26_1 was created and the sequence was completed on HPLC1. However, on data review, the LOQ peak signal to noise ratio was below the lower limit of 10, rendering the data invalid (QC event QCEV044)</t>
  </si>
  <si>
    <t xml:space="preserve">Diltiazem HCl 2% Cream </t>
  </si>
  <si>
    <t>(DILT1)</t>
  </si>
  <si>
    <t>HPLC sequence leak in the autosampler module (QC event QCEV043)</t>
  </si>
  <si>
    <t>DEV.2026.028</t>
  </si>
  <si>
    <t>ES.LOG.055.V03 - 767</t>
  </si>
  <si>
    <t xml:space="preserve">Log book review found multiple GDocP non-compliances </t>
  </si>
  <si>
    <t>Durinng July 26 logbook review, multiple deficiencies identified in ES.LOG.055 - Goods Out Record Dispatch. These included:
Missing entries for registration plates of vehicles.
Entries in blue pen.
Overwritten entries rather than single line through correction.</t>
  </si>
  <si>
    <t>OOS in changing room</t>
  </si>
  <si>
    <t>On 21 July 2026, QA Officer HK performed routine settle-plate environmental monitoring within the Grade D Manufacturing Cleanroom. The TSA plate corresponding to monitoring location Set-10, situated on the floor beneath the mirror in the clean-side change room, was reported by the contract microbiology laboratory, Quality Control North West (QCNW), as too numerous to count (TNTC).
QCNW reported that the TNTC result was attributable to spreading Bacillus growth around the edge of the plate. Thirty-six distinct colonies comprising Bacillus, Staphylococcus, unidentified Gram-positive rods and Micrococcus were observed. However, due to the spreading growth, an accurate total viable count could not be determined for the sample. All remaining TSA results were reported as complying with the established environmental-monitoring limits. All SDA results also complied with the established limits, with 4 CFU of mould recorded at the corresponding Set-10 location.</t>
  </si>
  <si>
    <t xml:space="preserve">ES183938 </t>
  </si>
  <si>
    <t>Terbinafine 250mg/5ml Oral Suspension</t>
  </si>
  <si>
    <t>Twelve quarantined bottles contained 30–42ml, and two supplied bottles required customer correction. The cause was incomplete transfer of the viscous suspension.</t>
  </si>
  <si>
    <t>Underfilled 50ml Terbinafine Oral Suspension bottles were identified in batch ES183938.</t>
  </si>
  <si>
    <t>BMR Generator</t>
  </si>
  <si>
    <t>Human Error
Inadequate Planning
Communication issue
Procedure is deficient
Validation/Calibration
No procedure in place
GDocP not followed</t>
  </si>
  <si>
    <t>Procedure deficiency
ES.SOP.013 did not define drain times or complete-transfer controls for highly viscous products.</t>
  </si>
  <si>
    <t>]</t>
  </si>
  <si>
    <t>DEV.2026.029</t>
  </si>
  <si>
    <t>Misplaced stability sample in external stability storage</t>
  </si>
  <si>
    <t>DEV.2026.030</t>
  </si>
  <si>
    <t>White soft paraffin</t>
  </si>
  <si>
    <t xml:space="preserve">QC green label has inccorect batch numebr </t>
  </si>
  <si>
    <t>Inadequate thermal insulation of the AHU pipework.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</si>
</sst>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409]dd\-mmm\-yy;@"/>
  </numFmts>
  <fonts count="29" x14ac:knownFonts="1">
    <font>
      <sz val="11"/>
      <color theme="1"/>
      <name val="Calibri"/>
      <family val="2"/>
      <scheme val="minor"/>
    </font>
    <font>
      <sz val="12"/>
      <color theme="1"/>
      <name val="Arial"/>
      <family val="2"/>
    </font>
    <font>
      <b/>
      <sz val="12"/>
      <name val="Arial"/>
      <family val="2"/>
    </font>
    <font>
      <sz val="12"/>
      <name val="Arial"/>
      <family val="2"/>
    </font>
    <font>
      <sz val="8"/>
      <name val="Calibri"/>
      <family val="2"/>
      <scheme val="minor"/>
    </font>
    <font>
      <b/>
      <sz val="12"/>
      <color theme="1"/>
      <name val="Arial"/>
      <family val="2"/>
    </font>
    <font>
      <sz val="12"/>
      <color theme="1"/>
      <name val="Arial"/>
      <family val="2"/>
    </font>
    <font>
      <b/>
      <sz val="12"/>
      <color theme="1"/>
      <name val="Arial"/>
      <family val="2"/>
    </font>
    <font>
      <b/>
      <sz val="12"/>
      <name val="Arial"/>
      <family val="2"/>
    </font>
    <font>
      <sz val="16"/>
      <color theme="0"/>
      <name val="Arial"/>
      <family val="2"/>
    </font>
    <font>
      <b/>
      <sz val="16"/>
      <color theme="0"/>
      <name val="Arial"/>
      <family val="2"/>
    </font>
    <font>
      <b/>
      <sz val="11"/>
      <color theme="1"/>
      <name val="Calibri"/>
      <family val="2"/>
      <scheme val="minor"/>
    </font>
    <font>
      <b/>
      <sz val="11"/>
      <color theme="1"/>
      <name val="Calibri"/>
      <family val="2"/>
    </font>
    <font>
      <b/>
      <sz val="11"/>
      <color theme="0"/>
      <name val="Calibri"/>
      <family val="2"/>
    </font>
    <font>
      <sz val="12"/>
      <name val="Calibri"/>
      <family val="2"/>
      <scheme val="minor"/>
    </font>
    <font>
      <sz val="16"/>
      <color theme="1"/>
      <name val="Arial"/>
      <family val="2"/>
    </font>
    <font>
      <b/>
      <sz val="16"/>
      <color theme="1"/>
      <name val="Arial"/>
      <family val="2"/>
    </font>
    <font>
      <b/>
      <sz val="16"/>
      <name val="Arial"/>
      <family val="2"/>
    </font>
    <font>
      <sz val="16"/>
      <name val="Arial"/>
      <family val="2"/>
    </font>
    <font>
      <sz val="16"/>
      <color theme="1"/>
      <name val="Calibri"/>
      <family val="2"/>
      <scheme val="minor"/>
    </font>
    <font>
      <sz val="12"/>
      <color theme="1"/>
      <name val="Arial"/>
      <family val="2"/>
    </font>
    <font>
      <b/>
      <sz val="12"/>
      <color theme="1"/>
      <name val="Arial"/>
      <family val="2"/>
    </font>
    <font>
      <b/>
      <sz val="12"/>
      <name val="Arial"/>
      <family val="2"/>
    </font>
    <font>
      <sz val="14"/>
      <color theme="1"/>
      <name val="Arial"/>
      <family val="2"/>
    </font>
    <font>
      <sz val="11"/>
      <color rgb="FF000000"/>
      <name val="Aptos Narrow"/>
      <family val="2"/>
    </font>
    <font>
      <sz val="18"/>
      <color theme="1"/>
      <name val="Arial"/>
      <family val="2"/>
    </font>
    <font>
      <sz val="9"/>
      <color rgb="FF000000"/>
      <name val="Arial"/>
      <family val="2"/>
    </font>
    <font>
      <sz val="12"/>
      <color theme="1"/>
      <name val="Arial"/>
      <family val="2"/>
    </font>
    <font>
      <b/>
      <sz val="12"/>
      <color theme="1"/>
      <name val="Arial"/>
      <family val="2"/>
    </font>
  </fonts>
  <fills count="8">
    <fill>
      <patternFill patternType="none"/>
    </fill>
    <fill>
      <patternFill patternType="gray125"/>
    </fill>
    <fill>
      <patternFill patternType="solid">
        <fgColor theme="7" tint="0.39997558519241921"/>
        <bgColor indexed="64"/>
      </patternFill>
    </fill>
    <fill>
      <patternFill patternType="solid">
        <fgColor rgb="FFDD5501"/>
        <bgColor indexed="64"/>
      </patternFill>
    </fill>
    <fill>
      <patternFill patternType="solid">
        <fgColor rgb="FFFF99CC"/>
        <bgColor indexed="64"/>
      </patternFill>
    </fill>
    <fill>
      <patternFill patternType="solid">
        <fgColor rgb="FF7030A0"/>
        <bgColor theme="1"/>
      </patternFill>
    </fill>
    <fill>
      <patternFill patternType="solid">
        <fgColor theme="4" tint="0.79998168889431442"/>
        <bgColor indexed="64"/>
      </patternFill>
    </fill>
    <fill>
      <patternFill patternType="solid">
        <fgColor theme="0" tint="-0.14999847407452621"/>
        <bgColor theme="0" tint="-0.14999847407452621"/>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s>
  <cellStyleXfs count="1">
    <xf numFmtId="0" fontId="0" fillId="0" borderId="0"/>
  </cellStyleXfs>
  <cellXfs count="92">
    <xf numFmtId="0" fontId="0" fillId="0" borderId="0" xfId="0"/>
    <xf numFmtId="0" fontId="1" fillId="0" borderId="0" xfId="0" applyFont="1" applyAlignment="1">
      <alignment horizontal="center" vertical="center"/>
    </xf>
    <xf numFmtId="164" fontId="5" fillId="0" borderId="0" xfId="0" applyNumberFormat="1" applyFont="1" applyAlignment="1">
      <alignment horizontal="center" vertical="center" wrapText="1"/>
    </xf>
    <xf numFmtId="0" fontId="0" fillId="0" borderId="0" xfId="0" applyProtection="1">
      <protection locked="0"/>
    </xf>
    <xf numFmtId="0" fontId="1" fillId="0" borderId="0" xfId="0" applyFont="1" applyProtection="1">
      <protection locked="0"/>
    </xf>
    <xf numFmtId="0" fontId="5" fillId="0" borderId="0" xfId="0" applyFont="1" applyProtection="1">
      <protection locked="0"/>
    </xf>
    <xf numFmtId="0" fontId="3" fillId="0" borderId="0" xfId="0" applyFont="1" applyProtection="1">
      <protection locked="0"/>
    </xf>
    <xf numFmtId="0" fontId="1" fillId="0" borderId="0" xfId="0" applyFont="1" applyAlignment="1" applyProtection="1">
      <alignment wrapText="1"/>
      <protection locked="0"/>
    </xf>
    <xf numFmtId="0" fontId="1" fillId="0" borderId="0" xfId="0" applyFont="1" applyAlignment="1" applyProtection="1">
      <alignment horizontal="center" vertical="center"/>
      <protection locked="0"/>
    </xf>
    <xf numFmtId="164" fontId="1" fillId="0" borderId="0" xfId="0" applyNumberFormat="1" applyFont="1" applyAlignment="1" applyProtection="1">
      <alignment horizontal="center" vertical="center"/>
      <protection locked="0"/>
    </xf>
    <xf numFmtId="0" fontId="5" fillId="0" borderId="0" xfId="0" applyFont="1" applyAlignment="1" applyProtection="1">
      <alignment horizontal="center" vertical="center"/>
      <protection locked="0"/>
    </xf>
    <xf numFmtId="0" fontId="1" fillId="0" borderId="0" xfId="0" applyFont="1" applyAlignment="1" applyProtection="1">
      <alignment horizontal="center" vertical="center" wrapText="1"/>
      <protection locked="0"/>
    </xf>
    <xf numFmtId="164" fontId="5" fillId="0" borderId="0" xfId="0" applyNumberFormat="1" applyFont="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15" fontId="5" fillId="0" borderId="0" xfId="0" applyNumberFormat="1" applyFont="1" applyAlignment="1" applyProtection="1">
      <alignment horizontal="center" vertical="center"/>
      <protection locked="0"/>
    </xf>
    <xf numFmtId="0" fontId="2" fillId="0" borderId="0" xfId="0" applyFont="1" applyAlignment="1" applyProtection="1">
      <alignment horizontal="center" vertical="center"/>
      <protection locked="0"/>
    </xf>
    <xf numFmtId="164" fontId="5" fillId="0" borderId="0" xfId="0" applyNumberFormat="1" applyFont="1" applyAlignment="1" applyProtection="1">
      <alignment horizontal="center" vertical="center"/>
      <protection locked="0"/>
    </xf>
    <xf numFmtId="0" fontId="2" fillId="0" borderId="0" xfId="0" applyFont="1" applyAlignment="1" applyProtection="1">
      <alignment horizontal="center" vertical="center" wrapText="1"/>
      <protection locked="0"/>
    </xf>
    <xf numFmtId="0" fontId="1" fillId="0" borderId="0" xfId="0" applyFont="1"/>
    <xf numFmtId="0" fontId="5" fillId="0" borderId="0" xfId="0" applyFont="1"/>
    <xf numFmtId="0" fontId="3" fillId="0" borderId="0" xfId="0" applyFont="1"/>
    <xf numFmtId="0" fontId="1" fillId="0" borderId="0" xfId="0" applyFont="1" applyAlignment="1">
      <alignment wrapText="1"/>
    </xf>
    <xf numFmtId="0" fontId="2" fillId="0" borderId="0" xfId="0" applyFont="1" applyAlignment="1" applyProtection="1">
      <alignment horizontal="center"/>
      <protection locked="0"/>
    </xf>
    <xf numFmtId="0" fontId="6" fillId="0" borderId="0" xfId="0" applyFont="1" applyAlignment="1" applyProtection="1">
      <alignment horizontal="center" vertical="center"/>
      <protection locked="0"/>
    </xf>
    <xf numFmtId="0" fontId="6" fillId="0" borderId="0" xfId="0" applyFont="1" applyAlignment="1" applyProtection="1">
      <alignment horizontal="center" vertical="center" wrapText="1"/>
      <protection locked="0"/>
    </xf>
    <xf numFmtId="164" fontId="7" fillId="0" borderId="0" xfId="0" applyNumberFormat="1" applyFont="1" applyAlignment="1">
      <alignment horizontal="center" vertical="center" wrapText="1"/>
    </xf>
    <xf numFmtId="0" fontId="7" fillId="0" borderId="0" xfId="0" applyFont="1" applyAlignment="1">
      <alignment horizontal="center" vertical="center" wrapText="1"/>
    </xf>
    <xf numFmtId="0" fontId="7" fillId="0" borderId="0" xfId="0" applyFont="1" applyAlignment="1" applyProtection="1">
      <alignment horizontal="center" vertical="center" wrapText="1"/>
      <protection locked="0"/>
    </xf>
    <xf numFmtId="15" fontId="7" fillId="0" borderId="0" xfId="0" applyNumberFormat="1" applyFont="1" applyAlignment="1" applyProtection="1">
      <alignment horizontal="center" vertical="center"/>
      <protection locked="0"/>
    </xf>
    <xf numFmtId="164" fontId="7" fillId="0" borderId="0" xfId="0" applyNumberFormat="1" applyFont="1" applyAlignment="1" applyProtection="1">
      <alignment horizontal="center" vertical="center"/>
      <protection locked="0"/>
    </xf>
    <xf numFmtId="0" fontId="8" fillId="0" borderId="0" xfId="0" applyFont="1" applyAlignment="1" applyProtection="1">
      <alignment horizontal="center" vertical="center" wrapText="1"/>
      <protection locked="0"/>
    </xf>
    <xf numFmtId="0" fontId="8" fillId="0" borderId="0" xfId="0" applyFont="1" applyAlignment="1" applyProtection="1">
      <alignment horizontal="center" vertical="center"/>
      <protection locked="0"/>
    </xf>
    <xf numFmtId="0" fontId="1" fillId="0" borderId="0" xfId="0" applyFont="1" applyAlignment="1">
      <alignment vertical="center" wrapText="1"/>
    </xf>
    <xf numFmtId="0" fontId="1" fillId="0" borderId="0" xfId="0" applyFont="1" applyAlignment="1">
      <alignment vertical="center"/>
    </xf>
    <xf numFmtId="0" fontId="5"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9" fillId="0" borderId="0" xfId="0" applyFont="1" applyAlignment="1" applyProtection="1">
      <alignment horizontal="center" vertical="center" wrapText="1"/>
      <protection locked="0"/>
    </xf>
    <xf numFmtId="0" fontId="14" fillId="6" borderId="1" xfId="0" applyFont="1" applyFill="1" applyBorder="1" applyAlignment="1">
      <alignment horizontal="center" vertical="center" wrapText="1"/>
    </xf>
    <xf numFmtId="0" fontId="0" fillId="0" borderId="0" xfId="0" applyAlignment="1">
      <alignment wrapText="1"/>
    </xf>
    <xf numFmtId="0" fontId="11" fillId="3" borderId="2"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15" fillId="0" borderId="0" xfId="0" applyFont="1" applyAlignment="1" applyProtection="1">
      <alignment horizontal="center" vertical="center"/>
      <protection locked="0"/>
    </xf>
    <xf numFmtId="164" fontId="15" fillId="0" borderId="0" xfId="0" applyNumberFormat="1" applyFont="1" applyAlignment="1" applyProtection="1">
      <alignment horizontal="center" vertical="center"/>
      <protection locked="0"/>
    </xf>
    <xf numFmtId="0" fontId="16" fillId="0" borderId="0" xfId="0" applyFont="1" applyAlignment="1" applyProtection="1">
      <alignment horizontal="center" vertical="center"/>
      <protection locked="0"/>
    </xf>
    <xf numFmtId="0" fontId="15" fillId="0" borderId="0" xfId="0" applyFont="1" applyAlignment="1" applyProtection="1">
      <alignment horizontal="center" vertical="center" wrapText="1"/>
      <protection locked="0"/>
    </xf>
    <xf numFmtId="164" fontId="16" fillId="0" borderId="0" xfId="0" applyNumberFormat="1" applyFont="1" applyAlignment="1">
      <alignment horizontal="center" vertical="center" wrapText="1"/>
    </xf>
    <xf numFmtId="164" fontId="16" fillId="0" borderId="0" xfId="0" applyNumberFormat="1" applyFont="1" applyAlignment="1" applyProtection="1">
      <alignment horizontal="center" vertical="center" wrapText="1"/>
      <protection locked="0"/>
    </xf>
    <xf numFmtId="0" fontId="15" fillId="0" borderId="0" xfId="0" applyFont="1" applyAlignment="1">
      <alignment horizontal="center" vertical="center"/>
    </xf>
    <xf numFmtId="0" fontId="16" fillId="0" borderId="0" xfId="0" applyFont="1" applyAlignment="1" applyProtection="1">
      <alignment horizontal="center" vertical="center" wrapText="1"/>
      <protection locked="0"/>
    </xf>
    <xf numFmtId="15" fontId="16" fillId="0" borderId="0" xfId="0" applyNumberFormat="1" applyFont="1" applyAlignment="1" applyProtection="1">
      <alignment horizontal="center"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center"/>
      <protection locked="0"/>
    </xf>
    <xf numFmtId="0" fontId="15" fillId="0" borderId="0" xfId="0" applyFont="1" applyProtection="1">
      <protection locked="0"/>
    </xf>
    <xf numFmtId="0" fontId="18" fillId="0" borderId="0" xfId="0" applyFont="1" applyProtection="1">
      <protection locked="0"/>
    </xf>
    <xf numFmtId="0" fontId="18" fillId="0" borderId="0" xfId="0" applyFont="1" applyAlignment="1" applyProtection="1">
      <alignment horizontal="center" vertical="center"/>
      <protection locked="0"/>
    </xf>
    <xf numFmtId="0" fontId="19" fillId="0" borderId="0" xfId="0" applyFont="1" applyProtection="1">
      <protection locked="0"/>
    </xf>
    <xf numFmtId="0" fontId="16" fillId="0" borderId="0" xfId="0" applyFont="1" applyProtection="1">
      <protection locked="0"/>
    </xf>
    <xf numFmtId="0" fontId="15" fillId="0" borderId="0" xfId="0" applyFont="1" applyAlignment="1" applyProtection="1">
      <alignment wrapText="1"/>
      <protection locked="0"/>
    </xf>
    <xf numFmtId="0" fontId="17" fillId="0" borderId="0" xfId="0" applyFont="1" applyAlignment="1" applyProtection="1">
      <alignment horizontal="center" vertical="center" wrapText="1"/>
      <protection locked="0"/>
    </xf>
    <xf numFmtId="15" fontId="15" fillId="0" borderId="0" xfId="0" applyNumberFormat="1" applyFont="1" applyAlignment="1" applyProtection="1">
      <alignment horizontal="center" vertical="center"/>
      <protection locked="0"/>
    </xf>
    <xf numFmtId="0" fontId="20" fillId="0" borderId="0" xfId="0" applyFont="1" applyAlignment="1" applyProtection="1">
      <alignment horizontal="center" vertical="center"/>
      <protection locked="0"/>
    </xf>
    <xf numFmtId="164" fontId="20" fillId="0" borderId="0" xfId="0" applyNumberFormat="1" applyFont="1" applyAlignment="1" applyProtection="1">
      <alignment horizontal="center" vertical="center"/>
      <protection locked="0"/>
    </xf>
    <xf numFmtId="0" fontId="21" fillId="0" borderId="0" xfId="0" applyFont="1" applyAlignment="1" applyProtection="1">
      <alignment horizontal="center" vertical="center"/>
      <protection locked="0"/>
    </xf>
    <xf numFmtId="0" fontId="20" fillId="0" borderId="0" xfId="0" applyFont="1" applyAlignment="1" applyProtection="1">
      <alignment horizontal="center" vertical="center" wrapText="1"/>
      <protection locked="0"/>
    </xf>
    <xf numFmtId="164" fontId="21" fillId="0" borderId="0" xfId="0" applyNumberFormat="1" applyFont="1" applyAlignment="1">
      <alignment horizontal="center" vertical="center" wrapText="1"/>
    </xf>
    <xf numFmtId="164" fontId="21" fillId="0" borderId="0" xfId="0" applyNumberFormat="1" applyFont="1" applyAlignment="1" applyProtection="1">
      <alignment horizontal="center" vertical="center" wrapText="1"/>
      <protection locked="0"/>
    </xf>
    <xf numFmtId="0" fontId="21" fillId="0" borderId="0" xfId="0" applyFont="1" applyAlignment="1">
      <alignment horizontal="center" vertical="center" wrapText="1"/>
    </xf>
    <xf numFmtId="0" fontId="21" fillId="0" borderId="0" xfId="0" applyFont="1" applyAlignment="1" applyProtection="1">
      <alignment horizontal="center" vertical="center" wrapText="1"/>
      <protection locked="0"/>
    </xf>
    <xf numFmtId="164" fontId="21" fillId="0" borderId="0" xfId="0" applyNumberFormat="1" applyFont="1" applyAlignment="1" applyProtection="1">
      <alignment horizontal="center" vertical="center"/>
      <protection locked="0"/>
    </xf>
    <xf numFmtId="164" fontId="20" fillId="0" borderId="0" xfId="0" applyNumberFormat="1" applyFont="1" applyAlignment="1">
      <alignment horizontal="center" vertical="center"/>
    </xf>
    <xf numFmtId="0" fontId="22" fillId="0" borderId="0" xfId="0" applyFont="1" applyAlignment="1" applyProtection="1">
      <alignment horizontal="center" vertical="center"/>
      <protection locked="0"/>
    </xf>
    <xf numFmtId="14" fontId="15" fillId="0" borderId="0" xfId="0" applyNumberFormat="1" applyFont="1" applyAlignment="1" applyProtection="1">
      <alignment horizontal="center" vertical="center"/>
      <protection locked="0"/>
    </xf>
    <xf numFmtId="164" fontId="1" fillId="0" borderId="0" xfId="0" applyNumberFormat="1" applyFont="1" applyAlignment="1">
      <alignment horizontal="center" vertical="center"/>
    </xf>
    <xf numFmtId="0" fontId="17" fillId="0" borderId="0" xfId="0" applyFont="1" applyAlignment="1" applyProtection="1">
      <alignment horizontal="center" wrapText="1"/>
      <protection locked="0"/>
    </xf>
    <xf numFmtId="0" fontId="23" fillId="0" borderId="0" xfId="0" applyFont="1" applyAlignment="1" applyProtection="1">
      <alignment horizontal="center" vertical="center" wrapText="1"/>
      <protection locked="0"/>
    </xf>
    <xf numFmtId="0" fontId="11" fillId="2" borderId="4" xfId="0" applyFont="1" applyFill="1" applyBorder="1" applyAlignment="1">
      <alignment horizontal="center" vertical="center" wrapText="1"/>
    </xf>
    <xf numFmtId="0" fontId="24" fillId="7" borderId="5" xfId="0" applyFont="1" applyFill="1" applyBorder="1" applyAlignment="1">
      <alignment vertical="center" wrapText="1"/>
    </xf>
    <xf numFmtId="0" fontId="24" fillId="0" borderId="6" xfId="0" applyFont="1" applyBorder="1" applyAlignment="1">
      <alignment vertical="center" wrapText="1"/>
    </xf>
    <xf numFmtId="0" fontId="24" fillId="7" borderId="6" xfId="0" applyFont="1" applyFill="1" applyBorder="1" applyAlignment="1">
      <alignment vertical="center" wrapText="1"/>
    </xf>
    <xf numFmtId="0" fontId="24" fillId="7" borderId="7" xfId="0" applyFont="1" applyFill="1" applyBorder="1" applyAlignment="1">
      <alignment vertical="center" wrapText="1"/>
    </xf>
    <xf numFmtId="0" fontId="25" fillId="0" borderId="0" xfId="0" applyFont="1" applyAlignment="1">
      <alignment vertical="center" wrapText="1"/>
    </xf>
    <xf numFmtId="15" fontId="16" fillId="0" borderId="0" xfId="0" applyNumberFormat="1" applyFont="1" applyAlignment="1" applyProtection="1">
      <alignment horizontal="center" vertical="center" wrapText="1"/>
      <protection locked="0"/>
    </xf>
    <xf numFmtId="0" fontId="26" fillId="0" borderId="0" xfId="0" applyFont="1" applyAlignment="1" applyProtection="1">
      <alignment horizontal="center" vertical="center" wrapText="1"/>
      <protection locked="0"/>
    </xf>
    <xf numFmtId="0" fontId="27" fillId="0" borderId="0" xfId="0" applyFont="1" applyAlignment="1" applyProtection="1">
      <alignment horizontal="center" vertical="center"/>
      <protection locked="0"/>
    </xf>
    <xf numFmtId="164" fontId="27" fillId="0" borderId="0" xfId="0" applyNumberFormat="1" applyFont="1" applyAlignment="1" applyProtection="1">
      <alignment horizontal="center" vertical="center"/>
      <protection locked="0"/>
    </xf>
    <xf numFmtId="0" fontId="28" fillId="0" borderId="0" xfId="0" applyFont="1" applyAlignment="1" applyProtection="1">
      <alignment horizontal="center" vertical="center"/>
      <protection locked="0"/>
    </xf>
    <xf numFmtId="0" fontId="27" fillId="0" borderId="0" xfId="0" applyFont="1" applyAlignment="1" applyProtection="1">
      <alignment horizontal="center" vertical="center" wrapText="1"/>
      <protection locked="0"/>
    </xf>
    <xf numFmtId="0" fontId="25" fillId="0" borderId="0" xfId="0" applyFont="1" applyAlignment="1">
      <alignment horizontal="left" wrapText="1"/>
    </xf>
    <xf numFmtId="0" fontId="25" fillId="0" borderId="0" xfId="0" applyFont="1" applyAlignment="1">
      <alignment horizontal="left"/>
    </xf>
  </cellXfs>
  <cellStyles count="1">
    <cellStyle name="Normal" xfId="0" builtinId="0"/>
  </cellStyles>
  <dxfs count="49">
    <dxf>
      <font>
        <b/>
        <i val="0"/>
      </font>
      <fill>
        <patternFill>
          <bgColor theme="9"/>
        </patternFill>
      </fill>
    </dxf>
    <dxf>
      <font>
        <b/>
        <i val="0"/>
      </font>
      <fill>
        <patternFill>
          <bgColor rgb="FFFF0000"/>
        </patternFill>
      </fill>
    </dxf>
    <dxf>
      <font>
        <b/>
        <i val="0"/>
      </font>
      <fill>
        <patternFill>
          <bgColor theme="7"/>
        </patternFill>
      </fill>
    </dxf>
    <dxf>
      <font>
        <b/>
        <i val="0"/>
      </font>
      <fill>
        <patternFill>
          <bgColor theme="4"/>
        </patternFill>
      </fill>
    </dxf>
    <dxf>
      <font>
        <b/>
        <i val="0"/>
        <color rgb="FF00B050"/>
      </font>
    </dxf>
    <dxf>
      <font>
        <b/>
        <i val="0"/>
        <color rgb="FFFF0000"/>
      </font>
    </dxf>
    <dxf>
      <font>
        <color rgb="FF9C0006"/>
      </font>
      <fill>
        <patternFill>
          <bgColor rgb="FFFFC7CE"/>
        </patternFill>
      </fill>
    </dxf>
    <dxf>
      <font>
        <color rgb="FF9C5700"/>
      </font>
      <fill>
        <patternFill>
          <bgColor rgb="FFFFEB9C"/>
        </patternFill>
      </fill>
    </dxf>
    <dxf>
      <fill>
        <patternFill>
          <bgColor theme="4"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val="0"/>
        <i val="0"/>
        <strike val="0"/>
        <condense val="0"/>
        <extend val="0"/>
        <outline val="0"/>
        <shadow val="0"/>
        <u val="none"/>
        <vertAlign val="baseline"/>
        <sz val="11"/>
        <color rgb="FF000000"/>
        <name val="Aptos Narrow"/>
        <family val="2"/>
        <scheme val="none"/>
      </font>
      <fill>
        <patternFill patternType="solid">
          <fgColor theme="0" tint="-0.14999847407452621"/>
          <bgColor theme="0" tint="-0.14999847407452621"/>
        </patternFill>
      </fill>
      <alignment horizontal="general"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border outline="0">
        <top style="medium">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solid">
          <fgColor theme="0" tint="-0.14999847407452621"/>
          <bgColor theme="0" tint="-0.14999847407452621"/>
        </patternFill>
      </fill>
      <alignment horizontal="general" vertical="center" textRotation="0" wrapText="1"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alignment horizontal="center" vertical="center" textRotation="0" wrapText="1" indent="0" justifyLastLine="0" shrinkToFit="0" readingOrder="0"/>
      <protection locked="0" hidden="0"/>
    </dxf>
    <dxf>
      <font>
        <b/>
        <i val="0"/>
        <strike val="0"/>
        <condense val="0"/>
        <extend val="0"/>
        <outline val="0"/>
        <shadow val="0"/>
        <u val="none"/>
        <vertAlign val="baseline"/>
        <sz val="12"/>
        <color auto="1"/>
        <name val="Arial"/>
        <family val="2"/>
        <scheme val="none"/>
      </font>
      <alignment horizontal="center" vertical="center" textRotation="0" wrapText="0" indent="0" justifyLastLine="0" shrinkToFit="0" readingOrder="0"/>
      <protection locked="0" hidden="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rial"/>
        <scheme val="none"/>
      </font>
      <numFmt numFmtId="164" formatCode="[$-3409]dd\-mmm\-yy;@"/>
      <fill>
        <patternFill patternType="none">
          <fgColor indexed="64"/>
          <bgColor indexed="65"/>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2"/>
        <color theme="1"/>
        <name val="Arial"/>
        <scheme val="none"/>
      </font>
      <numFmt numFmtId="164" formatCode="[$-3409]dd\-mmm\-yy;@"/>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2"/>
        <color theme="1"/>
        <name val="Arial"/>
        <scheme val="none"/>
      </font>
      <fill>
        <patternFill patternType="none">
          <fgColor indexed="64"/>
          <bgColor auto="1"/>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2"/>
        <color theme="1"/>
        <name val="Arial"/>
        <scheme val="none"/>
      </font>
      <fill>
        <patternFill patternType="none">
          <fgColor indexed="64"/>
          <bgColor indexed="65"/>
        </patternFill>
      </fill>
      <alignment horizontal="center" vertical="center" textRotation="0" wrapText="1" indent="0" justifyLastLine="0" shrinkToFit="0" readingOrder="0"/>
      <protection locked="0" hidden="0"/>
    </dxf>
    <dxf>
      <font>
        <b/>
        <i val="0"/>
        <strike val="0"/>
        <condense val="0"/>
        <extend val="0"/>
        <outline val="0"/>
        <shadow val="0"/>
        <u val="none"/>
        <vertAlign val="baseline"/>
        <sz val="12"/>
        <color theme="1"/>
        <name val="Arial"/>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12"/>
        <color theme="1"/>
        <name val="Arial"/>
        <scheme val="none"/>
      </font>
      <numFmt numFmtId="164" formatCode="[$-3409]dd\-mmm\-yy;@"/>
      <fill>
        <patternFill patternType="none">
          <fgColor indexed="64"/>
          <bgColor indexed="65"/>
        </patternFill>
      </fill>
      <alignment horizontal="center" vertical="center" textRotation="0" wrapText="1" indent="0" justifyLastLine="0" shrinkToFit="0" readingOrder="0"/>
      <protection locked="0" hidden="0"/>
    </dxf>
    <dxf>
      <font>
        <b/>
        <i val="0"/>
        <strike val="0"/>
        <condense val="0"/>
        <extend val="0"/>
        <outline val="0"/>
        <shadow val="0"/>
        <u val="none"/>
        <vertAlign val="baseline"/>
        <sz val="12"/>
        <color theme="1"/>
        <name val="Arial"/>
        <scheme val="none"/>
      </font>
      <numFmt numFmtId="164" formatCode="[$-3409]dd\-mmm\-yy;@"/>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rial"/>
        <scheme val="none"/>
      </font>
      <fill>
        <patternFill patternType="none">
          <fgColor indexed="64"/>
          <bgColor auto="1"/>
        </patternFill>
      </fill>
      <alignment horizontal="center" vertical="center" textRotation="0" wrapText="1" indent="0" justifyLastLine="0" shrinkToFit="0" readingOrder="0"/>
      <protection locked="0" hidden="0"/>
    </dxf>
    <dxf>
      <font>
        <b/>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protection locked="0" hidden="0"/>
    </dxf>
    <dxf>
      <font>
        <b/>
        <i val="0"/>
        <strike val="0"/>
        <condense val="0"/>
        <extend val="0"/>
        <outline val="0"/>
        <shadow val="0"/>
        <u val="none"/>
        <vertAlign val="baseline"/>
        <sz val="12"/>
        <color theme="1"/>
        <name val="Arial"/>
        <scheme val="none"/>
      </font>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rial"/>
        <scheme val="none"/>
      </font>
      <numFmt numFmtId="164" formatCode="[$-3409]dd\-mmm\-yy;@"/>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rial"/>
        <scheme val="none"/>
      </font>
      <fill>
        <patternFill patternType="none">
          <fgColor indexed="64"/>
          <bgColor auto="1"/>
        </patternFill>
      </fill>
      <alignment horizontal="center" vertical="center" textRotation="0" wrapText="0" indent="0" justifyLastLine="0" shrinkToFit="0" readingOrder="0"/>
      <protection locked="0" hidden="0"/>
    </dxf>
    <dxf>
      <border outline="0">
        <bottom style="thin">
          <color theme="4" tint="0.39997558519241921"/>
        </bottom>
      </border>
    </dxf>
    <dxf>
      <font>
        <strike val="0"/>
        <outline val="0"/>
        <shadow val="0"/>
        <u val="none"/>
        <vertAlign val="baseline"/>
        <sz val="12"/>
        <name val="Arial"/>
        <scheme val="none"/>
      </font>
      <fill>
        <patternFill patternType="none">
          <fgColor indexed="64"/>
          <bgColor auto="1"/>
        </patternFill>
      </fill>
      <protection locked="0" hidden="0"/>
    </dxf>
    <dxf>
      <font>
        <strike val="0"/>
        <outline val="0"/>
        <shadow val="0"/>
        <u val="none"/>
        <vertAlign val="baseline"/>
        <sz val="16"/>
        <color theme="0"/>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1" hidden="0"/>
    </dxf>
  </dxfs>
  <tableStyles count="0" defaultTableStyle="TableStyleMedium2" defaultPivotStyle="PivotStyleLight16"/>
  <colors>
    <mruColors>
      <color rgb="FFFF99CC"/>
      <color rgb="FFDD55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27</xdr:col>
      <xdr:colOff>1593274</xdr:colOff>
      <xdr:row>0</xdr:row>
      <xdr:rowOff>36944</xdr:rowOff>
    </xdr:from>
    <xdr:to>
      <xdr:col>27</xdr:col>
      <xdr:colOff>2041988</xdr:colOff>
      <xdr:row>0</xdr:row>
      <xdr:rowOff>797210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859019" y="36944"/>
          <a:ext cx="817418" cy="75559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AB201" totalsRowShown="0" headerRowDxfId="48" dataDxfId="47" tableBorderDxfId="46">
  <autoFilter ref="A2:AB201" xr:uid="{00000000-0009-0000-0100-000001000000}"/>
  <sortState xmlns:xlrd2="http://schemas.microsoft.com/office/spreadsheetml/2017/richdata2" ref="A2:AB88">
    <sortCondition ref="A1:A88"/>
  </sortState>
  <tableColumns count="28">
    <tableColumn id="1" xr3:uid="{00000000-0010-0000-0000-000001000000}" name="Deviation Reference" dataDxfId="45"/>
    <tableColumn id="3" xr3:uid="{00000000-0010-0000-0000-000003000000}" name="Date Deviation Raised" dataDxfId="44"/>
    <tableColumn id="2" xr3:uid="{00000000-0010-0000-0000-000002000000}" name="Deviation Raised By" dataDxfId="43"/>
    <tableColumn id="4" xr3:uid="{00000000-0010-0000-0000-000004000000}" name="QA RP" dataDxfId="42"/>
    <tableColumn id="23" xr3:uid="{C282ACD2-2AD9-42C4-9F91-C863F2FEA9DA}" name="Department/Area Affected" dataDxfId="41"/>
    <tableColumn id="20" xr3:uid="{00000000-0010-0000-0000-000014000000}" name="Deviation Area (Processes and activities)" dataDxfId="40"/>
    <tableColumn id="10" xr3:uid="{00000000-0010-0000-0000-00000A000000}" name="Document Reference" dataDxfId="39"/>
    <tableColumn id="9" xr3:uid="{00000000-0010-0000-0000-000009000000}" name="Product Details _x000a_(if applicable)" dataDxfId="38"/>
    <tableColumn id="7" xr3:uid="{00000000-0010-0000-0000-000007000000}" name="Brief  Summary " dataDxfId="37"/>
    <tableColumn id="31" xr3:uid="{9E0BB402-6622-4387-8BBC-85C9AEEC30EB}" name="Details of Deviation" dataDxfId="36"/>
    <tableColumn id="32" xr3:uid="{B89E2C55-C583-45F7-BC89-687BA008BD0F}" name="RPN" dataDxfId="35"/>
    <tableColumn id="33" xr3:uid="{34592271-09E5-49BA-B50A-1B9EC4CB36F7}" name="Classification of Deviation" dataDxfId="34"/>
    <tableColumn id="6" xr3:uid="{00000000-0010-0000-0000-000006000000}" name="Part 1 Due Date" dataDxfId="33">
      <calculatedColumnFormula>Table1[[#This Row],[Date Deviation Raised]]+7</calculatedColumnFormula>
    </tableColumn>
    <tableColumn id="12" xr3:uid="{00000000-0010-0000-0000-00000C000000}" name="Part 1 Completion Date" dataDxfId="32"/>
    <tableColumn id="16" xr3:uid="{00000000-0010-0000-0000-000010000000}" name="Days Taken to do Part 1" dataDxfId="31">
      <calculatedColumnFormula>Table1[[#This Row],[Part 1 Completion Date]]-Table1[[#This Row],[Date Deviation Raised]]</calculatedColumnFormula>
    </tableColumn>
    <tableColumn id="21" xr3:uid="{00000000-0010-0000-0000-000015000000}" name="Person Assigned" dataDxfId="30"/>
    <tableColumn id="5" xr3:uid="{00000000-0010-0000-0000-000005000000}" name="Target Date" dataDxfId="29"/>
    <tableColumn id="15" xr3:uid="{00000000-0010-0000-0000-00000F000000}" name="Investigation Closed" dataDxfId="28"/>
    <tableColumn id="17" xr3:uid="{00000000-0010-0000-0000-000011000000}" name="Days Investigation Open" dataDxfId="27">
      <calculatedColumnFormula>Table1[[#This Row],[Investigation Closed]]-Table1[[#This Row],[Date Deviation Raised]]</calculatedColumnFormula>
    </tableColumn>
    <tableColumn id="29" xr3:uid="{3F778CC7-D686-464E-A8DF-C944AB7C06B7}" name="Root Cause(s) Identified" dataDxfId="26"/>
    <tableColumn id="28" xr3:uid="{234517E8-570C-4724-AAB6-8CB5E0D62219}" name="Department(s) Invloved in Root Cause (if applicable)" dataDxfId="25"/>
    <tableColumn id="34" xr3:uid="{DF2D143D-5B7A-403A-ADC1-D2F84623D174}" name="Reclassification of Deviation" dataDxfId="24"/>
    <tableColumn id="14" xr3:uid="{00000000-0010-0000-0000-00000E000000}" name="QA Approval By" dataDxfId="23"/>
    <tableColumn id="36" xr3:uid="{47D4C008-CD04-466F-8DD2-3532335713B4}" name="Approval Date" dataDxfId="22"/>
    <tableColumn id="35" xr3:uid="{3E93493A-FC8B-47B8-B9F2-AD7FB6DAE0B7}" name="Status" dataDxfId="21"/>
    <tableColumn id="18" xr3:uid="{00000000-0010-0000-0000-000012000000}" name="Wet ink copy filed away? (Y/N)" dataDxfId="20"/>
    <tableColumn id="22" xr3:uid="{00000000-0010-0000-0000-000016000000}" name="Location" dataDxfId="19"/>
    <tableColumn id="11" xr3:uid="{59D5B295-E58C-4E39-AB17-35609B90FC49}" name="Comments" dataDxfId="18"/>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7F47FE-A2A9-47B5-B5B1-CD42DDE2F02E}" name="Table2" displayName="Table2" ref="C1:C30" totalsRowShown="0" headerRowDxfId="17" dataDxfId="15" headerRowBorderDxfId="16" tableBorderDxfId="14">
  <autoFilter ref="C1:C30" xr:uid="{887F47FE-A2A9-47B5-B5B1-CD42DDE2F02E}"/>
  <tableColumns count="1">
    <tableColumn id="1" xr3:uid="{588E8868-6F8B-4F47-B88D-7C9CB6A93187}" name="Deviation Area (Processes and activities)"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201"/>
  <sheetViews>
    <sheetView tabSelected="1" zoomScale="50" zoomScaleNormal="50" workbookViewId="0">
      <pane xSplit="1" ySplit="2" topLeftCell="J24" activePane="bottomRight" state="frozen"/>
      <selection pane="topRight" activeCell="B1" sqref="B1"/>
      <selection pane="bottomLeft" activeCell="A2" sqref="A2"/>
      <selection pane="bottomRight" activeCell="AA25" sqref="AA25"/>
    </sheetView>
  </sheetViews>
  <sheetFormatPr defaultColWidth="0" defaultRowHeight="15.75" x14ac:dyDescent="0.25"/>
  <cols>
    <col min="1" max="1" width="35.85546875" style="4" customWidth="1"/>
    <col min="2" max="2" width="19.42578125" style="3" customWidth="1"/>
    <col min="3" max="3" width="19.28515625" style="4" customWidth="1"/>
    <col min="4" max="4" width="10.28515625" style="3" customWidth="1"/>
    <col min="5" max="5" width="26" style="3" customWidth="1"/>
    <col min="6" max="6" width="27.7109375" style="7" customWidth="1"/>
    <col min="7" max="7" width="22" style="4" customWidth="1"/>
    <col min="8" max="8" width="45.5703125" style="5" customWidth="1"/>
    <col min="9" max="9" width="38.42578125" style="4" customWidth="1"/>
    <col min="10" max="10" width="81.7109375" style="4" customWidth="1"/>
    <col min="11" max="11" width="16.7109375" style="4" customWidth="1"/>
    <col min="12" max="12" width="22.7109375" style="5" customWidth="1"/>
    <col min="13" max="13" width="19" style="5" customWidth="1"/>
    <col min="14" max="14" width="19.7109375" style="5" customWidth="1"/>
    <col min="15" max="15" width="14.42578125" style="5" customWidth="1"/>
    <col min="16" max="16" width="17" style="3" customWidth="1"/>
    <col min="17" max="17" width="16.7109375" style="3" customWidth="1"/>
    <col min="18" max="18" width="21" style="4" customWidth="1"/>
    <col min="19" max="19" width="25.7109375" style="3" bestFit="1" customWidth="1"/>
    <col min="20" max="20" width="52.7109375" style="3" customWidth="1"/>
    <col min="21" max="21" width="30.7109375" style="3" customWidth="1"/>
    <col min="22" max="22" width="25.28515625" style="5" customWidth="1"/>
    <col min="23" max="23" width="15" style="3" customWidth="1"/>
    <col min="24" max="24" width="19.7109375" style="3" customWidth="1"/>
    <col min="25" max="25" width="25.42578125" style="3" customWidth="1"/>
    <col min="26" max="26" width="31.140625" style="3" customWidth="1"/>
    <col min="27" max="27" width="22.7109375" style="3" customWidth="1"/>
    <col min="28" max="28" width="36.7109375" style="3" customWidth="1"/>
    <col min="29" max="32" width="9.28515625" style="3" hidden="1" customWidth="1"/>
    <col min="33" max="33" width="20.28515625" style="4" hidden="1" customWidth="1"/>
    <col min="34" max="34" width="20.5703125" style="4" hidden="1" customWidth="1"/>
    <col min="35" max="35" width="57" style="4" hidden="1" customWidth="1"/>
    <col min="36" max="36" width="63.7109375" style="5" hidden="1" customWidth="1"/>
    <col min="37" max="37" width="13.5703125" style="5" hidden="1" customWidth="1"/>
    <col min="38" max="38" width="21.140625" style="6" hidden="1" customWidth="1"/>
    <col min="39" max="39" width="13" style="4" hidden="1" customWidth="1"/>
    <col min="40" max="40" width="16.28515625" style="4" hidden="1" customWidth="1"/>
    <col min="41" max="41" width="19" style="4" hidden="1" customWidth="1"/>
    <col min="42" max="42" width="16.7109375" style="4" hidden="1" customWidth="1"/>
    <col min="43" max="43" width="29.140625" style="7" hidden="1" customWidth="1"/>
    <col min="44" max="45" width="51.140625" style="4" hidden="1" customWidth="1"/>
    <col min="46" max="52" width="9.28515625" style="4" hidden="1" customWidth="1"/>
    <col min="53" max="16384" width="9.28515625" style="4" hidden="1"/>
  </cols>
  <sheetData>
    <row r="1" spans="1:43" s="18" customFormat="1" ht="95.45" customHeight="1" x14ac:dyDescent="0.35">
      <c r="A1" s="90" t="s">
        <v>57</v>
      </c>
      <c r="B1" s="91"/>
      <c r="C1" s="91"/>
      <c r="D1" s="91"/>
      <c r="E1" s="91"/>
      <c r="F1" s="91"/>
      <c r="G1" s="91"/>
      <c r="H1" s="91"/>
      <c r="I1" s="83" t="s">
        <v>58</v>
      </c>
      <c r="J1" s="32"/>
      <c r="K1" s="32"/>
      <c r="L1" s="33"/>
      <c r="M1" s="33"/>
      <c r="N1" s="33"/>
      <c r="O1" s="33"/>
      <c r="P1" s="33"/>
      <c r="Q1" s="33"/>
      <c r="R1" s="33"/>
      <c r="S1" s="33"/>
      <c r="T1" s="1"/>
      <c r="U1" s="1"/>
      <c r="V1" s="33"/>
      <c r="AC1"/>
      <c r="AD1"/>
      <c r="AE1"/>
      <c r="AF1"/>
      <c r="AJ1" s="19"/>
      <c r="AK1" s="19"/>
      <c r="AL1" s="20"/>
      <c r="AQ1" s="21"/>
    </row>
    <row r="2" spans="1:43" s="37" customFormat="1" ht="95.45" customHeight="1" x14ac:dyDescent="0.25">
      <c r="A2" s="35" t="s">
        <v>25</v>
      </c>
      <c r="B2" s="35" t="s">
        <v>0</v>
      </c>
      <c r="C2" s="35" t="s">
        <v>26</v>
      </c>
      <c r="D2" s="35" t="s">
        <v>1</v>
      </c>
      <c r="E2" s="35" t="s">
        <v>55</v>
      </c>
      <c r="F2" s="35" t="s">
        <v>16</v>
      </c>
      <c r="G2" s="35" t="s">
        <v>17</v>
      </c>
      <c r="H2" s="35" t="s">
        <v>15</v>
      </c>
      <c r="I2" s="35" t="s">
        <v>2</v>
      </c>
      <c r="J2" s="35" t="s">
        <v>6</v>
      </c>
      <c r="K2" s="35" t="s">
        <v>20</v>
      </c>
      <c r="L2" s="35" t="s">
        <v>7</v>
      </c>
      <c r="M2" s="36" t="s">
        <v>3</v>
      </c>
      <c r="N2" s="36" t="s">
        <v>4</v>
      </c>
      <c r="O2" s="36" t="s">
        <v>5</v>
      </c>
      <c r="P2" s="36" t="s">
        <v>8</v>
      </c>
      <c r="Q2" s="36" t="s">
        <v>9</v>
      </c>
      <c r="R2" s="35" t="s">
        <v>22</v>
      </c>
      <c r="S2" s="35" t="s">
        <v>23</v>
      </c>
      <c r="T2" s="35" t="s">
        <v>18</v>
      </c>
      <c r="U2" s="35" t="s">
        <v>19</v>
      </c>
      <c r="V2" s="35" t="s">
        <v>21</v>
      </c>
      <c r="W2" s="35" t="s">
        <v>11</v>
      </c>
      <c r="X2" s="35" t="s">
        <v>24</v>
      </c>
      <c r="Y2" s="35" t="s">
        <v>10</v>
      </c>
      <c r="Z2" s="35" t="s">
        <v>12</v>
      </c>
      <c r="AA2" s="35" t="s">
        <v>13</v>
      </c>
      <c r="AB2" s="35" t="s">
        <v>14</v>
      </c>
    </row>
    <row r="3" spans="1:43" s="55" customFormat="1" ht="60.75" x14ac:dyDescent="0.3">
      <c r="A3" s="44" t="s">
        <v>92</v>
      </c>
      <c r="B3" s="45">
        <v>46029</v>
      </c>
      <c r="C3" s="44" t="s">
        <v>101</v>
      </c>
      <c r="D3" s="51" t="s">
        <v>141</v>
      </c>
      <c r="E3" s="46" t="s">
        <v>93</v>
      </c>
      <c r="F3" s="47" t="s">
        <v>33</v>
      </c>
      <c r="G3" s="44" t="s">
        <v>97</v>
      </c>
      <c r="H3" s="47" t="s">
        <v>98</v>
      </c>
      <c r="I3" s="47" t="s">
        <v>94</v>
      </c>
      <c r="J3" s="47" t="s">
        <v>123</v>
      </c>
      <c r="K3" s="47">
        <v>30</v>
      </c>
      <c r="L3" s="44" t="s">
        <v>95</v>
      </c>
      <c r="M3" s="48">
        <f>Table1[[#This Row],[Date Deviation Raised]]+7</f>
        <v>46036</v>
      </c>
      <c r="N3" s="49">
        <v>46036</v>
      </c>
      <c r="O3" s="50">
        <f>Table1[[#This Row],[Part 1 Completion Date]]-Table1[[#This Row],[Date Deviation Raised]]</f>
        <v>7</v>
      </c>
      <c r="P3" s="51" t="s">
        <v>96</v>
      </c>
      <c r="Q3" s="52">
        <v>46095</v>
      </c>
      <c r="R3" s="45">
        <v>46095</v>
      </c>
      <c r="S3" s="50">
        <f>Table1[[#This Row],[Investigation Closed]]-Table1[[#This Row],[Date Deviation Raised]]</f>
        <v>66</v>
      </c>
      <c r="T3" s="47" t="s">
        <v>127</v>
      </c>
      <c r="U3" s="44" t="s">
        <v>159</v>
      </c>
      <c r="V3" s="44" t="s">
        <v>95</v>
      </c>
      <c r="W3" s="44" t="s">
        <v>115</v>
      </c>
      <c r="X3" s="62">
        <v>46097</v>
      </c>
      <c r="Y3" s="53" t="s">
        <v>130</v>
      </c>
      <c r="Z3" s="44" t="s">
        <v>131</v>
      </c>
      <c r="AA3" s="47" t="s">
        <v>132</v>
      </c>
      <c r="AB3" s="61"/>
    </row>
    <row r="4" spans="1:43" s="55" customFormat="1" ht="60.75" x14ac:dyDescent="0.3">
      <c r="A4" s="44" t="s">
        <v>99</v>
      </c>
      <c r="B4" s="45">
        <v>46030</v>
      </c>
      <c r="C4" s="44" t="s">
        <v>100</v>
      </c>
      <c r="D4" s="51" t="s">
        <v>100</v>
      </c>
      <c r="E4" s="46" t="s">
        <v>102</v>
      </c>
      <c r="F4" s="47" t="s">
        <v>37</v>
      </c>
      <c r="G4" s="44" t="s">
        <v>104</v>
      </c>
      <c r="H4" s="47" t="s">
        <v>103</v>
      </c>
      <c r="I4" s="47" t="s">
        <v>105</v>
      </c>
      <c r="J4" s="47" t="s">
        <v>106</v>
      </c>
      <c r="K4" s="47">
        <v>4</v>
      </c>
      <c r="L4" s="44" t="s">
        <v>95</v>
      </c>
      <c r="M4" s="48">
        <f>Table1[[#This Row],[Date Deviation Raised]]+7</f>
        <v>46037</v>
      </c>
      <c r="N4" s="49">
        <v>46036</v>
      </c>
      <c r="O4" s="50">
        <f>Table1[[#This Row],[Part 1 Completion Date]]-Table1[[#This Row],[Date Deviation Raised]]</f>
        <v>6</v>
      </c>
      <c r="P4" s="51" t="s">
        <v>100</v>
      </c>
      <c r="Q4" s="52">
        <v>46095</v>
      </c>
      <c r="R4" s="45">
        <v>46093</v>
      </c>
      <c r="S4" s="50">
        <f>Table1[[#This Row],[Investigation Closed]]-Table1[[#This Row],[Date Deviation Raised]]</f>
        <v>63</v>
      </c>
      <c r="T4" s="44" t="s">
        <v>149</v>
      </c>
      <c r="U4" s="44" t="s">
        <v>104</v>
      </c>
      <c r="V4" s="44" t="s">
        <v>95</v>
      </c>
      <c r="W4" s="44" t="s">
        <v>115</v>
      </c>
      <c r="X4" s="62">
        <v>46093</v>
      </c>
      <c r="Y4" s="53" t="s">
        <v>130</v>
      </c>
      <c r="Z4" s="44" t="s">
        <v>131</v>
      </c>
      <c r="AA4" s="47" t="s">
        <v>132</v>
      </c>
      <c r="AB4" s="54"/>
    </row>
    <row r="5" spans="1:43" s="55" customFormat="1" ht="202.5" x14ac:dyDescent="0.3">
      <c r="A5" s="44" t="s">
        <v>108</v>
      </c>
      <c r="B5" s="45">
        <v>46043</v>
      </c>
      <c r="C5" s="44" t="s">
        <v>109</v>
      </c>
      <c r="D5" s="51" t="s">
        <v>142</v>
      </c>
      <c r="E5" s="51" t="s">
        <v>102</v>
      </c>
      <c r="F5" s="47" t="s">
        <v>37</v>
      </c>
      <c r="G5" s="44" t="s">
        <v>110</v>
      </c>
      <c r="H5" s="47" t="s">
        <v>111</v>
      </c>
      <c r="I5" s="47" t="s">
        <v>113</v>
      </c>
      <c r="J5" s="47" t="s">
        <v>112</v>
      </c>
      <c r="K5" s="47">
        <v>6</v>
      </c>
      <c r="L5" s="44" t="s">
        <v>95</v>
      </c>
      <c r="M5" s="48">
        <f>Table1[[#This Row],[Date Deviation Raised]]+7</f>
        <v>46050</v>
      </c>
      <c r="N5" s="49">
        <v>46045</v>
      </c>
      <c r="O5" s="50">
        <f>Table1[[#This Row],[Part 1 Completion Date]]-Table1[[#This Row],[Date Deviation Raised]]</f>
        <v>2</v>
      </c>
      <c r="P5" s="51" t="s">
        <v>109</v>
      </c>
      <c r="Q5" s="52">
        <v>46101</v>
      </c>
      <c r="R5" s="45">
        <v>46101</v>
      </c>
      <c r="S5" s="50">
        <f>Table1[[#This Row],[Investigation Closed]]-Table1[[#This Row],[Date Deviation Raised]]</f>
        <v>58</v>
      </c>
      <c r="T5" s="47" t="s">
        <v>149</v>
      </c>
      <c r="U5" s="44" t="s">
        <v>104</v>
      </c>
      <c r="V5" s="44" t="s">
        <v>145</v>
      </c>
      <c r="W5" s="44" t="s">
        <v>115</v>
      </c>
      <c r="X5" s="62">
        <v>46101</v>
      </c>
      <c r="Y5" s="53" t="s">
        <v>130</v>
      </c>
      <c r="Z5" s="44" t="s">
        <v>131</v>
      </c>
      <c r="AA5" s="47" t="s">
        <v>132</v>
      </c>
      <c r="AB5" s="54"/>
    </row>
    <row r="6" spans="1:43" s="55" customFormat="1" ht="243" x14ac:dyDescent="0.3">
      <c r="A6" s="44" t="s">
        <v>119</v>
      </c>
      <c r="B6" s="45">
        <v>46048</v>
      </c>
      <c r="C6" s="44" t="s">
        <v>115</v>
      </c>
      <c r="D6" s="51" t="s">
        <v>115</v>
      </c>
      <c r="E6" s="46" t="s">
        <v>116</v>
      </c>
      <c r="F6" s="47" t="s">
        <v>74</v>
      </c>
      <c r="G6" s="47" t="s">
        <v>117</v>
      </c>
      <c r="H6" s="47" t="s">
        <v>118</v>
      </c>
      <c r="I6" s="47" t="s">
        <v>124</v>
      </c>
      <c r="J6" s="47" t="s">
        <v>125</v>
      </c>
      <c r="K6" s="47">
        <v>200</v>
      </c>
      <c r="L6" s="44" t="s">
        <v>126</v>
      </c>
      <c r="M6" s="48">
        <f>Table1[[#This Row],[Date Deviation Raised]]+7</f>
        <v>46055</v>
      </c>
      <c r="N6" s="49">
        <v>46051</v>
      </c>
      <c r="O6" s="50">
        <f>Table1[[#This Row],[Part 1 Completion Date]]-Table1[[#This Row],[Date Deviation Raised]]</f>
        <v>3</v>
      </c>
      <c r="P6" s="51" t="s">
        <v>115</v>
      </c>
      <c r="Q6" s="52">
        <v>46058</v>
      </c>
      <c r="R6" s="45">
        <v>46055</v>
      </c>
      <c r="S6" s="50">
        <f>Table1[[#This Row],[Investigation Closed]]-Table1[[#This Row],[Date Deviation Raised]]</f>
        <v>7</v>
      </c>
      <c r="T6" s="47" t="s">
        <v>127</v>
      </c>
      <c r="U6" s="47" t="s">
        <v>128</v>
      </c>
      <c r="V6" s="44" t="s">
        <v>126</v>
      </c>
      <c r="W6" s="44" t="s">
        <v>129</v>
      </c>
      <c r="X6" s="62">
        <v>46055</v>
      </c>
      <c r="Y6" s="53" t="s">
        <v>130</v>
      </c>
      <c r="Z6" s="44" t="s">
        <v>131</v>
      </c>
      <c r="AA6" s="47" t="s">
        <v>132</v>
      </c>
      <c r="AB6" s="54"/>
    </row>
    <row r="7" spans="1:43" s="55" customFormat="1" ht="81" x14ac:dyDescent="0.3">
      <c r="A7" s="44" t="s">
        <v>120</v>
      </c>
      <c r="B7" s="45">
        <v>46052</v>
      </c>
      <c r="C7" s="44" t="s">
        <v>101</v>
      </c>
      <c r="D7" s="51" t="s">
        <v>101</v>
      </c>
      <c r="E7" s="51" t="s">
        <v>122</v>
      </c>
      <c r="F7" s="47" t="s">
        <v>33</v>
      </c>
      <c r="G7" s="44" t="s">
        <v>135</v>
      </c>
      <c r="H7" s="47" t="s">
        <v>134</v>
      </c>
      <c r="I7" s="47" t="s">
        <v>180</v>
      </c>
      <c r="J7" s="47" t="s">
        <v>121</v>
      </c>
      <c r="K7" s="47">
        <v>20</v>
      </c>
      <c r="L7" s="44" t="s">
        <v>95</v>
      </c>
      <c r="M7" s="48">
        <f>Table1[[#This Row],[Date Deviation Raised]]+7</f>
        <v>46059</v>
      </c>
      <c r="N7" s="49">
        <v>46059</v>
      </c>
      <c r="O7" s="50">
        <f>Table1[[#This Row],[Part 1 Completion Date]]-Table1[[#This Row],[Date Deviation Raised]]</f>
        <v>7</v>
      </c>
      <c r="P7" s="51" t="s">
        <v>133</v>
      </c>
      <c r="Q7" s="52">
        <v>46142</v>
      </c>
      <c r="R7" s="45">
        <v>46142</v>
      </c>
      <c r="S7" s="50">
        <f>Table1[[#This Row],[Investigation Closed]]-Table1[[#This Row],[Date Deviation Raised]]</f>
        <v>90</v>
      </c>
      <c r="T7" s="44" t="s">
        <v>170</v>
      </c>
      <c r="U7" s="44" t="s">
        <v>104</v>
      </c>
      <c r="V7" s="44" t="s">
        <v>95</v>
      </c>
      <c r="W7" s="44" t="s">
        <v>115</v>
      </c>
      <c r="X7" s="74">
        <v>46142</v>
      </c>
      <c r="Y7" s="53" t="s">
        <v>130</v>
      </c>
      <c r="Z7" s="44" t="s">
        <v>131</v>
      </c>
      <c r="AA7" s="47" t="s">
        <v>132</v>
      </c>
      <c r="AB7" s="54"/>
    </row>
    <row r="8" spans="1:43" s="55" customFormat="1" ht="101.25" x14ac:dyDescent="0.3">
      <c r="A8" s="44" t="s">
        <v>136</v>
      </c>
      <c r="B8" s="45">
        <v>46087</v>
      </c>
      <c r="C8" s="44" t="s">
        <v>109</v>
      </c>
      <c r="D8" s="51" t="s">
        <v>141</v>
      </c>
      <c r="E8" s="46" t="s">
        <v>102</v>
      </c>
      <c r="F8" s="47" t="s">
        <v>59</v>
      </c>
      <c r="G8" s="44" t="s">
        <v>137</v>
      </c>
      <c r="H8" s="47" t="s">
        <v>138</v>
      </c>
      <c r="I8" s="47" t="s">
        <v>140</v>
      </c>
      <c r="J8" s="47" t="s">
        <v>139</v>
      </c>
      <c r="K8" s="47">
        <v>9</v>
      </c>
      <c r="L8" s="44" t="s">
        <v>95</v>
      </c>
      <c r="M8" s="48">
        <f>Table1[[#This Row],[Date Deviation Raised]]+7</f>
        <v>46094</v>
      </c>
      <c r="N8" s="49">
        <v>46092</v>
      </c>
      <c r="O8" s="50">
        <f>Table1[[#This Row],[Part 1 Completion Date]]-Table1[[#This Row],[Date Deviation Raised]]</f>
        <v>5</v>
      </c>
      <c r="P8" s="84" t="s">
        <v>109</v>
      </c>
      <c r="Q8" s="52">
        <v>46153</v>
      </c>
      <c r="R8" s="45">
        <v>46132</v>
      </c>
      <c r="S8" s="50">
        <f>Table1[[#This Row],[Investigation Closed]]-Table1[[#This Row],[Date Deviation Raised]]</f>
        <v>45</v>
      </c>
      <c r="T8" s="77" t="s">
        <v>170</v>
      </c>
      <c r="U8" s="44" t="s">
        <v>102</v>
      </c>
      <c r="V8" s="44" t="s">
        <v>95</v>
      </c>
      <c r="W8" s="44" t="s">
        <v>115</v>
      </c>
      <c r="X8" s="62">
        <v>46132</v>
      </c>
      <c r="Y8" s="53" t="s">
        <v>130</v>
      </c>
      <c r="Z8" s="44" t="s">
        <v>131</v>
      </c>
      <c r="AA8" s="47" t="s">
        <v>132</v>
      </c>
      <c r="AB8" s="54"/>
    </row>
    <row r="9" spans="1:43" s="55" customFormat="1" ht="202.5" x14ac:dyDescent="0.3">
      <c r="A9" s="44" t="s">
        <v>143</v>
      </c>
      <c r="B9" s="45">
        <v>46087</v>
      </c>
      <c r="C9" s="44" t="s">
        <v>133</v>
      </c>
      <c r="D9" s="51" t="s">
        <v>142</v>
      </c>
      <c r="E9" s="46" t="s">
        <v>102</v>
      </c>
      <c r="F9" s="47" t="s">
        <v>63</v>
      </c>
      <c r="G9" s="44" t="s">
        <v>144</v>
      </c>
      <c r="H9" s="47" t="s">
        <v>147</v>
      </c>
      <c r="I9" s="47" t="s">
        <v>148</v>
      </c>
      <c r="J9" s="47" t="s">
        <v>146</v>
      </c>
      <c r="K9" s="47">
        <v>3</v>
      </c>
      <c r="L9" s="44" t="s">
        <v>95</v>
      </c>
      <c r="M9" s="48">
        <f>Table1[[#This Row],[Date Deviation Raised]]+7</f>
        <v>46094</v>
      </c>
      <c r="N9" s="49">
        <v>46094</v>
      </c>
      <c r="O9" s="50">
        <f>Table1[[#This Row],[Part 1 Completion Date]]-Table1[[#This Row],[Date Deviation Raised]]</f>
        <v>7</v>
      </c>
      <c r="P9" s="51" t="s">
        <v>142</v>
      </c>
      <c r="Q9" s="52">
        <v>46128</v>
      </c>
      <c r="R9" s="45">
        <v>46154</v>
      </c>
      <c r="S9" s="50">
        <f>Table1[[#This Row],[Investigation Closed]]-Table1[[#This Row],[Date Deviation Raised]]</f>
        <v>67</v>
      </c>
      <c r="T9" s="44" t="s">
        <v>199</v>
      </c>
      <c r="U9" s="44" t="s">
        <v>104</v>
      </c>
      <c r="V9" s="44" t="s">
        <v>95</v>
      </c>
      <c r="W9" s="44" t="s">
        <v>129</v>
      </c>
      <c r="X9" s="74">
        <v>46154</v>
      </c>
      <c r="Y9" s="53" t="s">
        <v>130</v>
      </c>
      <c r="Z9" s="44" t="s">
        <v>131</v>
      </c>
      <c r="AA9" s="47" t="s">
        <v>132</v>
      </c>
      <c r="AB9" s="54"/>
    </row>
    <row r="10" spans="1:43" s="55" customFormat="1" ht="409.5" x14ac:dyDescent="0.3">
      <c r="A10" s="44" t="s">
        <v>150</v>
      </c>
      <c r="B10" s="45">
        <v>46108</v>
      </c>
      <c r="C10" s="44" t="s">
        <v>100</v>
      </c>
      <c r="D10" s="51" t="s">
        <v>142</v>
      </c>
      <c r="E10" s="46" t="s">
        <v>102</v>
      </c>
      <c r="F10" s="47" t="s">
        <v>67</v>
      </c>
      <c r="G10" s="44" t="s">
        <v>151</v>
      </c>
      <c r="H10" s="47" t="s">
        <v>152</v>
      </c>
      <c r="I10" s="47" t="s">
        <v>153</v>
      </c>
      <c r="J10" s="47" t="s">
        <v>168</v>
      </c>
      <c r="K10" s="47">
        <v>24</v>
      </c>
      <c r="L10" s="44" t="s">
        <v>95</v>
      </c>
      <c r="M10" s="48">
        <f>Table1[[#This Row],[Date Deviation Raised]]+7</f>
        <v>46115</v>
      </c>
      <c r="N10" s="49">
        <v>46115</v>
      </c>
      <c r="O10" s="50">
        <f>Table1[[#This Row],[Part 1 Completion Date]]-Table1[[#This Row],[Date Deviation Raised]]</f>
        <v>7</v>
      </c>
      <c r="P10" s="51" t="s">
        <v>142</v>
      </c>
      <c r="Q10" s="52">
        <v>46145</v>
      </c>
      <c r="R10" s="45">
        <v>46128</v>
      </c>
      <c r="S10" s="50">
        <f>Table1[[#This Row],[Investigation Closed]]-Table1[[#This Row],[Date Deviation Raised]]</f>
        <v>20</v>
      </c>
      <c r="T10" s="47" t="s">
        <v>169</v>
      </c>
      <c r="U10" s="44" t="s">
        <v>102</v>
      </c>
      <c r="V10" s="44" t="s">
        <v>95</v>
      </c>
      <c r="W10" s="44" t="s">
        <v>115</v>
      </c>
      <c r="X10" s="62">
        <v>46128</v>
      </c>
      <c r="Y10" s="53" t="s">
        <v>130</v>
      </c>
      <c r="Z10" s="44" t="s">
        <v>131</v>
      </c>
      <c r="AA10" s="47" t="s">
        <v>132</v>
      </c>
      <c r="AB10" s="54"/>
    </row>
    <row r="11" spans="1:43" s="55" customFormat="1" ht="141.75" x14ac:dyDescent="0.3">
      <c r="A11" s="44" t="s">
        <v>154</v>
      </c>
      <c r="B11" s="45">
        <v>46114</v>
      </c>
      <c r="C11" s="44" t="s">
        <v>100</v>
      </c>
      <c r="D11" s="51" t="s">
        <v>141</v>
      </c>
      <c r="E11" s="46" t="s">
        <v>155</v>
      </c>
      <c r="F11" s="47" t="s">
        <v>61</v>
      </c>
      <c r="G11" s="44" t="s">
        <v>104</v>
      </c>
      <c r="H11" s="47" t="s">
        <v>104</v>
      </c>
      <c r="I11" s="47" t="s">
        <v>156</v>
      </c>
      <c r="J11" s="47" t="s">
        <v>212</v>
      </c>
      <c r="K11" s="47">
        <v>36</v>
      </c>
      <c r="L11" s="44" t="s">
        <v>95</v>
      </c>
      <c r="M11" s="48">
        <f>Table1[[#This Row],[Date Deviation Raised]]+7</f>
        <v>46121</v>
      </c>
      <c r="N11" s="49">
        <v>46119</v>
      </c>
      <c r="O11" s="50">
        <f>Table1[[#This Row],[Part 1 Completion Date]]-Table1[[#This Row],[Date Deviation Raised]]</f>
        <v>5</v>
      </c>
      <c r="P11" s="51" t="s">
        <v>141</v>
      </c>
      <c r="Q11" s="52">
        <v>46162</v>
      </c>
      <c r="R11" s="45">
        <v>46161</v>
      </c>
      <c r="S11" s="50">
        <f>Table1[[#This Row],[Investigation Closed]]-Table1[[#This Row],[Date Deviation Raised]]</f>
        <v>47</v>
      </c>
      <c r="T11" s="44" t="s">
        <v>170</v>
      </c>
      <c r="U11" s="44" t="s">
        <v>159</v>
      </c>
      <c r="V11" s="44" t="s">
        <v>95</v>
      </c>
      <c r="W11" s="44" t="s">
        <v>129</v>
      </c>
      <c r="X11" s="62">
        <v>46162</v>
      </c>
      <c r="Y11" s="53" t="s">
        <v>130</v>
      </c>
      <c r="Z11" s="44" t="s">
        <v>131</v>
      </c>
      <c r="AA11" s="47" t="s">
        <v>132</v>
      </c>
      <c r="AB11" s="54"/>
    </row>
    <row r="12" spans="1:43" s="55" customFormat="1" ht="344.25" x14ac:dyDescent="0.3">
      <c r="A12" s="44" t="s">
        <v>157</v>
      </c>
      <c r="B12" s="45">
        <v>46119</v>
      </c>
      <c r="C12" s="44" t="s">
        <v>158</v>
      </c>
      <c r="D12" s="51" t="s">
        <v>141</v>
      </c>
      <c r="E12" s="51" t="s">
        <v>159</v>
      </c>
      <c r="F12" s="47" t="s">
        <v>71</v>
      </c>
      <c r="G12" s="44" t="s">
        <v>160</v>
      </c>
      <c r="H12" s="47" t="s">
        <v>161</v>
      </c>
      <c r="I12" s="47" t="s">
        <v>162</v>
      </c>
      <c r="J12" s="47" t="s">
        <v>163</v>
      </c>
      <c r="K12" s="47">
        <v>24</v>
      </c>
      <c r="L12" s="44" t="s">
        <v>95</v>
      </c>
      <c r="M12" s="48">
        <f>Table1[[#This Row],[Date Deviation Raised]]+7</f>
        <v>46126</v>
      </c>
      <c r="N12" s="49">
        <v>46119</v>
      </c>
      <c r="O12" s="50">
        <f>Table1[[#This Row],[Part 1 Completion Date]]-Table1[[#This Row],[Date Deviation Raised]]</f>
        <v>0</v>
      </c>
      <c r="P12" s="51" t="s">
        <v>141</v>
      </c>
      <c r="Q12" s="52">
        <v>46183</v>
      </c>
      <c r="R12" s="45">
        <v>46183</v>
      </c>
      <c r="S12" s="50">
        <f>Table1[[#This Row],[Investigation Closed]]-Table1[[#This Row],[Date Deviation Raised]]</f>
        <v>64</v>
      </c>
      <c r="T12" s="44" t="s">
        <v>216</v>
      </c>
      <c r="U12" s="44" t="s">
        <v>258</v>
      </c>
      <c r="V12" s="44" t="s">
        <v>95</v>
      </c>
      <c r="W12" s="44" t="s">
        <v>115</v>
      </c>
      <c r="X12" s="62">
        <v>46183</v>
      </c>
      <c r="Y12" s="53" t="s">
        <v>130</v>
      </c>
      <c r="Z12" s="44" t="s">
        <v>131</v>
      </c>
      <c r="AA12" s="47" t="s">
        <v>132</v>
      </c>
      <c r="AB12" s="54"/>
    </row>
    <row r="13" spans="1:43" s="55" customFormat="1" ht="303.75" x14ac:dyDescent="0.3">
      <c r="A13" s="44" t="s">
        <v>164</v>
      </c>
      <c r="B13" s="45">
        <v>46125</v>
      </c>
      <c r="C13" s="44" t="s">
        <v>115</v>
      </c>
      <c r="D13" s="51" t="s">
        <v>142</v>
      </c>
      <c r="E13" s="46" t="s">
        <v>165</v>
      </c>
      <c r="F13" s="47" t="s">
        <v>33</v>
      </c>
      <c r="G13" s="47" t="s">
        <v>166</v>
      </c>
      <c r="H13" s="47" t="s">
        <v>104</v>
      </c>
      <c r="I13" s="47" t="s">
        <v>167</v>
      </c>
      <c r="J13" s="47" t="s">
        <v>174</v>
      </c>
      <c r="K13" s="47">
        <v>100</v>
      </c>
      <c r="L13" s="44" t="s">
        <v>95</v>
      </c>
      <c r="M13" s="48">
        <f>Table1[[#This Row],[Date Deviation Raised]]+7</f>
        <v>46132</v>
      </c>
      <c r="N13" s="49">
        <v>46132</v>
      </c>
      <c r="O13" s="50">
        <f>Table1[[#This Row],[Part 1 Completion Date]]-Table1[[#This Row],[Date Deviation Raised]]</f>
        <v>7</v>
      </c>
      <c r="P13" s="51" t="s">
        <v>142</v>
      </c>
      <c r="Q13" s="52">
        <v>46193</v>
      </c>
      <c r="R13" s="45">
        <v>46161</v>
      </c>
      <c r="S13" s="50">
        <f>Table1[[#This Row],[Investigation Closed]]-Table1[[#This Row],[Date Deviation Raised]]</f>
        <v>36</v>
      </c>
      <c r="T13" s="44" t="s">
        <v>170</v>
      </c>
      <c r="U13" s="44" t="s">
        <v>102</v>
      </c>
      <c r="V13" s="44" t="s">
        <v>95</v>
      </c>
      <c r="W13" s="44" t="s">
        <v>115</v>
      </c>
      <c r="X13" s="62">
        <v>46161</v>
      </c>
      <c r="Y13" s="53" t="s">
        <v>130</v>
      </c>
      <c r="Z13" s="44" t="s">
        <v>131</v>
      </c>
      <c r="AA13" s="47" t="s">
        <v>132</v>
      </c>
      <c r="AB13" s="54"/>
    </row>
    <row r="14" spans="1:43" s="55" customFormat="1" ht="384.75" x14ac:dyDescent="0.3">
      <c r="A14" s="44" t="s">
        <v>171</v>
      </c>
      <c r="B14" s="45">
        <v>46132</v>
      </c>
      <c r="C14" s="44" t="s">
        <v>115</v>
      </c>
      <c r="D14" s="51" t="s">
        <v>141</v>
      </c>
      <c r="E14" s="46" t="s">
        <v>93</v>
      </c>
      <c r="F14" s="47" t="s">
        <v>37</v>
      </c>
      <c r="G14" s="47" t="s">
        <v>194</v>
      </c>
      <c r="H14" s="47" t="s">
        <v>195</v>
      </c>
      <c r="I14" s="47" t="s">
        <v>172</v>
      </c>
      <c r="J14" s="47" t="s">
        <v>196</v>
      </c>
      <c r="K14" s="47">
        <v>27</v>
      </c>
      <c r="L14" s="44" t="s">
        <v>95</v>
      </c>
      <c r="M14" s="48">
        <f>Table1[[#This Row],[Date Deviation Raised]]+7</f>
        <v>46139</v>
      </c>
      <c r="N14" s="49">
        <v>46143</v>
      </c>
      <c r="O14" s="50">
        <f>Table1[[#This Row],[Part 1 Completion Date]]-Table1[[#This Row],[Date Deviation Raised]]</f>
        <v>11</v>
      </c>
      <c r="P14" s="51" t="s">
        <v>173</v>
      </c>
      <c r="Q14" s="52">
        <v>46203</v>
      </c>
      <c r="R14" s="45">
        <v>46203</v>
      </c>
      <c r="S14" s="50">
        <f>Table1[[#This Row],[Investigation Closed]]-Table1[[#This Row],[Date Deviation Raised]]</f>
        <v>71</v>
      </c>
      <c r="T14" s="44" t="s">
        <v>149</v>
      </c>
      <c r="U14" s="44" t="s">
        <v>54</v>
      </c>
      <c r="V14" s="44" t="s">
        <v>95</v>
      </c>
      <c r="W14" s="44" t="s">
        <v>115</v>
      </c>
      <c r="X14" s="74">
        <v>46203</v>
      </c>
      <c r="Y14" s="53" t="s">
        <v>130</v>
      </c>
      <c r="Z14" s="44" t="s">
        <v>131</v>
      </c>
      <c r="AA14" s="47" t="s">
        <v>132</v>
      </c>
      <c r="AB14" s="54"/>
    </row>
    <row r="15" spans="1:43" s="55" customFormat="1" ht="303.75" x14ac:dyDescent="0.3">
      <c r="A15" s="44" t="s">
        <v>175</v>
      </c>
      <c r="B15" s="45">
        <v>46136</v>
      </c>
      <c r="C15" s="44" t="s">
        <v>115</v>
      </c>
      <c r="D15" s="51" t="s">
        <v>178</v>
      </c>
      <c r="E15" s="46" t="s">
        <v>93</v>
      </c>
      <c r="F15" s="47" t="s">
        <v>60</v>
      </c>
      <c r="G15" s="44" t="s">
        <v>192</v>
      </c>
      <c r="H15" s="47" t="s">
        <v>193</v>
      </c>
      <c r="I15" s="47" t="s">
        <v>179</v>
      </c>
      <c r="J15" s="47" t="s">
        <v>191</v>
      </c>
      <c r="K15" s="47">
        <v>60</v>
      </c>
      <c r="L15" s="44" t="s">
        <v>95</v>
      </c>
      <c r="M15" s="48">
        <f>Table1[[#This Row],[Date Deviation Raised]]+7</f>
        <v>46143</v>
      </c>
      <c r="N15" s="49">
        <v>46142</v>
      </c>
      <c r="O15" s="50">
        <f>Table1[[#This Row],[Part 1 Completion Date]]-Table1[[#This Row],[Date Deviation Raised]]</f>
        <v>6</v>
      </c>
      <c r="P15" s="51" t="s">
        <v>178</v>
      </c>
      <c r="Q15" s="52">
        <v>46203</v>
      </c>
      <c r="R15" s="45">
        <v>46185</v>
      </c>
      <c r="S15" s="50">
        <f>Table1[[#This Row],[Investigation Closed]]-Table1[[#This Row],[Date Deviation Raised]]</f>
        <v>49</v>
      </c>
      <c r="T15" s="77" t="s">
        <v>216</v>
      </c>
      <c r="U15" s="44" t="s">
        <v>54</v>
      </c>
      <c r="V15" s="44" t="s">
        <v>95</v>
      </c>
      <c r="W15" s="44" t="s">
        <v>129</v>
      </c>
      <c r="X15" s="62">
        <v>46185</v>
      </c>
      <c r="Y15" s="53" t="s">
        <v>130</v>
      </c>
      <c r="Z15" s="44" t="s">
        <v>131</v>
      </c>
      <c r="AA15" s="47" t="s">
        <v>132</v>
      </c>
      <c r="AB15" s="54"/>
    </row>
    <row r="16" spans="1:43" s="55" customFormat="1" ht="162" x14ac:dyDescent="0.3">
      <c r="A16" s="44" t="s">
        <v>176</v>
      </c>
      <c r="B16" s="45">
        <v>46136</v>
      </c>
      <c r="C16" s="44" t="s">
        <v>115</v>
      </c>
      <c r="D16" s="51" t="s">
        <v>101</v>
      </c>
      <c r="E16" s="46" t="s">
        <v>102</v>
      </c>
      <c r="F16" s="47" t="s">
        <v>33</v>
      </c>
      <c r="G16" s="47" t="s">
        <v>206</v>
      </c>
      <c r="H16" s="47" t="s">
        <v>207</v>
      </c>
      <c r="I16" s="47" t="s">
        <v>180</v>
      </c>
      <c r="J16" s="47" t="s">
        <v>205</v>
      </c>
      <c r="K16" s="47">
        <v>98</v>
      </c>
      <c r="L16" s="44" t="s">
        <v>95</v>
      </c>
      <c r="M16" s="48">
        <f>Table1[[#This Row],[Date Deviation Raised]]+7</f>
        <v>46143</v>
      </c>
      <c r="N16" s="49">
        <v>46161</v>
      </c>
      <c r="O16" s="50">
        <f>Table1[[#This Row],[Part 1 Completion Date]]-Table1[[#This Row],[Date Deviation Raised]]</f>
        <v>25</v>
      </c>
      <c r="P16" s="51" t="s">
        <v>133</v>
      </c>
      <c r="Q16" s="52">
        <v>46202</v>
      </c>
      <c r="R16" s="45">
        <v>46202</v>
      </c>
      <c r="S16" s="50">
        <f>Table1[[#This Row],[Investigation Closed]]-Table1[[#This Row],[Date Deviation Raised]]</f>
        <v>66</v>
      </c>
      <c r="T16" s="47" t="s">
        <v>170</v>
      </c>
      <c r="U16" s="44" t="s">
        <v>102</v>
      </c>
      <c r="V16" s="44" t="s">
        <v>95</v>
      </c>
      <c r="W16" s="44" t="s">
        <v>115</v>
      </c>
      <c r="X16" s="62">
        <v>46202</v>
      </c>
      <c r="Y16" s="53" t="s">
        <v>130</v>
      </c>
      <c r="Z16" s="44" t="s">
        <v>131</v>
      </c>
      <c r="AA16" s="47" t="s">
        <v>132</v>
      </c>
      <c r="AB16" s="54"/>
    </row>
    <row r="17" spans="1:28" s="55" customFormat="1" ht="202.5" x14ac:dyDescent="0.3">
      <c r="A17" s="44" t="s">
        <v>177</v>
      </c>
      <c r="B17" s="45">
        <v>46136</v>
      </c>
      <c r="C17" s="44" t="s">
        <v>115</v>
      </c>
      <c r="D17" s="51" t="s">
        <v>178</v>
      </c>
      <c r="E17" s="46" t="s">
        <v>93</v>
      </c>
      <c r="F17" s="47" t="s">
        <v>74</v>
      </c>
      <c r="G17" s="44" t="s">
        <v>233</v>
      </c>
      <c r="H17" s="47" t="s">
        <v>189</v>
      </c>
      <c r="I17" s="47" t="s">
        <v>181</v>
      </c>
      <c r="J17" s="47" t="s">
        <v>190</v>
      </c>
      <c r="K17" s="47">
        <v>180</v>
      </c>
      <c r="L17" s="44" t="s">
        <v>145</v>
      </c>
      <c r="M17" s="48">
        <f>Table1[[#This Row],[Date Deviation Raised]]+7</f>
        <v>46143</v>
      </c>
      <c r="N17" s="49">
        <v>46142</v>
      </c>
      <c r="O17" s="50">
        <f>Table1[[#This Row],[Part 1 Completion Date]]-Table1[[#This Row],[Date Deviation Raised]]</f>
        <v>6</v>
      </c>
      <c r="P17" s="51" t="s">
        <v>178</v>
      </c>
      <c r="Q17" s="52">
        <v>46171</v>
      </c>
      <c r="R17" s="45">
        <v>46154</v>
      </c>
      <c r="S17" s="50">
        <f>Table1[[#This Row],[Investigation Closed]]-Table1[[#This Row],[Date Deviation Raised]]</f>
        <v>18</v>
      </c>
      <c r="T17" s="44" t="s">
        <v>88</v>
      </c>
      <c r="U17" s="47" t="s">
        <v>51</v>
      </c>
      <c r="V17" s="44" t="s">
        <v>145</v>
      </c>
      <c r="W17" s="44" t="s">
        <v>129</v>
      </c>
      <c r="X17" s="62">
        <v>46154</v>
      </c>
      <c r="Y17" s="53" t="s">
        <v>130</v>
      </c>
      <c r="Z17" s="44" t="s">
        <v>131</v>
      </c>
      <c r="AA17" s="47" t="s">
        <v>132</v>
      </c>
      <c r="AB17" s="54"/>
    </row>
    <row r="18" spans="1:28" s="55" customFormat="1" ht="243" x14ac:dyDescent="0.3">
      <c r="A18" s="44" t="s">
        <v>182</v>
      </c>
      <c r="B18" s="45">
        <v>46140</v>
      </c>
      <c r="C18" s="44" t="s">
        <v>232</v>
      </c>
      <c r="D18" s="51" t="s">
        <v>141</v>
      </c>
      <c r="E18" s="46" t="s">
        <v>93</v>
      </c>
      <c r="F18" s="47" t="s">
        <v>37</v>
      </c>
      <c r="G18" s="44" t="s">
        <v>104</v>
      </c>
      <c r="H18" s="85" t="s">
        <v>197</v>
      </c>
      <c r="I18" s="47" t="s">
        <v>183</v>
      </c>
      <c r="J18" s="47" t="s">
        <v>198</v>
      </c>
      <c r="K18" s="47">
        <v>27</v>
      </c>
      <c r="L18" s="44" t="s">
        <v>95</v>
      </c>
      <c r="M18" s="48">
        <f>Table1[[#This Row],[Date Deviation Raised]]+7</f>
        <v>46147</v>
      </c>
      <c r="N18" s="49">
        <v>46147</v>
      </c>
      <c r="O18" s="50">
        <f>Table1[[#This Row],[Part 1 Completion Date]]-Table1[[#This Row],[Date Deviation Raised]]</f>
        <v>7</v>
      </c>
      <c r="P18" s="51" t="s">
        <v>173</v>
      </c>
      <c r="Q18" s="52">
        <v>46189</v>
      </c>
      <c r="R18" s="45">
        <v>46161</v>
      </c>
      <c r="S18" s="50">
        <f>Table1[[#This Row],[Investigation Closed]]-Table1[[#This Row],[Date Deviation Raised]]</f>
        <v>21</v>
      </c>
      <c r="T18" s="44" t="s">
        <v>149</v>
      </c>
      <c r="U18" s="44" t="s">
        <v>54</v>
      </c>
      <c r="V18" s="8" t="s">
        <v>95</v>
      </c>
      <c r="W18" s="44" t="s">
        <v>115</v>
      </c>
      <c r="X18" s="62">
        <v>46161</v>
      </c>
      <c r="Y18" s="53" t="s">
        <v>130</v>
      </c>
      <c r="Z18" s="44" t="s">
        <v>131</v>
      </c>
      <c r="AA18" s="47" t="s">
        <v>132</v>
      </c>
      <c r="AB18" s="54"/>
    </row>
    <row r="19" spans="1:28" s="55" customFormat="1" ht="222.75" x14ac:dyDescent="0.3">
      <c r="A19" s="44" t="s">
        <v>184</v>
      </c>
      <c r="B19" s="45">
        <v>46141</v>
      </c>
      <c r="C19" s="44" t="s">
        <v>101</v>
      </c>
      <c r="D19" s="51" t="s">
        <v>101</v>
      </c>
      <c r="E19" s="46" t="s">
        <v>155</v>
      </c>
      <c r="F19" s="47" t="s">
        <v>31</v>
      </c>
      <c r="G19" s="44" t="s">
        <v>104</v>
      </c>
      <c r="H19" s="47" t="s">
        <v>187</v>
      </c>
      <c r="I19" s="47" t="s">
        <v>186</v>
      </c>
      <c r="J19" s="47" t="s">
        <v>185</v>
      </c>
      <c r="K19" s="47">
        <v>27</v>
      </c>
      <c r="L19" s="44" t="s">
        <v>95</v>
      </c>
      <c r="M19" s="48">
        <f>Table1[[#This Row],[Date Deviation Raised]]+7</f>
        <v>46148</v>
      </c>
      <c r="N19" s="49">
        <v>46147</v>
      </c>
      <c r="O19" s="50">
        <f>Table1[[#This Row],[Part 1 Completion Date]]-Table1[[#This Row],[Date Deviation Raised]]</f>
        <v>6</v>
      </c>
      <c r="P19" s="51" t="s">
        <v>188</v>
      </c>
      <c r="Q19" s="52">
        <v>46178</v>
      </c>
      <c r="R19" s="45">
        <v>46178</v>
      </c>
      <c r="S19" s="50">
        <f>Table1[[#This Row],[Investigation Closed]]-Table1[[#This Row],[Date Deviation Raised]]</f>
        <v>37</v>
      </c>
      <c r="T19" s="44" t="s">
        <v>170</v>
      </c>
      <c r="U19" s="44" t="s">
        <v>155</v>
      </c>
      <c r="V19" s="44" t="s">
        <v>95</v>
      </c>
      <c r="W19" s="44" t="s">
        <v>115</v>
      </c>
      <c r="X19" s="62">
        <v>46178</v>
      </c>
      <c r="Y19" s="53" t="s">
        <v>130</v>
      </c>
      <c r="Z19" s="44" t="s">
        <v>131</v>
      </c>
      <c r="AA19" s="47" t="s">
        <v>132</v>
      </c>
      <c r="AB19" s="54"/>
    </row>
    <row r="20" spans="1:28" s="55" customFormat="1" ht="182.25" x14ac:dyDescent="0.3">
      <c r="A20" s="44" t="s">
        <v>200</v>
      </c>
      <c r="B20" s="45">
        <v>46157</v>
      </c>
      <c r="C20" s="44" t="s">
        <v>109</v>
      </c>
      <c r="D20" s="51" t="s">
        <v>210</v>
      </c>
      <c r="E20" s="46" t="s">
        <v>102</v>
      </c>
      <c r="F20" s="47" t="s">
        <v>59</v>
      </c>
      <c r="G20" s="44" t="s">
        <v>202</v>
      </c>
      <c r="H20" s="47" t="s">
        <v>201</v>
      </c>
      <c r="I20" s="47" t="s">
        <v>204</v>
      </c>
      <c r="J20" s="47" t="s">
        <v>203</v>
      </c>
      <c r="K20" s="47">
        <v>6</v>
      </c>
      <c r="L20" s="44" t="s">
        <v>95</v>
      </c>
      <c r="M20" s="48">
        <v>46164</v>
      </c>
      <c r="N20" s="49">
        <v>46164</v>
      </c>
      <c r="O20" s="50">
        <f>Table1[[#This Row],[Part 1 Completion Date]]-Table1[[#This Row],[Date Deviation Raised]]</f>
        <v>7</v>
      </c>
      <c r="P20" s="51" t="s">
        <v>109</v>
      </c>
      <c r="Q20" s="52">
        <v>46218</v>
      </c>
      <c r="R20" s="45">
        <v>46204</v>
      </c>
      <c r="S20" s="50">
        <f>Table1[[#This Row],[Investigation Closed]]-Table1[[#This Row],[Date Deviation Raised]]</f>
        <v>47</v>
      </c>
      <c r="T20" s="44" t="s">
        <v>149</v>
      </c>
      <c r="U20" s="47" t="s">
        <v>221</v>
      </c>
      <c r="V20" s="44" t="s">
        <v>95</v>
      </c>
      <c r="W20" s="44" t="s">
        <v>115</v>
      </c>
      <c r="X20" s="74">
        <v>46204</v>
      </c>
      <c r="Y20" s="53" t="s">
        <v>130</v>
      </c>
      <c r="Z20" s="44" t="s">
        <v>131</v>
      </c>
      <c r="AA20" s="47" t="s">
        <v>132</v>
      </c>
      <c r="AB20" s="54" t="s">
        <v>104</v>
      </c>
    </row>
    <row r="21" spans="1:28" s="55" customFormat="1" ht="303.75" x14ac:dyDescent="0.3">
      <c r="A21" s="44" t="s">
        <v>208</v>
      </c>
      <c r="B21" s="45">
        <v>46164</v>
      </c>
      <c r="C21" s="44" t="s">
        <v>109</v>
      </c>
      <c r="D21" s="51" t="s">
        <v>210</v>
      </c>
      <c r="E21" s="46" t="s">
        <v>102</v>
      </c>
      <c r="F21" s="47" t="s">
        <v>59</v>
      </c>
      <c r="G21" s="44" t="s">
        <v>202</v>
      </c>
      <c r="H21" s="47" t="s">
        <v>201</v>
      </c>
      <c r="I21" s="47" t="s">
        <v>209</v>
      </c>
      <c r="J21" s="47" t="s">
        <v>211</v>
      </c>
      <c r="K21" s="47">
        <v>6</v>
      </c>
      <c r="L21" s="44" t="s">
        <v>95</v>
      </c>
      <c r="M21" s="48">
        <f>Table1[[#This Row],[Date Deviation Raised]]+7</f>
        <v>46171</v>
      </c>
      <c r="N21" s="49">
        <v>46171</v>
      </c>
      <c r="O21" s="50">
        <f>Table1[[#This Row],[Part 1 Completion Date]]-Table1[[#This Row],[Date Deviation Raised]]</f>
        <v>7</v>
      </c>
      <c r="P21" s="51" t="s">
        <v>109</v>
      </c>
      <c r="Q21" s="52">
        <v>46224</v>
      </c>
      <c r="R21" s="45">
        <v>46210</v>
      </c>
      <c r="S21" s="50">
        <f>Table1[[#This Row],[Investigation Closed]]-Table1[[#This Row],[Date Deviation Raised]]</f>
        <v>46</v>
      </c>
      <c r="T21" s="47" t="s">
        <v>149</v>
      </c>
      <c r="U21" s="47" t="s">
        <v>221</v>
      </c>
      <c r="V21" s="44" t="s">
        <v>95</v>
      </c>
      <c r="W21" s="44" t="s">
        <v>115</v>
      </c>
      <c r="X21" s="62">
        <v>46210</v>
      </c>
      <c r="Y21" s="53" t="s">
        <v>130</v>
      </c>
      <c r="Z21" s="44" t="s">
        <v>131</v>
      </c>
      <c r="AA21" s="47" t="s">
        <v>132</v>
      </c>
      <c r="AB21" s="76" t="s">
        <v>104</v>
      </c>
    </row>
    <row r="22" spans="1:28" s="56" customFormat="1" ht="222.75" x14ac:dyDescent="0.3">
      <c r="A22" s="44" t="s">
        <v>213</v>
      </c>
      <c r="B22" s="45">
        <v>46192</v>
      </c>
      <c r="C22" s="44" t="s">
        <v>158</v>
      </c>
      <c r="D22" s="51" t="s">
        <v>158</v>
      </c>
      <c r="E22" s="46" t="s">
        <v>159</v>
      </c>
      <c r="F22" s="47" t="s">
        <v>61</v>
      </c>
      <c r="G22" s="44" t="s">
        <v>104</v>
      </c>
      <c r="H22" s="47" t="s">
        <v>214</v>
      </c>
      <c r="I22" s="47" t="s">
        <v>215</v>
      </c>
      <c r="J22" s="47" t="s">
        <v>222</v>
      </c>
      <c r="K22" s="47">
        <v>350</v>
      </c>
      <c r="L22" s="44" t="s">
        <v>126</v>
      </c>
      <c r="M22" s="48">
        <f>Table1[[#This Row],[Date Deviation Raised]]+7</f>
        <v>46199</v>
      </c>
      <c r="N22" s="49">
        <v>46195</v>
      </c>
      <c r="O22" s="50">
        <f>Table1[[#This Row],[Part 1 Completion Date]]-Table1[[#This Row],[Date Deviation Raised]]</f>
        <v>3</v>
      </c>
      <c r="P22" s="51" t="s">
        <v>158</v>
      </c>
      <c r="Q22" s="52">
        <v>46199</v>
      </c>
      <c r="R22" s="45">
        <v>46199</v>
      </c>
      <c r="S22" s="50">
        <f>Table1[[#This Row],[Investigation Closed]]-Table1[[#This Row],[Date Deviation Raised]]</f>
        <v>7</v>
      </c>
      <c r="T22" s="47" t="s">
        <v>259</v>
      </c>
      <c r="U22" s="44" t="s">
        <v>159</v>
      </c>
      <c r="V22" s="44" t="s">
        <v>145</v>
      </c>
      <c r="W22" s="44" t="s">
        <v>129</v>
      </c>
      <c r="X22" s="74">
        <v>46199</v>
      </c>
      <c r="Y22" s="53" t="s">
        <v>130</v>
      </c>
      <c r="Z22" s="44" t="s">
        <v>131</v>
      </c>
      <c r="AA22" s="47" t="s">
        <v>132</v>
      </c>
      <c r="AB22" s="54"/>
    </row>
    <row r="23" spans="1:28" s="56" customFormat="1" ht="162" x14ac:dyDescent="0.3">
      <c r="A23" s="44" t="s">
        <v>217</v>
      </c>
      <c r="B23" s="45">
        <v>46198</v>
      </c>
      <c r="C23" s="44" t="s">
        <v>115</v>
      </c>
      <c r="D23" s="51" t="s">
        <v>115</v>
      </c>
      <c r="E23" s="46" t="s">
        <v>159</v>
      </c>
      <c r="F23" s="47" t="s">
        <v>60</v>
      </c>
      <c r="G23" s="44" t="s">
        <v>218</v>
      </c>
      <c r="H23" s="47" t="s">
        <v>219</v>
      </c>
      <c r="I23" s="47" t="s">
        <v>220</v>
      </c>
      <c r="J23" s="47" t="s">
        <v>229</v>
      </c>
      <c r="K23" s="47">
        <v>486</v>
      </c>
      <c r="L23" s="44" t="s">
        <v>126</v>
      </c>
      <c r="M23" s="48">
        <f>Table1[[#This Row],[Date Deviation Raised]]+7</f>
        <v>46205</v>
      </c>
      <c r="N23" s="49">
        <v>46204</v>
      </c>
      <c r="O23" s="50">
        <f>Table1[[#This Row],[Part 1 Completion Date]]-Table1[[#This Row],[Date Deviation Raised]]</f>
        <v>6</v>
      </c>
      <c r="P23" s="51" t="s">
        <v>115</v>
      </c>
      <c r="Q23" s="52">
        <v>46212</v>
      </c>
      <c r="R23" s="45">
        <v>46211</v>
      </c>
      <c r="S23" s="50">
        <f>Table1[[#This Row],[Investigation Closed]]-Table1[[#This Row],[Date Deviation Raised]]</f>
        <v>13</v>
      </c>
      <c r="T23" s="47" t="s">
        <v>230</v>
      </c>
      <c r="U23" s="47" t="s">
        <v>231</v>
      </c>
      <c r="V23" s="44" t="s">
        <v>126</v>
      </c>
      <c r="W23" s="44" t="s">
        <v>129</v>
      </c>
      <c r="X23" s="74">
        <v>46211</v>
      </c>
      <c r="Y23" s="53" t="s">
        <v>130</v>
      </c>
      <c r="Z23" s="44" t="s">
        <v>131</v>
      </c>
      <c r="AA23" s="47" t="s">
        <v>132</v>
      </c>
      <c r="AB23" s="54"/>
    </row>
    <row r="24" spans="1:28" s="56" customFormat="1" ht="409.5" x14ac:dyDescent="0.3">
      <c r="A24" s="44" t="s">
        <v>223</v>
      </c>
      <c r="B24" s="45">
        <v>46209</v>
      </c>
      <c r="C24" s="44" t="s">
        <v>142</v>
      </c>
      <c r="D24" s="51" t="s">
        <v>142</v>
      </c>
      <c r="E24" s="46" t="s">
        <v>116</v>
      </c>
      <c r="F24" s="47" t="s">
        <v>67</v>
      </c>
      <c r="G24" s="44" t="s">
        <v>104</v>
      </c>
      <c r="H24" s="89" t="s">
        <v>104</v>
      </c>
      <c r="I24" s="47" t="s">
        <v>224</v>
      </c>
      <c r="J24" s="47" t="s">
        <v>225</v>
      </c>
      <c r="K24" s="47">
        <v>54</v>
      </c>
      <c r="L24" s="44" t="s">
        <v>95</v>
      </c>
      <c r="M24" s="48">
        <f>Table1[[#This Row],[Date Deviation Raised]]+7</f>
        <v>46216</v>
      </c>
      <c r="N24" s="49">
        <v>46211</v>
      </c>
      <c r="O24" s="50">
        <f>Table1[[#This Row],[Part 1 Completion Date]]-Table1[[#This Row],[Date Deviation Raised]]</f>
        <v>2</v>
      </c>
      <c r="P24" s="51" t="s">
        <v>142</v>
      </c>
      <c r="Q24" s="52">
        <v>46278</v>
      </c>
      <c r="R24" s="45"/>
      <c r="S24" s="50">
        <f>Table1[[#This Row],[Investigation Closed]]-Table1[[#This Row],[Date Deviation Raised]]</f>
        <v>-46209</v>
      </c>
      <c r="T24" s="44"/>
      <c r="U24" s="44"/>
      <c r="V24" s="44"/>
      <c r="W24" s="44"/>
      <c r="X24" s="62"/>
      <c r="Y24" s="53" t="s">
        <v>107</v>
      </c>
      <c r="Z24" s="44"/>
      <c r="AA24" s="47" t="s">
        <v>114</v>
      </c>
      <c r="AB24" s="54"/>
    </row>
    <row r="25" spans="1:28" s="56" customFormat="1" ht="243" x14ac:dyDescent="0.3">
      <c r="A25" s="86" t="s">
        <v>226</v>
      </c>
      <c r="B25" s="87">
        <v>46212</v>
      </c>
      <c r="C25" s="86" t="s">
        <v>228</v>
      </c>
      <c r="D25" s="88" t="s">
        <v>141</v>
      </c>
      <c r="E25" s="10" t="s">
        <v>93</v>
      </c>
      <c r="F25" s="89" t="s">
        <v>241</v>
      </c>
      <c r="G25" s="44" t="s">
        <v>104</v>
      </c>
      <c r="H25" s="47" t="s">
        <v>104</v>
      </c>
      <c r="I25" s="47" t="s">
        <v>242</v>
      </c>
      <c r="J25" s="47" t="s">
        <v>242</v>
      </c>
      <c r="K25" s="47">
        <v>64</v>
      </c>
      <c r="L25" s="44" t="s">
        <v>95</v>
      </c>
      <c r="M25" s="48">
        <f>Table1[[#This Row],[Date Deviation Raised]]+7</f>
        <v>46219</v>
      </c>
      <c r="N25" s="49">
        <v>46217</v>
      </c>
      <c r="O25" s="50">
        <f>Table1[[#This Row],[Part 1 Completion Date]]-Table1[[#This Row],[Date Deviation Raised]]</f>
        <v>5</v>
      </c>
      <c r="P25" s="51" t="s">
        <v>141</v>
      </c>
      <c r="Q25" s="52">
        <v>46264</v>
      </c>
      <c r="R25" s="45">
        <v>46233</v>
      </c>
      <c r="S25" s="50">
        <f>Table1[[#This Row],[Investigation Closed]]-Table1[[#This Row],[Date Deviation Raised]]</f>
        <v>21</v>
      </c>
      <c r="T25" s="44" t="s">
        <v>267</v>
      </c>
      <c r="U25" s="44" t="s">
        <v>54</v>
      </c>
      <c r="V25" s="44" t="s">
        <v>95</v>
      </c>
      <c r="W25" s="44" t="s">
        <v>115</v>
      </c>
      <c r="X25" s="74">
        <v>46240</v>
      </c>
      <c r="Y25" s="53" t="s">
        <v>130</v>
      </c>
      <c r="Z25" s="57" t="s">
        <v>131</v>
      </c>
      <c r="AA25" s="47" t="s">
        <v>132</v>
      </c>
      <c r="AB25" s="54"/>
    </row>
    <row r="26" spans="1:28" s="56" customFormat="1" ht="101.25" x14ac:dyDescent="0.3">
      <c r="A26" s="44" t="s">
        <v>227</v>
      </c>
      <c r="B26" s="45">
        <v>46212</v>
      </c>
      <c r="C26" s="44" t="s">
        <v>158</v>
      </c>
      <c r="D26" s="51" t="s">
        <v>158</v>
      </c>
      <c r="E26" s="46" t="s">
        <v>93</v>
      </c>
      <c r="F26" s="47" t="s">
        <v>60</v>
      </c>
      <c r="G26" s="44" t="s">
        <v>254</v>
      </c>
      <c r="H26" s="47" t="s">
        <v>255</v>
      </c>
      <c r="I26" s="47" t="s">
        <v>257</v>
      </c>
      <c r="J26" s="47" t="s">
        <v>256</v>
      </c>
      <c r="K26" s="47">
        <v>162</v>
      </c>
      <c r="L26" s="44" t="s">
        <v>145</v>
      </c>
      <c r="M26" s="48">
        <f>Table1[[#This Row],[Date Deviation Raised]]+7</f>
        <v>46219</v>
      </c>
      <c r="N26" s="49">
        <v>46213</v>
      </c>
      <c r="O26" s="50">
        <f>Table1[[#This Row],[Part 1 Completion Date]]-Table1[[#This Row],[Date Deviation Raised]]</f>
        <v>1</v>
      </c>
      <c r="P26" s="51" t="s">
        <v>158</v>
      </c>
      <c r="Q26" s="52">
        <v>46244</v>
      </c>
      <c r="R26" s="45">
        <v>46241</v>
      </c>
      <c r="S26" s="50">
        <f>Table1[[#This Row],[Investigation Closed]]-Table1[[#This Row],[Date Deviation Raised]]</f>
        <v>29</v>
      </c>
      <c r="T26" s="47" t="s">
        <v>260</v>
      </c>
      <c r="U26" s="44" t="s">
        <v>54</v>
      </c>
      <c r="V26" s="44" t="s">
        <v>145</v>
      </c>
      <c r="W26" s="44" t="s">
        <v>115</v>
      </c>
      <c r="X26" s="74">
        <v>46241</v>
      </c>
      <c r="Y26" s="53" t="s">
        <v>130</v>
      </c>
      <c r="Z26" s="57" t="s">
        <v>131</v>
      </c>
      <c r="AA26" s="47" t="s">
        <v>132</v>
      </c>
      <c r="AB26" s="54"/>
    </row>
    <row r="27" spans="1:28" s="56" customFormat="1" ht="121.5" x14ac:dyDescent="0.3">
      <c r="A27" s="44" t="s">
        <v>234</v>
      </c>
      <c r="B27" s="45">
        <v>46230</v>
      </c>
      <c r="C27" s="44" t="s">
        <v>178</v>
      </c>
      <c r="D27" s="51" t="s">
        <v>178</v>
      </c>
      <c r="E27" s="46" t="s">
        <v>93</v>
      </c>
      <c r="F27" s="47" t="s">
        <v>66</v>
      </c>
      <c r="G27" s="44" t="s">
        <v>236</v>
      </c>
      <c r="H27" s="47" t="s">
        <v>237</v>
      </c>
      <c r="I27" s="47" t="s">
        <v>239</v>
      </c>
      <c r="J27" s="47" t="s">
        <v>238</v>
      </c>
      <c r="K27" s="47"/>
      <c r="L27" s="44" t="s">
        <v>95</v>
      </c>
      <c r="M27" s="48">
        <f>Table1[[#This Row],[Date Deviation Raised]]+7</f>
        <v>46237</v>
      </c>
      <c r="N27" s="49"/>
      <c r="O27" s="50">
        <f>Table1[[#This Row],[Part 1 Completion Date]]-Table1[[#This Row],[Date Deviation Raised]]</f>
        <v>-46230</v>
      </c>
      <c r="P27" s="51"/>
      <c r="Q27" s="52"/>
      <c r="R27" s="45"/>
      <c r="S27" s="50">
        <f>Table1[[#This Row],[Investigation Closed]]-Table1[[#This Row],[Date Deviation Raised]]</f>
        <v>-46230</v>
      </c>
      <c r="T27" s="44"/>
      <c r="U27" s="44"/>
      <c r="V27" s="44"/>
      <c r="W27" s="44"/>
      <c r="X27" s="62"/>
      <c r="Y27" s="53" t="s">
        <v>107</v>
      </c>
      <c r="Z27" s="57"/>
      <c r="AA27" s="47" t="s">
        <v>235</v>
      </c>
      <c r="AB27" s="54"/>
    </row>
    <row r="28" spans="1:28" s="56" customFormat="1" ht="384.75" x14ac:dyDescent="0.3">
      <c r="A28" s="44" t="s">
        <v>240</v>
      </c>
      <c r="B28" s="45">
        <v>46231</v>
      </c>
      <c r="C28" s="44" t="s">
        <v>141</v>
      </c>
      <c r="D28" s="51" t="s">
        <v>141</v>
      </c>
      <c r="E28" s="46" t="s">
        <v>93</v>
      </c>
      <c r="F28" s="47" t="s">
        <v>34</v>
      </c>
      <c r="G28" s="44" t="s">
        <v>104</v>
      </c>
      <c r="H28" s="47" t="s">
        <v>104</v>
      </c>
      <c r="I28" s="47" t="s">
        <v>252</v>
      </c>
      <c r="J28" s="47" t="s">
        <v>253</v>
      </c>
      <c r="K28" s="47">
        <v>144</v>
      </c>
      <c r="L28" s="44" t="s">
        <v>95</v>
      </c>
      <c r="M28" s="48">
        <f>Table1[[#This Row],[Date Deviation Raised]]+7</f>
        <v>46238</v>
      </c>
      <c r="N28" s="49">
        <v>38933</v>
      </c>
      <c r="O28" s="50">
        <f>Table1[[#This Row],[Part 1 Completion Date]]-Table1[[#This Row],[Date Deviation Raised]]</f>
        <v>-7298</v>
      </c>
      <c r="P28" s="51" t="s">
        <v>141</v>
      </c>
      <c r="Q28" s="52">
        <v>46295</v>
      </c>
      <c r="R28" s="45"/>
      <c r="S28" s="50">
        <f>Table1[[#This Row],[Investigation Closed]]-Table1[[#This Row],[Date Deviation Raised]]</f>
        <v>-46231</v>
      </c>
      <c r="T28" s="44"/>
      <c r="U28" s="44"/>
      <c r="V28" s="44"/>
      <c r="W28" s="44"/>
      <c r="X28" s="74"/>
      <c r="Y28" s="53" t="s">
        <v>107</v>
      </c>
      <c r="Z28" s="57"/>
      <c r="AA28" s="47" t="s">
        <v>114</v>
      </c>
      <c r="AB28" s="54"/>
    </row>
    <row r="29" spans="1:28" s="56" customFormat="1" ht="283.5" x14ac:dyDescent="0.3">
      <c r="A29" s="44" t="s">
        <v>243</v>
      </c>
      <c r="B29" s="45">
        <v>46233</v>
      </c>
      <c r="C29" s="44" t="s">
        <v>109</v>
      </c>
      <c r="D29" s="51" t="s">
        <v>142</v>
      </c>
      <c r="E29" s="46" t="s">
        <v>102</v>
      </c>
      <c r="F29" s="47" t="s">
        <v>59</v>
      </c>
      <c r="G29" s="44" t="s">
        <v>246</v>
      </c>
      <c r="H29" s="47" t="s">
        <v>245</v>
      </c>
      <c r="I29" s="47" t="s">
        <v>247</v>
      </c>
      <c r="J29" s="47" t="s">
        <v>244</v>
      </c>
      <c r="K29" s="47">
        <v>18</v>
      </c>
      <c r="L29" s="44" t="s">
        <v>95</v>
      </c>
      <c r="M29" s="48">
        <f>Table1[[#This Row],[Date Deviation Raised]]+7</f>
        <v>46240</v>
      </c>
      <c r="N29" s="49">
        <v>46241</v>
      </c>
      <c r="O29" s="50">
        <f>Table1[[#This Row],[Part 1 Completion Date]]-Table1[[#This Row],[Date Deviation Raised]]</f>
        <v>8</v>
      </c>
      <c r="P29" s="51" t="s">
        <v>142</v>
      </c>
      <c r="Q29" s="52" t="s">
        <v>261</v>
      </c>
      <c r="R29" s="45"/>
      <c r="S29" s="50">
        <f>Table1[[#This Row],[Investigation Closed]]-Table1[[#This Row],[Date Deviation Raised]]</f>
        <v>-46233</v>
      </c>
      <c r="T29" s="44"/>
      <c r="U29" s="44"/>
      <c r="V29" s="44"/>
      <c r="W29" s="44"/>
      <c r="X29" s="74"/>
      <c r="Y29" s="53" t="s">
        <v>107</v>
      </c>
      <c r="Z29" s="57"/>
      <c r="AA29" s="47" t="s">
        <v>114</v>
      </c>
      <c r="AB29" s="54"/>
    </row>
    <row r="30" spans="1:28" s="56" customFormat="1" ht="141.75" x14ac:dyDescent="0.3">
      <c r="A30" s="44" t="s">
        <v>248</v>
      </c>
      <c r="B30" s="45">
        <v>46234</v>
      </c>
      <c r="C30" s="44" t="s">
        <v>115</v>
      </c>
      <c r="D30" s="51" t="s">
        <v>210</v>
      </c>
      <c r="E30" s="46" t="s">
        <v>155</v>
      </c>
      <c r="F30" s="47" t="s">
        <v>33</v>
      </c>
      <c r="G30" s="44" t="s">
        <v>249</v>
      </c>
      <c r="H30" s="47" t="s">
        <v>104</v>
      </c>
      <c r="I30" s="47" t="s">
        <v>250</v>
      </c>
      <c r="J30" s="47" t="s">
        <v>251</v>
      </c>
      <c r="K30" s="47">
        <v>16</v>
      </c>
      <c r="L30" s="44" t="s">
        <v>95</v>
      </c>
      <c r="M30" s="48">
        <f>Table1[[#This Row],[Date Deviation Raised]]+7</f>
        <v>46241</v>
      </c>
      <c r="N30" s="49">
        <v>46238</v>
      </c>
      <c r="O30" s="50">
        <f>Table1[[#This Row],[Part 1 Completion Date]]-Table1[[#This Row],[Date Deviation Raised]]</f>
        <v>4</v>
      </c>
      <c r="P30" s="51" t="s">
        <v>210</v>
      </c>
      <c r="Q30" s="52">
        <v>46295</v>
      </c>
      <c r="R30" s="45"/>
      <c r="S30" s="50">
        <f>Table1[[#This Row],[Investigation Closed]]-Table1[[#This Row],[Date Deviation Raised]]</f>
        <v>-46234</v>
      </c>
      <c r="T30" s="44"/>
      <c r="U30" s="44"/>
      <c r="V30" s="44"/>
      <c r="W30" s="44"/>
      <c r="X30" s="62"/>
      <c r="Y30" s="53" t="s">
        <v>107</v>
      </c>
      <c r="Z30" s="57"/>
      <c r="AA30" s="47" t="s">
        <v>114</v>
      </c>
      <c r="AB30" s="54"/>
    </row>
    <row r="31" spans="1:28" s="56" customFormat="1" ht="60.75" x14ac:dyDescent="0.3">
      <c r="A31" s="44" t="s">
        <v>262</v>
      </c>
      <c r="B31" s="45">
        <v>46269</v>
      </c>
      <c r="C31" s="44" t="s">
        <v>158</v>
      </c>
      <c r="D31" s="51" t="s">
        <v>100</v>
      </c>
      <c r="E31" s="46" t="s">
        <v>102</v>
      </c>
      <c r="F31" s="47" t="s">
        <v>38</v>
      </c>
      <c r="G31" s="86"/>
      <c r="H31" s="47"/>
      <c r="I31" s="47" t="s">
        <v>263</v>
      </c>
      <c r="J31" s="47"/>
      <c r="K31" s="47"/>
      <c r="L31" s="44"/>
      <c r="M31" s="48">
        <f>Table1[[#This Row],[Date Deviation Raised]]+7</f>
        <v>46276</v>
      </c>
      <c r="N31" s="49"/>
      <c r="O31" s="50">
        <f>Table1[[#This Row],[Part 1 Completion Date]]-Table1[[#This Row],[Date Deviation Raised]]</f>
        <v>-46269</v>
      </c>
      <c r="P31" s="51" t="s">
        <v>100</v>
      </c>
      <c r="Q31" s="52"/>
      <c r="R31" s="45"/>
      <c r="S31" s="50">
        <f>Table1[[#This Row],[Investigation Closed]]-Table1[[#This Row],[Date Deviation Raised]]</f>
        <v>-46269</v>
      </c>
      <c r="T31" s="44"/>
      <c r="U31" s="44"/>
      <c r="V31" s="44"/>
      <c r="W31" s="44"/>
      <c r="X31" s="74"/>
      <c r="Y31" s="53"/>
      <c r="Z31" s="57"/>
      <c r="AA31" s="47"/>
      <c r="AB31" s="54"/>
    </row>
    <row r="32" spans="1:28" s="56" customFormat="1" ht="40.5" x14ac:dyDescent="0.3">
      <c r="A32" s="44" t="s">
        <v>264</v>
      </c>
      <c r="B32" s="45">
        <v>46272</v>
      </c>
      <c r="C32" s="44" t="s">
        <v>178</v>
      </c>
      <c r="D32" s="51" t="s">
        <v>141</v>
      </c>
      <c r="E32" s="46" t="s">
        <v>102</v>
      </c>
      <c r="F32" s="47" t="s">
        <v>31</v>
      </c>
      <c r="G32" s="44"/>
      <c r="H32" s="47" t="s">
        <v>265</v>
      </c>
      <c r="I32" s="47" t="s">
        <v>266</v>
      </c>
      <c r="J32" s="47"/>
      <c r="K32" s="47"/>
      <c r="L32" s="44"/>
      <c r="M32" s="48">
        <f>Table1[[#This Row],[Date Deviation Raised]]+7</f>
        <v>46279</v>
      </c>
      <c r="N32" s="49"/>
      <c r="O32" s="50">
        <f>Table1[[#This Row],[Part 1 Completion Date]]-Table1[[#This Row],[Date Deviation Raised]]</f>
        <v>-46272</v>
      </c>
      <c r="P32" s="51"/>
      <c r="Q32" s="52"/>
      <c r="R32" s="45"/>
      <c r="S32" s="50">
        <f>Table1[[#This Row],[Investigation Closed]]-Table1[[#This Row],[Date Deviation Raised]]</f>
        <v>-46272</v>
      </c>
      <c r="T32" s="44"/>
      <c r="U32" s="44"/>
      <c r="V32" s="44"/>
      <c r="W32" s="44"/>
      <c r="X32" s="44"/>
      <c r="Y32" s="53"/>
      <c r="Z32" s="44"/>
      <c r="AA32" s="47"/>
      <c r="AB32" s="54"/>
    </row>
    <row r="33" spans="1:28" s="56" customFormat="1" ht="20.25" x14ac:dyDescent="0.3">
      <c r="A33" s="44"/>
      <c r="B33" s="45"/>
      <c r="C33" s="44"/>
      <c r="D33" s="51"/>
      <c r="E33" s="46"/>
      <c r="F33" s="47"/>
      <c r="G33" s="44"/>
      <c r="H33" s="47"/>
      <c r="I33" s="47"/>
      <c r="J33" s="47"/>
      <c r="K33" s="47"/>
      <c r="L33" s="44"/>
      <c r="M33" s="48">
        <f>Table1[[#This Row],[Date Deviation Raised]]+7</f>
        <v>7</v>
      </c>
      <c r="N33" s="49"/>
      <c r="O33" s="50">
        <f>Table1[[#This Row],[Part 1 Completion Date]]-Table1[[#This Row],[Date Deviation Raised]]</f>
        <v>0</v>
      </c>
      <c r="P33" s="51"/>
      <c r="Q33" s="52"/>
      <c r="R33" s="45"/>
      <c r="S33" s="50">
        <f>Table1[[#This Row],[Investigation Closed]]-Table1[[#This Row],[Date Deviation Raised]]</f>
        <v>0</v>
      </c>
      <c r="T33" s="44"/>
      <c r="U33" s="44"/>
      <c r="V33" s="44"/>
      <c r="W33" s="44"/>
      <c r="X33" s="44"/>
      <c r="Y33" s="53"/>
      <c r="Z33" s="44"/>
      <c r="AA33" s="47"/>
      <c r="AB33" s="54"/>
    </row>
    <row r="34" spans="1:28" s="56" customFormat="1" ht="20.25" x14ac:dyDescent="0.3">
      <c r="A34" s="44"/>
      <c r="B34" s="45"/>
      <c r="C34" s="44"/>
      <c r="D34" s="51"/>
      <c r="E34" s="46"/>
      <c r="F34" s="47"/>
      <c r="G34" s="44"/>
      <c r="H34" s="47"/>
      <c r="I34" s="47"/>
      <c r="J34" s="47"/>
      <c r="K34" s="47"/>
      <c r="L34" s="44"/>
      <c r="M34" s="48">
        <f>Table1[[#This Row],[Date Deviation Raised]]+7</f>
        <v>7</v>
      </c>
      <c r="N34" s="49"/>
      <c r="O34" s="50">
        <f>Table1[[#This Row],[Part 1 Completion Date]]-Table1[[#This Row],[Date Deviation Raised]]</f>
        <v>0</v>
      </c>
      <c r="P34" s="51"/>
      <c r="Q34" s="52"/>
      <c r="R34" s="45"/>
      <c r="S34" s="50">
        <f>Table1[[#This Row],[Investigation Closed]]-Table1[[#This Row],[Date Deviation Raised]]</f>
        <v>0</v>
      </c>
      <c r="T34" s="44"/>
      <c r="U34" s="44"/>
      <c r="V34" s="44"/>
      <c r="W34" s="44"/>
      <c r="X34" s="62"/>
      <c r="Y34" s="53"/>
      <c r="Z34" s="57"/>
      <c r="AA34" s="47"/>
      <c r="AB34" s="54"/>
    </row>
    <row r="35" spans="1:28" s="56" customFormat="1" ht="20.25" x14ac:dyDescent="0.3">
      <c r="A35" s="44"/>
      <c r="B35" s="45"/>
      <c r="C35" s="44"/>
      <c r="D35" s="51"/>
      <c r="E35" s="46"/>
      <c r="F35" s="47"/>
      <c r="G35" s="44"/>
      <c r="H35" s="47"/>
      <c r="I35" s="47"/>
      <c r="J35" s="47"/>
      <c r="K35" s="47"/>
      <c r="L35" s="44"/>
      <c r="M35" s="48">
        <f>Table1[[#This Row],[Date Deviation Raised]]+7</f>
        <v>7</v>
      </c>
      <c r="N35" s="49"/>
      <c r="O35" s="50">
        <f>Table1[[#This Row],[Part 1 Completion Date]]-Table1[[#This Row],[Date Deviation Raised]]</f>
        <v>0</v>
      </c>
      <c r="P35" s="51"/>
      <c r="Q35" s="52"/>
      <c r="R35" s="45"/>
      <c r="S35" s="50">
        <f>Table1[[#This Row],[Investigation Closed]]-Table1[[#This Row],[Date Deviation Raised]]</f>
        <v>0</v>
      </c>
      <c r="T35" s="44"/>
      <c r="U35" s="44"/>
      <c r="V35" s="44"/>
      <c r="W35" s="44"/>
      <c r="X35" s="44"/>
      <c r="Y35" s="53"/>
      <c r="Z35" s="44"/>
      <c r="AA35" s="47"/>
      <c r="AB35" s="54"/>
    </row>
    <row r="36" spans="1:28" s="56" customFormat="1" ht="20.25" x14ac:dyDescent="0.3">
      <c r="A36" s="44"/>
      <c r="B36" s="45"/>
      <c r="C36" s="44"/>
      <c r="D36" s="51"/>
      <c r="E36" s="46"/>
      <c r="F36" s="47"/>
      <c r="G36" s="44"/>
      <c r="H36" s="47"/>
      <c r="I36" s="47"/>
      <c r="J36" s="11"/>
      <c r="K36" s="47"/>
      <c r="L36" s="44"/>
      <c r="M36" s="48">
        <f>Table1[[#This Row],[Date Deviation Raised]]+7</f>
        <v>7</v>
      </c>
      <c r="N36" s="49"/>
      <c r="O36" s="50">
        <f>Table1[[#This Row],[Part 1 Completion Date]]-Table1[[#This Row],[Date Deviation Raised]]</f>
        <v>0</v>
      </c>
      <c r="P36" s="51"/>
      <c r="Q36" s="52"/>
      <c r="R36" s="45"/>
      <c r="S36" s="50">
        <f>Table1[[#This Row],[Investigation Closed]]-Table1[[#This Row],[Date Deviation Raised]]</f>
        <v>0</v>
      </c>
      <c r="T36" s="44"/>
      <c r="U36" s="44"/>
      <c r="V36" s="44"/>
      <c r="W36" s="44"/>
      <c r="X36" s="44"/>
      <c r="Y36" s="53"/>
      <c r="Z36" s="44"/>
      <c r="AA36" s="47"/>
      <c r="AB36" s="54"/>
    </row>
    <row r="37" spans="1:28" s="56" customFormat="1" ht="20.25" x14ac:dyDescent="0.3">
      <c r="A37" s="44"/>
      <c r="B37" s="45"/>
      <c r="C37" s="44"/>
      <c r="D37" s="51"/>
      <c r="E37" s="46"/>
      <c r="F37" s="47"/>
      <c r="G37" s="44"/>
      <c r="H37" s="47"/>
      <c r="I37" s="47"/>
      <c r="J37" s="47"/>
      <c r="K37" s="47"/>
      <c r="L37" s="44"/>
      <c r="M37" s="48">
        <f>Table1[[#This Row],[Date Deviation Raised]]+7</f>
        <v>7</v>
      </c>
      <c r="N37" s="49"/>
      <c r="O37" s="50">
        <f>Table1[[#This Row],[Part 1 Completion Date]]-Table1[[#This Row],[Date Deviation Raised]]</f>
        <v>0</v>
      </c>
      <c r="P37" s="51"/>
      <c r="Q37" s="52"/>
      <c r="R37" s="45"/>
      <c r="S37" s="50">
        <f>Table1[[#This Row],[Investigation Closed]]-Table1[[#This Row],[Date Deviation Raised]]</f>
        <v>0</v>
      </c>
      <c r="T37" s="44"/>
      <c r="U37" s="44"/>
      <c r="V37" s="44"/>
      <c r="W37" s="44"/>
      <c r="X37" s="44"/>
      <c r="Y37" s="53"/>
      <c r="Z37" s="44"/>
      <c r="AA37" s="47"/>
      <c r="AB37" s="54"/>
    </row>
    <row r="38" spans="1:28" s="56" customFormat="1" ht="20.25" x14ac:dyDescent="0.3">
      <c r="A38" s="44"/>
      <c r="B38" s="45"/>
      <c r="C38" s="44"/>
      <c r="D38" s="51"/>
      <c r="E38" s="46"/>
      <c r="F38" s="47"/>
      <c r="G38" s="44"/>
      <c r="H38" s="47"/>
      <c r="I38" s="47"/>
      <c r="J38" s="47"/>
      <c r="K38" s="47"/>
      <c r="L38" s="44"/>
      <c r="M38" s="48">
        <f>Table1[[#This Row],[Date Deviation Raised]]+7</f>
        <v>7</v>
      </c>
      <c r="N38" s="49"/>
      <c r="O38" s="50">
        <f>Table1[[#This Row],[Part 1 Completion Date]]-Table1[[#This Row],[Date Deviation Raised]]</f>
        <v>0</v>
      </c>
      <c r="P38" s="51"/>
      <c r="Q38" s="52"/>
      <c r="R38" s="45"/>
      <c r="S38" s="50">
        <f>Table1[[#This Row],[Investigation Closed]]-Table1[[#This Row],[Date Deviation Raised]]</f>
        <v>0</v>
      </c>
      <c r="T38" s="44"/>
      <c r="U38" s="44"/>
      <c r="V38" s="44"/>
      <c r="W38" s="44"/>
      <c r="X38" s="44"/>
      <c r="Y38" s="53"/>
      <c r="Z38" s="44"/>
      <c r="AA38" s="47"/>
      <c r="AB38" s="54"/>
    </row>
    <row r="39" spans="1:28" s="56" customFormat="1" ht="20.25" x14ac:dyDescent="0.3">
      <c r="A39" s="44"/>
      <c r="B39" s="45"/>
      <c r="C39" s="44"/>
      <c r="D39" s="51"/>
      <c r="E39" s="46"/>
      <c r="F39" s="47"/>
      <c r="G39" s="44"/>
      <c r="H39" s="47"/>
      <c r="I39" s="47"/>
      <c r="J39" s="47"/>
      <c r="K39" s="47"/>
      <c r="L39" s="44"/>
      <c r="M39" s="48">
        <f>Table1[[#This Row],[Date Deviation Raised]]+7</f>
        <v>7</v>
      </c>
      <c r="N39" s="49"/>
      <c r="O39" s="50">
        <f>Table1[[#This Row],[Part 1 Completion Date]]-Table1[[#This Row],[Date Deviation Raised]]</f>
        <v>0</v>
      </c>
      <c r="P39" s="51"/>
      <c r="Q39" s="52"/>
      <c r="R39" s="45"/>
      <c r="S39" s="50">
        <f>Table1[[#This Row],[Investigation Closed]]-Table1[[#This Row],[Date Deviation Raised]]</f>
        <v>0</v>
      </c>
      <c r="T39" s="44"/>
      <c r="U39" s="44"/>
      <c r="V39" s="44"/>
      <c r="W39" s="44"/>
      <c r="X39" s="44"/>
      <c r="Y39" s="53"/>
      <c r="Z39" s="44"/>
      <c r="AA39" s="47"/>
      <c r="AB39" s="54"/>
    </row>
    <row r="40" spans="1:28" s="56" customFormat="1" ht="20.25" x14ac:dyDescent="0.3">
      <c r="A40" s="44"/>
      <c r="B40" s="45"/>
      <c r="C40" s="44"/>
      <c r="D40" s="51"/>
      <c r="E40" s="46"/>
      <c r="F40" s="47"/>
      <c r="G40" s="47"/>
      <c r="H40" s="47"/>
      <c r="I40" s="47"/>
      <c r="J40" s="47"/>
      <c r="K40" s="47"/>
      <c r="L40" s="44"/>
      <c r="M40" s="48">
        <f>Table1[[#This Row],[Date Deviation Raised]]+7</f>
        <v>7</v>
      </c>
      <c r="N40" s="49"/>
      <c r="O40" s="50">
        <f>Table1[[#This Row],[Part 1 Completion Date]]-Table1[[#This Row],[Date Deviation Raised]]</f>
        <v>0</v>
      </c>
      <c r="P40" s="51"/>
      <c r="Q40" s="52"/>
      <c r="R40" s="45"/>
      <c r="S40" s="50">
        <f>Table1[[#This Row],[Investigation Closed]]-Table1[[#This Row],[Date Deviation Raised]]</f>
        <v>0</v>
      </c>
      <c r="T40" s="44"/>
      <c r="U40" s="44"/>
      <c r="V40" s="44"/>
      <c r="W40" s="44"/>
      <c r="X40" s="44"/>
      <c r="Y40" s="53"/>
      <c r="Z40" s="57"/>
      <c r="AA40" s="47"/>
      <c r="AB40" s="54"/>
    </row>
    <row r="41" spans="1:28" s="56" customFormat="1" ht="20.25" x14ac:dyDescent="0.3">
      <c r="A41" s="44"/>
      <c r="B41" s="45"/>
      <c r="C41" s="44"/>
      <c r="D41" s="51"/>
      <c r="E41" s="46"/>
      <c r="F41" s="47"/>
      <c r="G41" s="44"/>
      <c r="H41" s="47"/>
      <c r="I41" s="47"/>
      <c r="J41" s="47"/>
      <c r="K41" s="47"/>
      <c r="L41" s="44"/>
      <c r="M41" s="48">
        <f>Table1[[#This Row],[Date Deviation Raised]]+7</f>
        <v>7</v>
      </c>
      <c r="N41" s="49"/>
      <c r="O41" s="50">
        <f>Table1[[#This Row],[Part 1 Completion Date]]-Table1[[#This Row],[Date Deviation Raised]]</f>
        <v>0</v>
      </c>
      <c r="P41" s="51"/>
      <c r="Q41" s="52"/>
      <c r="R41" s="45"/>
      <c r="S41" s="50">
        <f>Table1[[#This Row],[Investigation Closed]]-Table1[[#This Row],[Date Deviation Raised]]</f>
        <v>0</v>
      </c>
      <c r="T41" s="44"/>
      <c r="U41" s="44"/>
      <c r="V41" s="44"/>
      <c r="W41" s="44"/>
      <c r="X41" s="44"/>
      <c r="Y41" s="53"/>
      <c r="Z41" s="57"/>
      <c r="AA41" s="47"/>
      <c r="AB41" s="54"/>
    </row>
    <row r="42" spans="1:28" s="56" customFormat="1" ht="20.25" x14ac:dyDescent="0.3">
      <c r="A42" s="44"/>
      <c r="B42" s="45"/>
      <c r="C42" s="44"/>
      <c r="D42" s="51"/>
      <c r="E42" s="46"/>
      <c r="F42" s="47"/>
      <c r="G42" s="44"/>
      <c r="H42" s="47"/>
      <c r="I42" s="47"/>
      <c r="J42" s="47"/>
      <c r="K42" s="47"/>
      <c r="L42" s="44"/>
      <c r="M42" s="48">
        <f>Table1[[#This Row],[Date Deviation Raised]]+7</f>
        <v>7</v>
      </c>
      <c r="N42" s="49"/>
      <c r="O42" s="50">
        <f>Table1[[#This Row],[Part 1 Completion Date]]-Table1[[#This Row],[Date Deviation Raised]]</f>
        <v>0</v>
      </c>
      <c r="P42" s="51"/>
      <c r="Q42" s="52"/>
      <c r="R42" s="45"/>
      <c r="S42" s="50">
        <f>Table1[[#This Row],[Investigation Closed]]-Table1[[#This Row],[Date Deviation Raised]]</f>
        <v>0</v>
      </c>
      <c r="T42" s="44"/>
      <c r="U42" s="44"/>
      <c r="V42" s="44"/>
      <c r="W42" s="44"/>
      <c r="X42" s="44"/>
      <c r="Y42" s="53"/>
      <c r="Z42" s="57"/>
      <c r="AA42" s="47"/>
      <c r="AB42" s="54"/>
    </row>
    <row r="43" spans="1:28" s="56" customFormat="1" ht="20.25" x14ac:dyDescent="0.3">
      <c r="A43" s="44"/>
      <c r="B43" s="45"/>
      <c r="C43" s="44"/>
      <c r="D43" s="51"/>
      <c r="E43" s="46"/>
      <c r="F43" s="47"/>
      <c r="G43" s="44"/>
      <c r="H43" s="47"/>
      <c r="I43" s="47"/>
      <c r="J43" s="47"/>
      <c r="K43" s="47"/>
      <c r="L43" s="44"/>
      <c r="M43" s="48">
        <f>Table1[[#This Row],[Date Deviation Raised]]+7</f>
        <v>7</v>
      </c>
      <c r="N43" s="49"/>
      <c r="O43" s="50">
        <f>Table1[[#This Row],[Part 1 Completion Date]]-Table1[[#This Row],[Date Deviation Raised]]</f>
        <v>0</v>
      </c>
      <c r="P43" s="51"/>
      <c r="Q43" s="52"/>
      <c r="R43" s="45"/>
      <c r="S43" s="50">
        <f>Table1[[#This Row],[Investigation Closed]]-Table1[[#This Row],[Date Deviation Raised]]</f>
        <v>0</v>
      </c>
      <c r="T43" s="44"/>
      <c r="U43" s="44"/>
      <c r="V43" s="44"/>
      <c r="W43" s="44"/>
      <c r="X43" s="44"/>
      <c r="Y43" s="53"/>
      <c r="Z43" s="57"/>
      <c r="AA43" s="47"/>
      <c r="AB43" s="54"/>
    </row>
    <row r="44" spans="1:28" s="56" customFormat="1" ht="20.25" x14ac:dyDescent="0.3">
      <c r="A44" s="44"/>
      <c r="B44" s="45"/>
      <c r="C44" s="44"/>
      <c r="D44" s="51"/>
      <c r="E44" s="46"/>
      <c r="F44" s="47"/>
      <c r="G44" s="44"/>
      <c r="H44" s="47"/>
      <c r="I44" s="47"/>
      <c r="J44" s="47"/>
      <c r="K44" s="47"/>
      <c r="L44" s="44"/>
      <c r="M44" s="48">
        <f>Table1[[#This Row],[Date Deviation Raised]]+7</f>
        <v>7</v>
      </c>
      <c r="N44" s="49"/>
      <c r="O44" s="50">
        <f>Table1[[#This Row],[Part 1 Completion Date]]-Table1[[#This Row],[Date Deviation Raised]]</f>
        <v>0</v>
      </c>
      <c r="P44" s="51"/>
      <c r="Q44" s="52"/>
      <c r="R44" s="45"/>
      <c r="S44" s="50">
        <f>Table1[[#This Row],[Investigation Closed]]-Table1[[#This Row],[Date Deviation Raised]]</f>
        <v>0</v>
      </c>
      <c r="T44" s="44"/>
      <c r="U44" s="44"/>
      <c r="V44" s="44"/>
      <c r="W44" s="44"/>
      <c r="X44" s="44"/>
      <c r="Y44" s="53"/>
      <c r="Z44" s="57"/>
      <c r="AA44" s="47"/>
      <c r="AB44" s="54"/>
    </row>
    <row r="45" spans="1:28" s="56" customFormat="1" ht="20.25" x14ac:dyDescent="0.3">
      <c r="A45" s="44"/>
      <c r="B45" s="45"/>
      <c r="C45" s="44"/>
      <c r="D45" s="51"/>
      <c r="E45" s="46"/>
      <c r="F45" s="47"/>
      <c r="G45" s="44"/>
      <c r="H45" s="47"/>
      <c r="I45" s="47"/>
      <c r="J45" s="47"/>
      <c r="K45" s="47"/>
      <c r="L45" s="44"/>
      <c r="M45" s="48">
        <f>Table1[[#This Row],[Date Deviation Raised]]+7</f>
        <v>7</v>
      </c>
      <c r="N45" s="49"/>
      <c r="O45" s="50">
        <f>Table1[[#This Row],[Part 1 Completion Date]]-Table1[[#This Row],[Date Deviation Raised]]</f>
        <v>0</v>
      </c>
      <c r="P45" s="51"/>
      <c r="Q45" s="52"/>
      <c r="R45" s="45"/>
      <c r="S45" s="50">
        <f>Table1[[#This Row],[Investigation Closed]]-Table1[[#This Row],[Date Deviation Raised]]</f>
        <v>0</v>
      </c>
      <c r="T45" s="44"/>
      <c r="U45" s="44"/>
      <c r="V45" s="44"/>
      <c r="W45" s="44"/>
      <c r="X45" s="44"/>
      <c r="Y45" s="53"/>
      <c r="Z45" s="57"/>
      <c r="AA45" s="47"/>
      <c r="AB45" s="54"/>
    </row>
    <row r="46" spans="1:28" s="56" customFormat="1" ht="20.25" x14ac:dyDescent="0.3">
      <c r="A46" s="44"/>
      <c r="B46" s="45"/>
      <c r="C46" s="44"/>
      <c r="D46" s="51"/>
      <c r="E46" s="46"/>
      <c r="F46" s="47"/>
      <c r="G46" s="44"/>
      <c r="H46" s="47"/>
      <c r="I46" s="47"/>
      <c r="J46" s="47"/>
      <c r="K46" s="47"/>
      <c r="L46" s="44"/>
      <c r="M46" s="48">
        <f>Table1[[#This Row],[Date Deviation Raised]]+7</f>
        <v>7</v>
      </c>
      <c r="N46" s="49"/>
      <c r="O46" s="50">
        <f>Table1[[#This Row],[Part 1 Completion Date]]-Table1[[#This Row],[Date Deviation Raised]]</f>
        <v>0</v>
      </c>
      <c r="P46" s="51"/>
      <c r="Q46" s="52"/>
      <c r="R46" s="45"/>
      <c r="S46" s="50">
        <f>Table1[[#This Row],[Investigation Closed]]-Table1[[#This Row],[Date Deviation Raised]]</f>
        <v>0</v>
      </c>
      <c r="T46" s="44"/>
      <c r="U46" s="44"/>
      <c r="V46" s="44"/>
      <c r="W46" s="44"/>
      <c r="X46" s="44"/>
      <c r="Y46" s="53"/>
      <c r="Z46" s="57"/>
      <c r="AA46" s="47"/>
      <c r="AB46" s="54"/>
    </row>
    <row r="47" spans="1:28" s="56" customFormat="1" ht="20.25" x14ac:dyDescent="0.3">
      <c r="A47" s="44"/>
      <c r="B47" s="45"/>
      <c r="C47" s="44"/>
      <c r="D47" s="51"/>
      <c r="E47" s="46"/>
      <c r="F47" s="47"/>
      <c r="G47" s="44"/>
      <c r="H47" s="47"/>
      <c r="I47" s="47"/>
      <c r="J47" s="47"/>
      <c r="K47" s="47"/>
      <c r="L47" s="44"/>
      <c r="M47" s="48">
        <f>Table1[[#This Row],[Date Deviation Raised]]+7</f>
        <v>7</v>
      </c>
      <c r="N47" s="49"/>
      <c r="O47" s="50">
        <f>Table1[[#This Row],[Part 1 Completion Date]]-Table1[[#This Row],[Date Deviation Raised]]</f>
        <v>0</v>
      </c>
      <c r="P47" s="51"/>
      <c r="Q47" s="52"/>
      <c r="R47" s="45"/>
      <c r="S47" s="50">
        <f>Table1[[#This Row],[Investigation Closed]]-Table1[[#This Row],[Date Deviation Raised]]</f>
        <v>0</v>
      </c>
      <c r="T47" s="44"/>
      <c r="U47" s="44"/>
      <c r="V47" s="44"/>
      <c r="W47" s="44"/>
      <c r="X47" s="44"/>
      <c r="Y47" s="53"/>
      <c r="Z47" s="57"/>
      <c r="AA47" s="47"/>
      <c r="AB47" s="54"/>
    </row>
    <row r="48" spans="1:28" s="56" customFormat="1" ht="20.25" x14ac:dyDescent="0.3">
      <c r="A48" s="44"/>
      <c r="B48" s="45"/>
      <c r="C48" s="44"/>
      <c r="D48" s="51"/>
      <c r="E48" s="46"/>
      <c r="F48" s="47"/>
      <c r="G48" s="44"/>
      <c r="H48" s="47"/>
      <c r="I48" s="47"/>
      <c r="J48" s="47"/>
      <c r="K48" s="47"/>
      <c r="L48" s="44"/>
      <c r="M48" s="48">
        <f>Table1[[#This Row],[Date Deviation Raised]]+7</f>
        <v>7</v>
      </c>
      <c r="N48" s="49"/>
      <c r="O48" s="50">
        <f>Table1[[#This Row],[Part 1 Completion Date]]-Table1[[#This Row],[Date Deviation Raised]]</f>
        <v>0</v>
      </c>
      <c r="P48" s="51"/>
      <c r="Q48" s="52"/>
      <c r="R48" s="45"/>
      <c r="S48" s="50">
        <f>Table1[[#This Row],[Investigation Closed]]-Table1[[#This Row],[Date Deviation Raised]]</f>
        <v>0</v>
      </c>
      <c r="T48" s="44"/>
      <c r="U48" s="44"/>
      <c r="V48" s="44"/>
      <c r="W48" s="44"/>
      <c r="X48" s="44"/>
      <c r="Y48" s="53"/>
      <c r="Z48" s="57"/>
      <c r="AA48" s="47"/>
      <c r="AB48" s="54"/>
    </row>
    <row r="49" spans="1:28" s="56" customFormat="1" ht="20.25" x14ac:dyDescent="0.3">
      <c r="A49" s="44"/>
      <c r="B49" s="45"/>
      <c r="C49" s="44"/>
      <c r="D49" s="51"/>
      <c r="E49" s="46"/>
      <c r="F49" s="47"/>
      <c r="G49" s="44"/>
      <c r="H49" s="47"/>
      <c r="I49" s="47"/>
      <c r="J49" s="47"/>
      <c r="K49" s="47"/>
      <c r="L49" s="44"/>
      <c r="M49" s="48">
        <f>Table1[[#This Row],[Date Deviation Raised]]+7</f>
        <v>7</v>
      </c>
      <c r="N49" s="49"/>
      <c r="O49" s="50">
        <f>Table1[[#This Row],[Part 1 Completion Date]]-Table1[[#This Row],[Date Deviation Raised]]</f>
        <v>0</v>
      </c>
      <c r="P49" s="51"/>
      <c r="Q49" s="52"/>
      <c r="R49" s="45"/>
      <c r="S49" s="50">
        <f>Table1[[#This Row],[Investigation Closed]]-Table1[[#This Row],[Date Deviation Raised]]</f>
        <v>0</v>
      </c>
      <c r="T49" s="44"/>
      <c r="U49" s="44"/>
      <c r="V49" s="44"/>
      <c r="W49" s="44"/>
      <c r="X49" s="44"/>
      <c r="Y49" s="53"/>
      <c r="Z49" s="44"/>
      <c r="AA49" s="47"/>
      <c r="AB49" s="54"/>
    </row>
    <row r="50" spans="1:28" s="56" customFormat="1" ht="20.25" x14ac:dyDescent="0.3">
      <c r="A50" s="44"/>
      <c r="B50" s="45"/>
      <c r="C50" s="44"/>
      <c r="D50" s="51"/>
      <c r="E50" s="46"/>
      <c r="F50" s="47"/>
      <c r="G50" s="44"/>
      <c r="H50" s="47"/>
      <c r="I50" s="47"/>
      <c r="J50" s="47"/>
      <c r="K50" s="47"/>
      <c r="L50" s="44"/>
      <c r="M50" s="48">
        <f>Table1[[#This Row],[Date Deviation Raised]]+7</f>
        <v>7</v>
      </c>
      <c r="N50" s="49"/>
      <c r="O50" s="50">
        <f>Table1[[#This Row],[Part 1 Completion Date]]-Table1[[#This Row],[Date Deviation Raised]]</f>
        <v>0</v>
      </c>
      <c r="P50" s="51"/>
      <c r="Q50" s="52"/>
      <c r="R50" s="45"/>
      <c r="S50" s="50">
        <f>Table1[[#This Row],[Investigation Closed]]-Table1[[#This Row],[Date Deviation Raised]]</f>
        <v>0</v>
      </c>
      <c r="T50" s="44"/>
      <c r="U50" s="44"/>
      <c r="V50" s="44"/>
      <c r="W50" s="44"/>
      <c r="X50" s="44"/>
      <c r="Y50" s="53"/>
      <c r="Z50" s="57"/>
      <c r="AA50" s="47"/>
      <c r="AB50" s="54"/>
    </row>
    <row r="51" spans="1:28" s="55" customFormat="1" ht="20.25" x14ac:dyDescent="0.3">
      <c r="A51" s="44"/>
      <c r="B51" s="45"/>
      <c r="C51" s="44"/>
      <c r="D51" s="51"/>
      <c r="E51" s="46"/>
      <c r="F51" s="47"/>
      <c r="G51" s="44"/>
      <c r="H51" s="47"/>
      <c r="I51" s="47"/>
      <c r="J51" s="47"/>
      <c r="K51" s="47"/>
      <c r="L51" s="44"/>
      <c r="M51" s="48">
        <f>Table1[[#This Row],[Date Deviation Raised]]+7</f>
        <v>7</v>
      </c>
      <c r="N51" s="49"/>
      <c r="O51" s="50">
        <f>Table1[[#This Row],[Part 1 Completion Date]]-Table1[[#This Row],[Date Deviation Raised]]</f>
        <v>0</v>
      </c>
      <c r="P51" s="51"/>
      <c r="Q51" s="52"/>
      <c r="R51" s="45"/>
      <c r="S51" s="50">
        <f>Table1[[#This Row],[Investigation Closed]]-Table1[[#This Row],[Date Deviation Raised]]</f>
        <v>0</v>
      </c>
      <c r="T51" s="44"/>
      <c r="U51" s="44"/>
      <c r="V51" s="44"/>
      <c r="W51" s="44"/>
      <c r="X51" s="44"/>
      <c r="Y51" s="53"/>
      <c r="Z51" s="44"/>
      <c r="AA51" s="47"/>
      <c r="AB51" s="54"/>
    </row>
    <row r="52" spans="1:28" s="55" customFormat="1" ht="20.25" x14ac:dyDescent="0.3">
      <c r="A52" s="44"/>
      <c r="B52" s="45"/>
      <c r="C52" s="44"/>
      <c r="D52" s="51"/>
      <c r="E52" s="46"/>
      <c r="F52" s="47"/>
      <c r="G52" s="44"/>
      <c r="H52" s="47"/>
      <c r="I52" s="47"/>
      <c r="J52" s="47"/>
      <c r="K52" s="47"/>
      <c r="L52" s="44"/>
      <c r="M52" s="48">
        <f>Table1[[#This Row],[Date Deviation Raised]]+7</f>
        <v>7</v>
      </c>
      <c r="N52" s="49"/>
      <c r="O52" s="50">
        <f>Table1[[#This Row],[Part 1 Completion Date]]-Table1[[#This Row],[Date Deviation Raised]]</f>
        <v>0</v>
      </c>
      <c r="P52" s="51"/>
      <c r="Q52" s="52"/>
      <c r="R52" s="45"/>
      <c r="S52" s="50">
        <f>Table1[[#This Row],[Investigation Closed]]-Table1[[#This Row],[Date Deviation Raised]]</f>
        <v>0</v>
      </c>
      <c r="T52" s="44"/>
      <c r="U52" s="44"/>
      <c r="V52" s="44"/>
      <c r="W52" s="44"/>
      <c r="X52" s="44"/>
      <c r="Y52" s="53"/>
      <c r="Z52" s="44"/>
      <c r="AA52" s="47"/>
      <c r="AB52" s="54"/>
    </row>
    <row r="53" spans="1:28" s="55" customFormat="1" ht="20.25" x14ac:dyDescent="0.3">
      <c r="A53" s="44"/>
      <c r="B53" s="45"/>
      <c r="C53" s="44"/>
      <c r="D53" s="51"/>
      <c r="E53" s="46"/>
      <c r="F53" s="47"/>
      <c r="G53" s="44"/>
      <c r="H53" s="47"/>
      <c r="I53" s="47"/>
      <c r="J53" s="47"/>
      <c r="K53" s="47"/>
      <c r="L53" s="44"/>
      <c r="M53" s="48">
        <f>Table1[[#This Row],[Date Deviation Raised]]+7</f>
        <v>7</v>
      </c>
      <c r="N53" s="49"/>
      <c r="O53" s="50">
        <f>Table1[[#This Row],[Part 1 Completion Date]]-Table1[[#This Row],[Date Deviation Raised]]</f>
        <v>0</v>
      </c>
      <c r="P53" s="51"/>
      <c r="Q53" s="52"/>
      <c r="R53" s="45"/>
      <c r="S53" s="50">
        <f>Table1[[#This Row],[Investigation Closed]]-Table1[[#This Row],[Date Deviation Raised]]</f>
        <v>0</v>
      </c>
      <c r="T53" s="44"/>
      <c r="U53" s="44"/>
      <c r="V53" s="44"/>
      <c r="W53" s="44"/>
      <c r="X53" s="44"/>
      <c r="Y53" s="53"/>
      <c r="Z53" s="44"/>
      <c r="AA53" s="47"/>
      <c r="AB53" s="54"/>
    </row>
    <row r="54" spans="1:28" s="55" customFormat="1" ht="20.25" x14ac:dyDescent="0.3">
      <c r="A54" s="44"/>
      <c r="B54" s="45"/>
      <c r="C54" s="44"/>
      <c r="D54" s="51"/>
      <c r="E54" s="46"/>
      <c r="F54" s="47"/>
      <c r="G54" s="44"/>
      <c r="H54" s="47"/>
      <c r="I54" s="47"/>
      <c r="J54" s="47"/>
      <c r="K54" s="47"/>
      <c r="L54" s="44"/>
      <c r="M54" s="48">
        <f>Table1[[#This Row],[Date Deviation Raised]]+7</f>
        <v>7</v>
      </c>
      <c r="N54" s="49"/>
      <c r="O54" s="50">
        <f>Table1[[#This Row],[Part 1 Completion Date]]-Table1[[#This Row],[Date Deviation Raised]]</f>
        <v>0</v>
      </c>
      <c r="P54" s="51"/>
      <c r="Q54" s="52"/>
      <c r="R54" s="45"/>
      <c r="S54" s="50">
        <f>Table1[[#This Row],[Investigation Closed]]-Table1[[#This Row],[Date Deviation Raised]]</f>
        <v>0</v>
      </c>
      <c r="T54" s="44"/>
      <c r="U54" s="44"/>
      <c r="V54" s="44"/>
      <c r="W54" s="44"/>
      <c r="X54" s="44"/>
      <c r="Y54" s="53"/>
      <c r="Z54" s="44"/>
      <c r="AA54" s="47"/>
      <c r="AB54" s="54"/>
    </row>
    <row r="55" spans="1:28" s="55" customFormat="1" ht="20.25" x14ac:dyDescent="0.3">
      <c r="A55" s="44"/>
      <c r="B55" s="45"/>
      <c r="C55" s="44"/>
      <c r="D55" s="51"/>
      <c r="E55" s="46"/>
      <c r="F55" s="47"/>
      <c r="G55" s="44"/>
      <c r="H55" s="47"/>
      <c r="I55" s="47"/>
      <c r="J55" s="47"/>
      <c r="K55" s="47"/>
      <c r="L55" s="44"/>
      <c r="M55" s="48">
        <f>Table1[[#This Row],[Date Deviation Raised]]+7</f>
        <v>7</v>
      </c>
      <c r="N55" s="49"/>
      <c r="O55" s="50">
        <f>Table1[[#This Row],[Part 1 Completion Date]]-Table1[[#This Row],[Date Deviation Raised]]</f>
        <v>0</v>
      </c>
      <c r="P55" s="51"/>
      <c r="Q55" s="52"/>
      <c r="R55" s="45"/>
      <c r="S55" s="50">
        <f>Table1[[#This Row],[Investigation Closed]]-Table1[[#This Row],[Date Deviation Raised]]</f>
        <v>0</v>
      </c>
      <c r="T55" s="44"/>
      <c r="U55" s="44"/>
      <c r="V55" s="44"/>
      <c r="W55" s="44"/>
      <c r="X55" s="44"/>
      <c r="Y55" s="53"/>
      <c r="Z55" s="44"/>
      <c r="AA55" s="47"/>
      <c r="AB55" s="54"/>
    </row>
    <row r="56" spans="1:28" s="55" customFormat="1" ht="20.25" x14ac:dyDescent="0.3">
      <c r="A56" s="44"/>
      <c r="B56" s="45"/>
      <c r="C56" s="44"/>
      <c r="D56" s="51"/>
      <c r="E56" s="46"/>
      <c r="F56" s="47"/>
      <c r="G56" s="44"/>
      <c r="H56" s="47"/>
      <c r="I56" s="47"/>
      <c r="J56" s="47"/>
      <c r="K56" s="47"/>
      <c r="L56" s="44"/>
      <c r="M56" s="48">
        <f>Table1[[#This Row],[Date Deviation Raised]]+7</f>
        <v>7</v>
      </c>
      <c r="N56" s="49"/>
      <c r="O56" s="50">
        <f>Table1[[#This Row],[Part 1 Completion Date]]-Table1[[#This Row],[Date Deviation Raised]]</f>
        <v>0</v>
      </c>
      <c r="P56" s="51"/>
      <c r="Q56" s="52"/>
      <c r="R56" s="45"/>
      <c r="S56" s="50">
        <f>Table1[[#This Row],[Investigation Closed]]-Table1[[#This Row],[Date Deviation Raised]]</f>
        <v>0</v>
      </c>
      <c r="T56" s="44"/>
      <c r="U56" s="44"/>
      <c r="V56" s="44"/>
      <c r="W56" s="44"/>
      <c r="X56" s="44"/>
      <c r="Y56" s="53"/>
      <c r="Z56" s="44"/>
      <c r="AA56" s="47"/>
      <c r="AB56" s="54"/>
    </row>
    <row r="57" spans="1:28" s="55" customFormat="1" ht="20.25" x14ac:dyDescent="0.3">
      <c r="A57" s="44"/>
      <c r="B57" s="45"/>
      <c r="C57" s="44"/>
      <c r="D57" s="51"/>
      <c r="E57" s="46"/>
      <c r="F57" s="47"/>
      <c r="G57" s="44"/>
      <c r="H57" s="47"/>
      <c r="I57" s="47"/>
      <c r="J57" s="47"/>
      <c r="K57" s="47"/>
      <c r="L57" s="44"/>
      <c r="M57" s="48">
        <f>Table1[[#This Row],[Date Deviation Raised]]+7</f>
        <v>7</v>
      </c>
      <c r="N57" s="49"/>
      <c r="O57" s="50">
        <f>Table1[[#This Row],[Part 1 Completion Date]]-Table1[[#This Row],[Date Deviation Raised]]</f>
        <v>0</v>
      </c>
      <c r="P57" s="51"/>
      <c r="Q57" s="52"/>
      <c r="R57" s="45"/>
      <c r="S57" s="50">
        <f>Table1[[#This Row],[Investigation Closed]]-Table1[[#This Row],[Date Deviation Raised]]</f>
        <v>0</v>
      </c>
      <c r="T57" s="44"/>
      <c r="U57" s="44"/>
      <c r="V57" s="44"/>
      <c r="W57" s="44"/>
      <c r="X57" s="44"/>
      <c r="Y57" s="53"/>
      <c r="Z57" s="44"/>
      <c r="AA57" s="47"/>
      <c r="AB57" s="54"/>
    </row>
    <row r="58" spans="1:28" s="55" customFormat="1" ht="20.25" x14ac:dyDescent="0.3">
      <c r="A58" s="44"/>
      <c r="B58" s="45"/>
      <c r="C58" s="44"/>
      <c r="D58" s="51"/>
      <c r="E58" s="46"/>
      <c r="F58" s="47"/>
      <c r="G58" s="44"/>
      <c r="H58" s="47"/>
      <c r="I58" s="47"/>
      <c r="J58" s="47"/>
      <c r="K58" s="47"/>
      <c r="L58" s="44"/>
      <c r="M58" s="48">
        <f>Table1[[#This Row],[Date Deviation Raised]]+7</f>
        <v>7</v>
      </c>
      <c r="N58" s="49"/>
      <c r="O58" s="50">
        <f>Table1[[#This Row],[Part 1 Completion Date]]-Table1[[#This Row],[Date Deviation Raised]]</f>
        <v>0</v>
      </c>
      <c r="P58" s="51"/>
      <c r="Q58" s="52"/>
      <c r="R58" s="45"/>
      <c r="S58" s="50">
        <f>Table1[[#This Row],[Investigation Closed]]-Table1[[#This Row],[Date Deviation Raised]]</f>
        <v>0</v>
      </c>
      <c r="T58" s="44"/>
      <c r="U58" s="44"/>
      <c r="V58" s="44"/>
      <c r="W58" s="44"/>
      <c r="X58" s="44"/>
      <c r="Y58" s="53"/>
      <c r="Z58" s="44"/>
      <c r="AA58" s="47"/>
      <c r="AB58" s="54"/>
    </row>
    <row r="59" spans="1:28" s="55" customFormat="1" ht="20.25" x14ac:dyDescent="0.3">
      <c r="A59" s="44"/>
      <c r="B59" s="45"/>
      <c r="C59" s="44"/>
      <c r="D59" s="51"/>
      <c r="E59" s="46"/>
      <c r="F59" s="47"/>
      <c r="G59" s="44"/>
      <c r="H59" s="47"/>
      <c r="I59" s="47"/>
      <c r="J59" s="47"/>
      <c r="K59" s="47"/>
      <c r="L59" s="44"/>
      <c r="M59" s="48">
        <f>Table1[[#This Row],[Date Deviation Raised]]+7</f>
        <v>7</v>
      </c>
      <c r="N59" s="49"/>
      <c r="O59" s="50">
        <f>Table1[[#This Row],[Part 1 Completion Date]]-Table1[[#This Row],[Date Deviation Raised]]</f>
        <v>0</v>
      </c>
      <c r="P59" s="51"/>
      <c r="Q59" s="52"/>
      <c r="R59" s="45"/>
      <c r="S59" s="50">
        <f>Table1[[#This Row],[Investigation Closed]]-Table1[[#This Row],[Date Deviation Raised]]</f>
        <v>0</v>
      </c>
      <c r="T59" s="44"/>
      <c r="U59" s="44"/>
      <c r="V59" s="44"/>
      <c r="W59" s="44"/>
      <c r="X59" s="44"/>
      <c r="Y59" s="53"/>
      <c r="Z59" s="44"/>
      <c r="AA59" s="47"/>
      <c r="AB59" s="54"/>
    </row>
    <row r="60" spans="1:28" s="55" customFormat="1" ht="20.25" x14ac:dyDescent="0.3">
      <c r="A60" s="44"/>
      <c r="B60" s="45"/>
      <c r="C60" s="44"/>
      <c r="D60" s="51"/>
      <c r="E60" s="46"/>
      <c r="F60" s="47"/>
      <c r="G60" s="44"/>
      <c r="H60" s="47"/>
      <c r="I60" s="47"/>
      <c r="J60" s="47"/>
      <c r="K60" s="47"/>
      <c r="L60" s="44"/>
      <c r="M60" s="48">
        <f>Table1[[#This Row],[Date Deviation Raised]]+7</f>
        <v>7</v>
      </c>
      <c r="N60" s="49"/>
      <c r="O60" s="50">
        <f>Table1[[#This Row],[Part 1 Completion Date]]-Table1[[#This Row],[Date Deviation Raised]]</f>
        <v>0</v>
      </c>
      <c r="P60" s="51"/>
      <c r="Q60" s="52"/>
      <c r="R60" s="45"/>
      <c r="S60" s="50">
        <f>Table1[[#This Row],[Investigation Closed]]-Table1[[#This Row],[Date Deviation Raised]]</f>
        <v>0</v>
      </c>
      <c r="T60" s="44"/>
      <c r="U60" s="44"/>
      <c r="V60" s="44"/>
      <c r="W60" s="44"/>
      <c r="X60" s="44"/>
      <c r="Y60" s="53"/>
      <c r="Z60" s="44"/>
      <c r="AA60" s="47"/>
      <c r="AB60" s="54"/>
    </row>
    <row r="61" spans="1:28" s="55" customFormat="1" ht="20.25" x14ac:dyDescent="0.3">
      <c r="A61" s="44"/>
      <c r="B61" s="45"/>
      <c r="C61" s="44"/>
      <c r="D61" s="51"/>
      <c r="E61" s="46"/>
      <c r="F61" s="47"/>
      <c r="G61" s="44"/>
      <c r="H61" s="47"/>
      <c r="I61" s="47"/>
      <c r="J61" s="47"/>
      <c r="K61" s="47"/>
      <c r="L61" s="44"/>
      <c r="M61" s="48">
        <f>Table1[[#This Row],[Date Deviation Raised]]+7</f>
        <v>7</v>
      </c>
      <c r="N61" s="49"/>
      <c r="O61" s="50">
        <f>Table1[[#This Row],[Part 1 Completion Date]]-Table1[[#This Row],[Date Deviation Raised]]</f>
        <v>0</v>
      </c>
      <c r="P61" s="51"/>
      <c r="Q61" s="52"/>
      <c r="R61" s="45"/>
      <c r="S61" s="50">
        <f>Table1[[#This Row],[Investigation Closed]]-Table1[[#This Row],[Date Deviation Raised]]</f>
        <v>0</v>
      </c>
      <c r="T61" s="44"/>
      <c r="U61" s="44"/>
      <c r="V61" s="44"/>
      <c r="W61" s="44"/>
      <c r="X61" s="44"/>
      <c r="Y61" s="53"/>
      <c r="Z61" s="44"/>
      <c r="AA61" s="47"/>
      <c r="AB61" s="54"/>
    </row>
    <row r="62" spans="1:28" s="55" customFormat="1" ht="20.25" x14ac:dyDescent="0.3">
      <c r="A62" s="44"/>
      <c r="B62" s="45"/>
      <c r="C62" s="44"/>
      <c r="D62" s="51"/>
      <c r="E62" s="46"/>
      <c r="F62" s="47"/>
      <c r="G62" s="44"/>
      <c r="H62" s="47"/>
      <c r="I62" s="47"/>
      <c r="J62" s="47"/>
      <c r="K62" s="47"/>
      <c r="L62" s="44"/>
      <c r="M62" s="48">
        <f>Table1[[#This Row],[Date Deviation Raised]]+7</f>
        <v>7</v>
      </c>
      <c r="N62" s="49"/>
      <c r="O62" s="50">
        <f>Table1[[#This Row],[Part 1 Completion Date]]-Table1[[#This Row],[Date Deviation Raised]]</f>
        <v>0</v>
      </c>
      <c r="P62" s="51"/>
      <c r="Q62" s="52"/>
      <c r="R62" s="45"/>
      <c r="S62" s="50">
        <f>Table1[[#This Row],[Investigation Closed]]-Table1[[#This Row],[Date Deviation Raised]]</f>
        <v>0</v>
      </c>
      <c r="T62" s="44"/>
      <c r="U62" s="44"/>
      <c r="V62" s="44"/>
      <c r="W62" s="44"/>
      <c r="X62" s="44"/>
      <c r="Y62" s="53"/>
      <c r="Z62" s="44"/>
      <c r="AA62" s="47"/>
      <c r="AB62" s="54"/>
    </row>
    <row r="63" spans="1:28" s="55" customFormat="1" ht="20.25" x14ac:dyDescent="0.3">
      <c r="A63" s="44"/>
      <c r="B63" s="45"/>
      <c r="C63" s="44"/>
      <c r="D63" s="51"/>
      <c r="E63" s="46"/>
      <c r="F63" s="47"/>
      <c r="G63" s="44"/>
      <c r="H63" s="47"/>
      <c r="I63" s="47"/>
      <c r="J63" s="47"/>
      <c r="K63" s="47"/>
      <c r="L63" s="44"/>
      <c r="M63" s="48">
        <f>Table1[[#This Row],[Date Deviation Raised]]+7</f>
        <v>7</v>
      </c>
      <c r="N63" s="49"/>
      <c r="O63" s="50">
        <f>Table1[[#This Row],[Part 1 Completion Date]]-Table1[[#This Row],[Date Deviation Raised]]</f>
        <v>0</v>
      </c>
      <c r="P63" s="51"/>
      <c r="Q63" s="52"/>
      <c r="R63" s="45"/>
      <c r="S63" s="50">
        <f>Table1[[#This Row],[Investigation Closed]]-Table1[[#This Row],[Date Deviation Raised]]</f>
        <v>0</v>
      </c>
      <c r="T63" s="44"/>
      <c r="U63" s="44"/>
      <c r="V63" s="44"/>
      <c r="W63" s="44"/>
      <c r="X63" s="44"/>
      <c r="Y63" s="53"/>
      <c r="Z63" s="44"/>
      <c r="AA63" s="47"/>
      <c r="AB63" s="54"/>
    </row>
    <row r="64" spans="1:28" s="55" customFormat="1" ht="20.25" x14ac:dyDescent="0.3">
      <c r="A64" s="44"/>
      <c r="B64" s="45"/>
      <c r="C64" s="44"/>
      <c r="D64" s="51"/>
      <c r="E64" s="46"/>
      <c r="F64" s="47"/>
      <c r="G64" s="44"/>
      <c r="H64" s="47"/>
      <c r="I64" s="47"/>
      <c r="J64" s="47"/>
      <c r="K64" s="47"/>
      <c r="L64" s="44"/>
      <c r="M64" s="48">
        <f>Table1[[#This Row],[Date Deviation Raised]]+7</f>
        <v>7</v>
      </c>
      <c r="N64" s="49"/>
      <c r="O64" s="50">
        <f>Table1[[#This Row],[Part 1 Completion Date]]-Table1[[#This Row],[Date Deviation Raised]]</f>
        <v>0</v>
      </c>
      <c r="P64" s="51"/>
      <c r="Q64" s="52"/>
      <c r="R64" s="45"/>
      <c r="S64" s="50">
        <f>Table1[[#This Row],[Investigation Closed]]-Table1[[#This Row],[Date Deviation Raised]]</f>
        <v>0</v>
      </c>
      <c r="T64" s="44"/>
      <c r="U64" s="44"/>
      <c r="V64" s="44"/>
      <c r="W64" s="44"/>
      <c r="X64" s="44"/>
      <c r="Y64" s="53"/>
      <c r="Z64" s="44"/>
      <c r="AA64" s="47"/>
      <c r="AB64" s="54"/>
    </row>
    <row r="65" spans="1:28" s="55" customFormat="1" ht="20.25" x14ac:dyDescent="0.3">
      <c r="A65" s="44"/>
      <c r="B65" s="45"/>
      <c r="C65" s="44"/>
      <c r="D65" s="51"/>
      <c r="E65" s="46"/>
      <c r="F65" s="47"/>
      <c r="G65" s="44"/>
      <c r="H65" s="47"/>
      <c r="I65" s="47"/>
      <c r="J65" s="47"/>
      <c r="K65" s="47"/>
      <c r="L65" s="44"/>
      <c r="M65" s="48">
        <f>Table1[[#This Row],[Date Deviation Raised]]+7</f>
        <v>7</v>
      </c>
      <c r="N65" s="49"/>
      <c r="O65" s="50">
        <f>Table1[[#This Row],[Part 1 Completion Date]]-Table1[[#This Row],[Date Deviation Raised]]</f>
        <v>0</v>
      </c>
      <c r="P65" s="51"/>
      <c r="Q65" s="52"/>
      <c r="R65" s="45"/>
      <c r="S65" s="50">
        <f>Table1[[#This Row],[Investigation Closed]]-Table1[[#This Row],[Date Deviation Raised]]</f>
        <v>0</v>
      </c>
      <c r="T65" s="44"/>
      <c r="U65" s="44"/>
      <c r="V65" s="44"/>
      <c r="W65" s="44"/>
      <c r="X65" s="44"/>
      <c r="Y65" s="53"/>
      <c r="Z65" s="44"/>
      <c r="AA65" s="47"/>
      <c r="AB65" s="54"/>
    </row>
    <row r="66" spans="1:28" s="55" customFormat="1" ht="20.25" x14ac:dyDescent="0.3">
      <c r="A66" s="44"/>
      <c r="B66" s="45"/>
      <c r="C66" s="44"/>
      <c r="D66" s="51"/>
      <c r="E66" s="46"/>
      <c r="F66" s="47"/>
      <c r="G66" s="44"/>
      <c r="H66" s="47"/>
      <c r="I66" s="47"/>
      <c r="J66" s="47"/>
      <c r="K66" s="47"/>
      <c r="L66" s="44"/>
      <c r="M66" s="48">
        <f>Table1[[#This Row],[Date Deviation Raised]]+7</f>
        <v>7</v>
      </c>
      <c r="N66" s="49"/>
      <c r="O66" s="50">
        <f>Table1[[#This Row],[Part 1 Completion Date]]-Table1[[#This Row],[Date Deviation Raised]]</f>
        <v>0</v>
      </c>
      <c r="P66" s="51"/>
      <c r="Q66" s="52"/>
      <c r="R66" s="45"/>
      <c r="S66" s="50">
        <f>Table1[[#This Row],[Investigation Closed]]-Table1[[#This Row],[Date Deviation Raised]]</f>
        <v>0</v>
      </c>
      <c r="T66" s="44"/>
      <c r="U66" s="44"/>
      <c r="V66" s="44"/>
      <c r="W66" s="44"/>
      <c r="X66" s="44"/>
      <c r="Y66" s="53"/>
      <c r="Z66" s="44"/>
      <c r="AA66" s="47"/>
      <c r="AB66" s="54"/>
    </row>
    <row r="67" spans="1:28" s="55" customFormat="1" ht="20.25" x14ac:dyDescent="0.3">
      <c r="A67" s="44"/>
      <c r="B67" s="45"/>
      <c r="C67" s="44"/>
      <c r="D67" s="51"/>
      <c r="E67" s="46"/>
      <c r="F67" s="47"/>
      <c r="G67" s="44"/>
      <c r="H67" s="47"/>
      <c r="I67" s="47"/>
      <c r="J67" s="47"/>
      <c r="K67" s="47"/>
      <c r="L67" s="44"/>
      <c r="M67" s="48">
        <f>Table1[[#This Row],[Date Deviation Raised]]+7</f>
        <v>7</v>
      </c>
      <c r="N67" s="49"/>
      <c r="O67" s="50">
        <f>Table1[[#This Row],[Part 1 Completion Date]]-Table1[[#This Row],[Date Deviation Raised]]</f>
        <v>0</v>
      </c>
      <c r="P67" s="51"/>
      <c r="Q67" s="52"/>
      <c r="R67" s="45"/>
      <c r="S67" s="50">
        <f>Table1[[#This Row],[Investigation Closed]]-Table1[[#This Row],[Date Deviation Raised]]</f>
        <v>0</v>
      </c>
      <c r="T67" s="44"/>
      <c r="U67" s="44"/>
      <c r="V67" s="44"/>
      <c r="W67" s="44"/>
      <c r="X67" s="44"/>
      <c r="Y67" s="53"/>
      <c r="Z67" s="44"/>
      <c r="AA67" s="47"/>
      <c r="AB67" s="54"/>
    </row>
    <row r="68" spans="1:28" s="55" customFormat="1" ht="20.25" x14ac:dyDescent="0.3">
      <c r="A68" s="44"/>
      <c r="B68" s="45"/>
      <c r="C68" s="44"/>
      <c r="D68" s="51"/>
      <c r="E68" s="46"/>
      <c r="F68" s="47"/>
      <c r="G68" s="44"/>
      <c r="H68" s="47"/>
      <c r="I68" s="47"/>
      <c r="J68" s="47"/>
      <c r="K68" s="47"/>
      <c r="L68" s="44"/>
      <c r="M68" s="48">
        <f>Table1[[#This Row],[Date Deviation Raised]]+7</f>
        <v>7</v>
      </c>
      <c r="N68" s="49"/>
      <c r="O68" s="50">
        <f>Table1[[#This Row],[Part 1 Completion Date]]-Table1[[#This Row],[Date Deviation Raised]]</f>
        <v>0</v>
      </c>
      <c r="P68" s="51"/>
      <c r="Q68" s="52"/>
      <c r="R68" s="45"/>
      <c r="S68" s="50">
        <f>Table1[[#This Row],[Investigation Closed]]-Table1[[#This Row],[Date Deviation Raised]]</f>
        <v>0</v>
      </c>
      <c r="T68" s="44"/>
      <c r="U68" s="44"/>
      <c r="V68" s="44"/>
      <c r="W68" s="44"/>
      <c r="X68" s="44"/>
      <c r="Y68" s="53"/>
      <c r="Z68" s="44"/>
      <c r="AA68" s="47"/>
      <c r="AB68" s="54"/>
    </row>
    <row r="69" spans="1:28" s="55" customFormat="1" ht="20.25" x14ac:dyDescent="0.3">
      <c r="A69" s="44"/>
      <c r="B69" s="45"/>
      <c r="C69" s="44"/>
      <c r="D69" s="51"/>
      <c r="E69" s="46"/>
      <c r="F69" s="47"/>
      <c r="G69" s="44"/>
      <c r="H69" s="47"/>
      <c r="I69" s="47"/>
      <c r="J69" s="47"/>
      <c r="K69" s="47"/>
      <c r="L69" s="44"/>
      <c r="M69" s="48">
        <f>Table1[[#This Row],[Date Deviation Raised]]+7</f>
        <v>7</v>
      </c>
      <c r="N69" s="49"/>
      <c r="O69" s="50">
        <f>Table1[[#This Row],[Part 1 Completion Date]]-Table1[[#This Row],[Date Deviation Raised]]</f>
        <v>0</v>
      </c>
      <c r="P69" s="51"/>
      <c r="Q69" s="52"/>
      <c r="R69" s="45"/>
      <c r="S69" s="50">
        <f>Table1[[#This Row],[Investigation Closed]]-Table1[[#This Row],[Date Deviation Raised]]</f>
        <v>0</v>
      </c>
      <c r="T69" s="44"/>
      <c r="U69" s="44"/>
      <c r="V69" s="44"/>
      <c r="W69" s="44"/>
      <c r="X69" s="44"/>
      <c r="Y69" s="53"/>
      <c r="Z69" s="44"/>
      <c r="AA69" s="47"/>
      <c r="AB69" s="54"/>
    </row>
    <row r="70" spans="1:28" s="55" customFormat="1" ht="20.25" x14ac:dyDescent="0.3">
      <c r="A70" s="44"/>
      <c r="B70" s="45"/>
      <c r="C70" s="44"/>
      <c r="D70" s="51"/>
      <c r="E70" s="46"/>
      <c r="F70" s="47"/>
      <c r="G70" s="44"/>
      <c r="H70" s="47"/>
      <c r="I70" s="47"/>
      <c r="J70" s="47"/>
      <c r="K70" s="47"/>
      <c r="L70" s="44"/>
      <c r="M70" s="48">
        <f>Table1[[#This Row],[Date Deviation Raised]]+7</f>
        <v>7</v>
      </c>
      <c r="N70" s="49"/>
      <c r="O70" s="50">
        <f>Table1[[#This Row],[Part 1 Completion Date]]-Table1[[#This Row],[Date Deviation Raised]]</f>
        <v>0</v>
      </c>
      <c r="P70" s="51"/>
      <c r="Q70" s="52"/>
      <c r="R70" s="45"/>
      <c r="S70" s="50">
        <f>Table1[[#This Row],[Investigation Closed]]-Table1[[#This Row],[Date Deviation Raised]]</f>
        <v>0</v>
      </c>
      <c r="T70" s="44"/>
      <c r="U70" s="44"/>
      <c r="V70" s="44"/>
      <c r="W70" s="44"/>
      <c r="X70" s="44"/>
      <c r="Y70" s="53"/>
      <c r="Z70" s="44"/>
      <c r="AA70" s="47"/>
      <c r="AB70" s="54"/>
    </row>
    <row r="71" spans="1:28" s="55" customFormat="1" ht="20.25" x14ac:dyDescent="0.3">
      <c r="A71" s="44"/>
      <c r="B71" s="45"/>
      <c r="C71" s="44"/>
      <c r="D71" s="51"/>
      <c r="E71" s="46"/>
      <c r="F71" s="47"/>
      <c r="G71" s="44"/>
      <c r="H71" s="47"/>
      <c r="I71" s="47"/>
      <c r="J71" s="47"/>
      <c r="K71" s="47"/>
      <c r="L71" s="44"/>
      <c r="M71" s="48">
        <f>Table1[[#This Row],[Date Deviation Raised]]+7</f>
        <v>7</v>
      </c>
      <c r="N71" s="49"/>
      <c r="O71" s="50">
        <f>Table1[[#This Row],[Part 1 Completion Date]]-Table1[[#This Row],[Date Deviation Raised]]</f>
        <v>0</v>
      </c>
      <c r="P71" s="51"/>
      <c r="Q71" s="52"/>
      <c r="R71" s="45"/>
      <c r="S71" s="50">
        <f>Table1[[#This Row],[Investigation Closed]]-Table1[[#This Row],[Date Deviation Raised]]</f>
        <v>0</v>
      </c>
      <c r="T71" s="44"/>
      <c r="U71" s="44"/>
      <c r="V71" s="44"/>
      <c r="W71" s="44"/>
      <c r="X71" s="44"/>
      <c r="Y71" s="53"/>
      <c r="Z71" s="44"/>
      <c r="AA71" s="47"/>
      <c r="AB71" s="54"/>
    </row>
    <row r="72" spans="1:28" s="55" customFormat="1" ht="20.25" x14ac:dyDescent="0.3">
      <c r="A72" s="44"/>
      <c r="B72" s="45"/>
      <c r="C72" s="44"/>
      <c r="D72" s="51"/>
      <c r="E72" s="46"/>
      <c r="F72" s="47"/>
      <c r="G72" s="44"/>
      <c r="H72" s="47"/>
      <c r="I72" s="47"/>
      <c r="J72" s="47"/>
      <c r="K72" s="47"/>
      <c r="L72" s="44"/>
      <c r="M72" s="48">
        <f>Table1[[#This Row],[Date Deviation Raised]]+7</f>
        <v>7</v>
      </c>
      <c r="N72" s="49"/>
      <c r="O72" s="50">
        <f>Table1[[#This Row],[Part 1 Completion Date]]-Table1[[#This Row],[Date Deviation Raised]]</f>
        <v>0</v>
      </c>
      <c r="P72" s="51"/>
      <c r="Q72" s="52"/>
      <c r="R72" s="45"/>
      <c r="S72" s="50">
        <f>Table1[[#This Row],[Investigation Closed]]-Table1[[#This Row],[Date Deviation Raised]]</f>
        <v>0</v>
      </c>
      <c r="T72" s="44"/>
      <c r="U72" s="44"/>
      <c r="V72" s="44"/>
      <c r="W72" s="44"/>
      <c r="X72" s="44"/>
      <c r="Y72" s="53"/>
      <c r="Z72" s="44"/>
      <c r="AA72" s="47"/>
      <c r="AB72" s="54"/>
    </row>
    <row r="73" spans="1:28" s="55" customFormat="1" ht="20.25" x14ac:dyDescent="0.3">
      <c r="A73" s="44"/>
      <c r="B73" s="45"/>
      <c r="C73" s="44"/>
      <c r="D73" s="51"/>
      <c r="E73" s="46"/>
      <c r="F73" s="47"/>
      <c r="G73" s="44"/>
      <c r="H73" s="47"/>
      <c r="I73" s="47"/>
      <c r="J73" s="47"/>
      <c r="K73" s="47"/>
      <c r="L73" s="44"/>
      <c r="M73" s="48">
        <f>Table1[[#This Row],[Date Deviation Raised]]+7</f>
        <v>7</v>
      </c>
      <c r="N73" s="49"/>
      <c r="O73" s="50">
        <f>Table1[[#This Row],[Part 1 Completion Date]]-Table1[[#This Row],[Date Deviation Raised]]</f>
        <v>0</v>
      </c>
      <c r="P73" s="51"/>
      <c r="Q73" s="52"/>
      <c r="R73" s="45"/>
      <c r="S73" s="50">
        <f>Table1[[#This Row],[Investigation Closed]]-Table1[[#This Row],[Date Deviation Raised]]</f>
        <v>0</v>
      </c>
      <c r="T73" s="44"/>
      <c r="U73" s="44"/>
      <c r="V73" s="44"/>
      <c r="W73" s="44"/>
      <c r="X73" s="44"/>
      <c r="Y73" s="53"/>
      <c r="Z73" s="44"/>
      <c r="AA73" s="47"/>
      <c r="AB73" s="54"/>
    </row>
    <row r="74" spans="1:28" s="55" customFormat="1" ht="20.25" x14ac:dyDescent="0.3">
      <c r="A74" s="44"/>
      <c r="B74" s="45"/>
      <c r="C74" s="44"/>
      <c r="D74" s="51"/>
      <c r="E74" s="46"/>
      <c r="F74" s="47"/>
      <c r="G74" s="44"/>
      <c r="H74" s="47"/>
      <c r="I74" s="47"/>
      <c r="J74" s="47"/>
      <c r="K74" s="47"/>
      <c r="L74" s="44"/>
      <c r="M74" s="48">
        <f>Table1[[#This Row],[Date Deviation Raised]]+7</f>
        <v>7</v>
      </c>
      <c r="N74" s="49"/>
      <c r="O74" s="50">
        <f>Table1[[#This Row],[Part 1 Completion Date]]-Table1[[#This Row],[Date Deviation Raised]]</f>
        <v>0</v>
      </c>
      <c r="P74" s="51"/>
      <c r="Q74" s="52"/>
      <c r="R74" s="45"/>
      <c r="S74" s="50">
        <f>Table1[[#This Row],[Investigation Closed]]-Table1[[#This Row],[Date Deviation Raised]]</f>
        <v>0</v>
      </c>
      <c r="T74" s="44"/>
      <c r="U74" s="44"/>
      <c r="V74" s="44"/>
      <c r="W74" s="44"/>
      <c r="X74" s="44"/>
      <c r="Y74" s="53"/>
      <c r="Z74" s="44"/>
      <c r="AA74" s="47"/>
      <c r="AB74" s="54"/>
    </row>
    <row r="75" spans="1:28" s="55" customFormat="1" ht="20.25" x14ac:dyDescent="0.3">
      <c r="A75" s="44"/>
      <c r="B75" s="45"/>
      <c r="C75" s="44"/>
      <c r="D75" s="51"/>
      <c r="E75" s="46"/>
      <c r="F75" s="47"/>
      <c r="G75" s="44"/>
      <c r="H75" s="47"/>
      <c r="I75" s="47"/>
      <c r="J75" s="47"/>
      <c r="K75" s="47"/>
      <c r="L75" s="44"/>
      <c r="M75" s="48">
        <f>Table1[[#This Row],[Date Deviation Raised]]+7</f>
        <v>7</v>
      </c>
      <c r="N75" s="49"/>
      <c r="O75" s="50">
        <f>Table1[[#This Row],[Part 1 Completion Date]]-Table1[[#This Row],[Date Deviation Raised]]</f>
        <v>0</v>
      </c>
      <c r="P75" s="51"/>
      <c r="Q75" s="52"/>
      <c r="R75" s="45"/>
      <c r="S75" s="50">
        <f>Table1[[#This Row],[Investigation Closed]]-Table1[[#This Row],[Date Deviation Raised]]</f>
        <v>0</v>
      </c>
      <c r="T75" s="44"/>
      <c r="U75" s="44"/>
      <c r="V75" s="44"/>
      <c r="W75" s="44"/>
      <c r="X75" s="44"/>
      <c r="Y75" s="53"/>
      <c r="Z75" s="44"/>
      <c r="AA75" s="47"/>
      <c r="AB75" s="54"/>
    </row>
    <row r="76" spans="1:28" s="55" customFormat="1" ht="20.25" x14ac:dyDescent="0.3">
      <c r="A76" s="44"/>
      <c r="B76" s="45"/>
      <c r="C76" s="44"/>
      <c r="D76" s="51"/>
      <c r="E76" s="46"/>
      <c r="F76" s="47"/>
      <c r="G76" s="44"/>
      <c r="H76" s="47"/>
      <c r="I76" s="47"/>
      <c r="J76" s="47"/>
      <c r="K76" s="47"/>
      <c r="L76" s="44"/>
      <c r="M76" s="48">
        <f>Table1[[#This Row],[Date Deviation Raised]]+7</f>
        <v>7</v>
      </c>
      <c r="N76" s="49"/>
      <c r="O76" s="50">
        <f>Table1[[#This Row],[Part 1 Completion Date]]-Table1[[#This Row],[Date Deviation Raised]]</f>
        <v>0</v>
      </c>
      <c r="P76" s="51"/>
      <c r="Q76" s="52"/>
      <c r="R76" s="45"/>
      <c r="S76" s="50">
        <f>Table1[[#This Row],[Investigation Closed]]-Table1[[#This Row],[Date Deviation Raised]]</f>
        <v>0</v>
      </c>
      <c r="T76" s="44"/>
      <c r="U76" s="44"/>
      <c r="V76" s="44"/>
      <c r="W76" s="44"/>
      <c r="X76" s="44"/>
      <c r="Y76" s="53"/>
      <c r="Z76" s="44"/>
      <c r="AA76" s="47"/>
      <c r="AB76" s="54"/>
    </row>
    <row r="77" spans="1:28" s="55" customFormat="1" ht="20.25" x14ac:dyDescent="0.3">
      <c r="A77" s="44"/>
      <c r="B77" s="45"/>
      <c r="C77" s="44"/>
      <c r="D77" s="51"/>
      <c r="E77" s="46"/>
      <c r="F77" s="47"/>
      <c r="G77" s="44"/>
      <c r="H77" s="47"/>
      <c r="I77" s="47"/>
      <c r="J77" s="47"/>
      <c r="K77" s="47"/>
      <c r="L77" s="44"/>
      <c r="M77" s="48">
        <f>Table1[[#This Row],[Date Deviation Raised]]+7</f>
        <v>7</v>
      </c>
      <c r="N77" s="49"/>
      <c r="O77" s="50">
        <f>Table1[[#This Row],[Part 1 Completion Date]]-Table1[[#This Row],[Date Deviation Raised]]</f>
        <v>0</v>
      </c>
      <c r="P77" s="51"/>
      <c r="Q77" s="52"/>
      <c r="R77" s="45"/>
      <c r="S77" s="50">
        <f>Table1[[#This Row],[Investigation Closed]]-Table1[[#This Row],[Date Deviation Raised]]</f>
        <v>0</v>
      </c>
      <c r="T77" s="44"/>
      <c r="U77" s="44"/>
      <c r="V77" s="44"/>
      <c r="W77" s="44"/>
      <c r="X77" s="44"/>
      <c r="Y77" s="53"/>
      <c r="Z77" s="44"/>
      <c r="AA77" s="47"/>
      <c r="AB77" s="54"/>
    </row>
    <row r="78" spans="1:28" s="55" customFormat="1" ht="20.25" x14ac:dyDescent="0.3">
      <c r="A78" s="44"/>
      <c r="B78" s="45"/>
      <c r="C78" s="44"/>
      <c r="D78" s="51"/>
      <c r="E78" s="46"/>
      <c r="F78" s="47"/>
      <c r="G78" s="44"/>
      <c r="H78" s="47"/>
      <c r="I78" s="47"/>
      <c r="J78" s="47"/>
      <c r="K78" s="47"/>
      <c r="L78" s="44"/>
      <c r="M78" s="48">
        <f>Table1[[#This Row],[Date Deviation Raised]]+7</f>
        <v>7</v>
      </c>
      <c r="N78" s="49"/>
      <c r="O78" s="50">
        <f>Table1[[#This Row],[Part 1 Completion Date]]-Table1[[#This Row],[Date Deviation Raised]]</f>
        <v>0</v>
      </c>
      <c r="P78" s="51"/>
      <c r="Q78" s="52"/>
      <c r="R78" s="45"/>
      <c r="S78" s="50">
        <f>Table1[[#This Row],[Investigation Closed]]-Table1[[#This Row],[Date Deviation Raised]]</f>
        <v>0</v>
      </c>
      <c r="T78" s="44"/>
      <c r="U78" s="44"/>
      <c r="V78" s="44"/>
      <c r="W78" s="44"/>
      <c r="X78" s="44"/>
      <c r="Y78" s="53"/>
      <c r="Z78" s="44"/>
      <c r="AA78" s="47"/>
      <c r="AB78" s="54"/>
    </row>
    <row r="79" spans="1:28" s="55" customFormat="1" ht="20.25" x14ac:dyDescent="0.3">
      <c r="A79" s="44"/>
      <c r="B79" s="45"/>
      <c r="C79" s="44"/>
      <c r="D79" s="51"/>
      <c r="E79" s="46"/>
      <c r="F79" s="47"/>
      <c r="G79" s="44"/>
      <c r="H79" s="47"/>
      <c r="I79" s="47"/>
      <c r="J79" s="47"/>
      <c r="K79" s="47"/>
      <c r="L79" s="44"/>
      <c r="M79" s="48">
        <f>Table1[[#This Row],[Date Deviation Raised]]+7</f>
        <v>7</v>
      </c>
      <c r="N79" s="49"/>
      <c r="O79" s="50">
        <f>Table1[[#This Row],[Part 1 Completion Date]]-Table1[[#This Row],[Date Deviation Raised]]</f>
        <v>0</v>
      </c>
      <c r="P79" s="51"/>
      <c r="Q79" s="52"/>
      <c r="R79" s="45"/>
      <c r="S79" s="50">
        <f>Table1[[#This Row],[Investigation Closed]]-Table1[[#This Row],[Date Deviation Raised]]</f>
        <v>0</v>
      </c>
      <c r="T79" s="44"/>
      <c r="U79" s="44"/>
      <c r="V79" s="44"/>
      <c r="W79" s="44"/>
      <c r="X79" s="44"/>
      <c r="Y79" s="53"/>
      <c r="Z79" s="44"/>
      <c r="AA79" s="47"/>
      <c r="AB79" s="54"/>
    </row>
    <row r="80" spans="1:28" s="55" customFormat="1" ht="20.25" x14ac:dyDescent="0.3">
      <c r="A80" s="44"/>
      <c r="B80" s="45"/>
      <c r="C80" s="44"/>
      <c r="D80" s="51"/>
      <c r="E80" s="46"/>
      <c r="F80" s="47"/>
      <c r="G80" s="44"/>
      <c r="H80" s="47"/>
      <c r="I80" s="47"/>
      <c r="J80" s="47"/>
      <c r="K80" s="47"/>
      <c r="L80" s="44"/>
      <c r="M80" s="48">
        <f>Table1[[#This Row],[Date Deviation Raised]]+7</f>
        <v>7</v>
      </c>
      <c r="N80" s="49"/>
      <c r="O80" s="50">
        <f>Table1[[#This Row],[Part 1 Completion Date]]-Table1[[#This Row],[Date Deviation Raised]]</f>
        <v>0</v>
      </c>
      <c r="P80" s="51"/>
      <c r="Q80" s="52"/>
      <c r="R80" s="45"/>
      <c r="S80" s="50">
        <f>Table1[[#This Row],[Investigation Closed]]-Table1[[#This Row],[Date Deviation Raised]]</f>
        <v>0</v>
      </c>
      <c r="T80" s="44"/>
      <c r="U80" s="44"/>
      <c r="V80" s="44"/>
      <c r="W80" s="44"/>
      <c r="X80" s="44"/>
      <c r="Y80" s="53"/>
      <c r="Z80" s="44"/>
      <c r="AA80" s="47"/>
      <c r="AB80" s="54"/>
    </row>
    <row r="81" spans="1:43" s="55" customFormat="1" ht="20.25" x14ac:dyDescent="0.3">
      <c r="A81" s="44"/>
      <c r="B81" s="45"/>
      <c r="C81" s="44"/>
      <c r="D81" s="51"/>
      <c r="E81" s="46"/>
      <c r="F81" s="47"/>
      <c r="G81" s="44"/>
      <c r="H81" s="47"/>
      <c r="I81" s="47"/>
      <c r="J81" s="47"/>
      <c r="K81" s="47"/>
      <c r="L81" s="44"/>
      <c r="M81" s="48">
        <f>Table1[[#This Row],[Date Deviation Raised]]+7</f>
        <v>7</v>
      </c>
      <c r="N81" s="49"/>
      <c r="O81" s="50">
        <f>Table1[[#This Row],[Part 1 Completion Date]]-Table1[[#This Row],[Date Deviation Raised]]</f>
        <v>0</v>
      </c>
      <c r="P81" s="51"/>
      <c r="Q81" s="52"/>
      <c r="R81" s="45"/>
      <c r="S81" s="50">
        <f>Table1[[#This Row],[Investigation Closed]]-Table1[[#This Row],[Date Deviation Raised]]</f>
        <v>0</v>
      </c>
      <c r="T81" s="44"/>
      <c r="U81" s="44"/>
      <c r="V81" s="44"/>
      <c r="W81" s="44"/>
      <c r="X81" s="44"/>
      <c r="Y81" s="53"/>
      <c r="Z81" s="44"/>
      <c r="AA81" s="47"/>
      <c r="AB81" s="54"/>
    </row>
    <row r="82" spans="1:43" s="55" customFormat="1" ht="20.25" x14ac:dyDescent="0.3">
      <c r="A82" s="44"/>
      <c r="B82" s="45"/>
      <c r="C82" s="44"/>
      <c r="D82" s="51"/>
      <c r="E82" s="46"/>
      <c r="F82" s="47"/>
      <c r="G82" s="44"/>
      <c r="H82" s="47"/>
      <c r="I82" s="47"/>
      <c r="J82" s="47"/>
      <c r="K82" s="47"/>
      <c r="L82" s="44"/>
      <c r="M82" s="48">
        <f>Table1[[#This Row],[Date Deviation Raised]]+7</f>
        <v>7</v>
      </c>
      <c r="N82" s="49"/>
      <c r="O82" s="50">
        <f>Table1[[#This Row],[Part 1 Completion Date]]-Table1[[#This Row],[Date Deviation Raised]]</f>
        <v>0</v>
      </c>
      <c r="P82" s="51"/>
      <c r="Q82" s="52"/>
      <c r="R82" s="45"/>
      <c r="S82" s="50">
        <f>Table1[[#This Row],[Investigation Closed]]-Table1[[#This Row],[Date Deviation Raised]]</f>
        <v>0</v>
      </c>
      <c r="T82" s="44"/>
      <c r="U82" s="44"/>
      <c r="V82" s="44"/>
      <c r="W82" s="44"/>
      <c r="X82" s="44"/>
      <c r="Y82" s="53"/>
      <c r="Z82" s="44"/>
      <c r="AA82" s="47"/>
      <c r="AB82" s="54"/>
    </row>
    <row r="83" spans="1:43" s="55" customFormat="1" ht="20.25" x14ac:dyDescent="0.3">
      <c r="A83" s="44"/>
      <c r="B83" s="45"/>
      <c r="C83" s="44"/>
      <c r="D83" s="51"/>
      <c r="E83" s="46"/>
      <c r="F83" s="47"/>
      <c r="G83" s="44"/>
      <c r="H83" s="47"/>
      <c r="I83" s="47"/>
      <c r="J83" s="47"/>
      <c r="K83" s="47"/>
      <c r="L83" s="44"/>
      <c r="M83" s="48">
        <f>Table1[[#This Row],[Date Deviation Raised]]+7</f>
        <v>7</v>
      </c>
      <c r="N83" s="49"/>
      <c r="O83" s="50">
        <f>Table1[[#This Row],[Part 1 Completion Date]]-Table1[[#This Row],[Date Deviation Raised]]</f>
        <v>0</v>
      </c>
      <c r="P83" s="51"/>
      <c r="Q83" s="52"/>
      <c r="R83" s="45"/>
      <c r="S83" s="50">
        <f>Table1[[#This Row],[Investigation Closed]]-Table1[[#This Row],[Date Deviation Raised]]</f>
        <v>0</v>
      </c>
      <c r="T83" s="44"/>
      <c r="U83" s="44"/>
      <c r="V83" s="44"/>
      <c r="W83" s="44"/>
      <c r="X83" s="44"/>
      <c r="Y83" s="53"/>
      <c r="Z83" s="44"/>
      <c r="AA83" s="47"/>
      <c r="AB83" s="54"/>
    </row>
    <row r="84" spans="1:43" s="55" customFormat="1" ht="20.25" x14ac:dyDescent="0.3">
      <c r="A84" s="44"/>
      <c r="B84" s="45"/>
      <c r="C84" s="44"/>
      <c r="D84" s="51"/>
      <c r="E84" s="46"/>
      <c r="F84" s="47"/>
      <c r="G84" s="44"/>
      <c r="H84" s="47"/>
      <c r="I84" s="47"/>
      <c r="J84" s="47"/>
      <c r="K84" s="47"/>
      <c r="L84" s="44"/>
      <c r="M84" s="48">
        <f>Table1[[#This Row],[Date Deviation Raised]]+7</f>
        <v>7</v>
      </c>
      <c r="N84" s="49"/>
      <c r="O84" s="50">
        <f>Table1[[#This Row],[Part 1 Completion Date]]-Table1[[#This Row],[Date Deviation Raised]]</f>
        <v>0</v>
      </c>
      <c r="P84" s="51"/>
      <c r="Q84" s="52"/>
      <c r="R84" s="45"/>
      <c r="S84" s="50">
        <f>Table1[[#This Row],[Investigation Closed]]-Table1[[#This Row],[Date Deviation Raised]]</f>
        <v>0</v>
      </c>
      <c r="T84" s="44"/>
      <c r="U84" s="44"/>
      <c r="V84" s="44"/>
      <c r="W84" s="44"/>
      <c r="X84" s="44"/>
      <c r="Y84" s="53"/>
      <c r="Z84" s="44"/>
      <c r="AA84" s="47"/>
      <c r="AB84" s="54"/>
    </row>
    <row r="85" spans="1:43" s="55" customFormat="1" ht="20.25" x14ac:dyDescent="0.3">
      <c r="A85" s="44"/>
      <c r="B85" s="45"/>
      <c r="C85" s="44"/>
      <c r="D85" s="51"/>
      <c r="E85" s="46"/>
      <c r="F85" s="47"/>
      <c r="G85" s="44"/>
      <c r="H85" s="47"/>
      <c r="I85" s="47"/>
      <c r="J85" s="47"/>
      <c r="K85" s="47"/>
      <c r="L85" s="44"/>
      <c r="M85" s="48">
        <f>Table1[[#This Row],[Date Deviation Raised]]+7</f>
        <v>7</v>
      </c>
      <c r="N85" s="49"/>
      <c r="O85" s="50">
        <f>Table1[[#This Row],[Part 1 Completion Date]]-Table1[[#This Row],[Date Deviation Raised]]</f>
        <v>0</v>
      </c>
      <c r="P85" s="51"/>
      <c r="Q85" s="52"/>
      <c r="R85" s="45"/>
      <c r="S85" s="50">
        <f>Table1[[#This Row],[Investigation Closed]]-Table1[[#This Row],[Date Deviation Raised]]</f>
        <v>0</v>
      </c>
      <c r="T85" s="44"/>
      <c r="U85" s="44"/>
      <c r="V85" s="44"/>
      <c r="W85" s="44"/>
      <c r="X85" s="44"/>
      <c r="Y85" s="53"/>
      <c r="Z85" s="44"/>
      <c r="AA85" s="47"/>
      <c r="AB85" s="54"/>
    </row>
    <row r="86" spans="1:43" s="55" customFormat="1" ht="20.25" x14ac:dyDescent="0.3">
      <c r="A86" s="44"/>
      <c r="B86" s="45"/>
      <c r="C86" s="44"/>
      <c r="D86" s="51"/>
      <c r="E86" s="46"/>
      <c r="F86" s="47"/>
      <c r="G86" s="44"/>
      <c r="H86" s="47"/>
      <c r="I86" s="47"/>
      <c r="J86" s="47"/>
      <c r="K86" s="47"/>
      <c r="L86" s="44"/>
      <c r="M86" s="48">
        <f>Table1[[#This Row],[Date Deviation Raised]]+7</f>
        <v>7</v>
      </c>
      <c r="N86" s="49"/>
      <c r="O86" s="50">
        <f>Table1[[#This Row],[Part 1 Completion Date]]-Table1[[#This Row],[Date Deviation Raised]]</f>
        <v>0</v>
      </c>
      <c r="P86" s="51"/>
      <c r="Q86" s="52"/>
      <c r="R86" s="45"/>
      <c r="S86" s="50">
        <f>Table1[[#This Row],[Investigation Closed]]-Table1[[#This Row],[Date Deviation Raised]]</f>
        <v>0</v>
      </c>
      <c r="T86" s="44"/>
      <c r="U86" s="44"/>
      <c r="V86" s="44"/>
      <c r="W86" s="44"/>
      <c r="X86" s="44"/>
      <c r="Y86" s="53"/>
      <c r="Z86" s="44"/>
      <c r="AA86" s="47"/>
      <c r="AB86" s="54"/>
    </row>
    <row r="87" spans="1:43" s="55" customFormat="1" ht="20.25" x14ac:dyDescent="0.3">
      <c r="A87" s="44"/>
      <c r="B87" s="45"/>
      <c r="C87" s="44"/>
      <c r="D87" s="51"/>
      <c r="E87" s="46"/>
      <c r="F87" s="47"/>
      <c r="G87" s="44"/>
      <c r="H87" s="47"/>
      <c r="I87" s="47"/>
      <c r="J87" s="47"/>
      <c r="K87" s="47"/>
      <c r="L87" s="44"/>
      <c r="M87" s="48">
        <f>Table1[[#This Row],[Date Deviation Raised]]+7</f>
        <v>7</v>
      </c>
      <c r="N87" s="49"/>
      <c r="O87" s="50">
        <f>Table1[[#This Row],[Part 1 Completion Date]]-Table1[[#This Row],[Date Deviation Raised]]</f>
        <v>0</v>
      </c>
      <c r="P87" s="51"/>
      <c r="Q87" s="52"/>
      <c r="R87" s="45"/>
      <c r="S87" s="50">
        <f>Table1[[#This Row],[Investigation Closed]]-Table1[[#This Row],[Date Deviation Raised]]</f>
        <v>0</v>
      </c>
      <c r="T87" s="44"/>
      <c r="U87" s="44"/>
      <c r="V87" s="44"/>
      <c r="W87" s="44"/>
      <c r="X87" s="44"/>
      <c r="Y87" s="53"/>
      <c r="Z87" s="44"/>
      <c r="AA87" s="47"/>
      <c r="AB87" s="54"/>
    </row>
    <row r="88" spans="1:43" s="55" customFormat="1" ht="20.25" x14ac:dyDescent="0.3">
      <c r="A88" s="44"/>
      <c r="B88" s="45"/>
      <c r="C88" s="44"/>
      <c r="D88" s="51"/>
      <c r="E88" s="46"/>
      <c r="F88" s="47"/>
      <c r="G88" s="44"/>
      <c r="H88" s="47"/>
      <c r="I88" s="47"/>
      <c r="J88" s="47"/>
      <c r="K88" s="47"/>
      <c r="L88" s="44"/>
      <c r="M88" s="48">
        <f>Table1[[#This Row],[Date Deviation Raised]]+7</f>
        <v>7</v>
      </c>
      <c r="N88" s="49"/>
      <c r="O88" s="50">
        <f>Table1[[#This Row],[Part 1 Completion Date]]-Table1[[#This Row],[Date Deviation Raised]]</f>
        <v>0</v>
      </c>
      <c r="P88" s="51"/>
      <c r="Q88" s="52"/>
      <c r="R88" s="45"/>
      <c r="S88" s="50">
        <f>Table1[[#This Row],[Investigation Closed]]-Table1[[#This Row],[Date Deviation Raised]]</f>
        <v>0</v>
      </c>
      <c r="T88" s="44"/>
      <c r="U88" s="44"/>
      <c r="V88" s="44"/>
      <c r="W88" s="44"/>
      <c r="X88" s="44"/>
      <c r="Y88" s="53"/>
      <c r="Z88" s="44"/>
      <c r="AA88" s="47"/>
      <c r="AB88" s="54"/>
    </row>
    <row r="89" spans="1:43" s="55" customFormat="1" ht="20.25" x14ac:dyDescent="0.3">
      <c r="A89" s="44"/>
      <c r="B89" s="45"/>
      <c r="C89" s="44"/>
      <c r="D89" s="51"/>
      <c r="E89" s="46"/>
      <c r="F89" s="47"/>
      <c r="G89" s="44"/>
      <c r="H89" s="47"/>
      <c r="I89" s="47"/>
      <c r="J89" s="47"/>
      <c r="K89" s="47"/>
      <c r="L89" s="44"/>
      <c r="M89" s="48">
        <f>Table1[[#This Row],[Date Deviation Raised]]+7</f>
        <v>7</v>
      </c>
      <c r="N89" s="49"/>
      <c r="O89" s="50">
        <f>Table1[[#This Row],[Part 1 Completion Date]]-Table1[[#This Row],[Date Deviation Raised]]</f>
        <v>0</v>
      </c>
      <c r="P89" s="51"/>
      <c r="Q89" s="52"/>
      <c r="R89" s="45"/>
      <c r="S89" s="50">
        <f>Table1[[#This Row],[Investigation Closed]]-Table1[[#This Row],[Date Deviation Raised]]</f>
        <v>0</v>
      </c>
      <c r="T89" s="44"/>
      <c r="U89" s="44"/>
      <c r="V89" s="44"/>
      <c r="W89" s="44"/>
      <c r="X89" s="44"/>
      <c r="Y89" s="53"/>
      <c r="Z89" s="44"/>
      <c r="AA89" s="47"/>
      <c r="AB89" s="54"/>
    </row>
    <row r="90" spans="1:43" s="55" customFormat="1" ht="21" x14ac:dyDescent="0.35">
      <c r="A90" s="44"/>
      <c r="B90" s="45"/>
      <c r="C90" s="44"/>
      <c r="D90" s="51"/>
      <c r="E90" s="46"/>
      <c r="F90" s="47"/>
      <c r="G90" s="44"/>
      <c r="H90" s="47"/>
      <c r="I90" s="47"/>
      <c r="J90" s="47"/>
      <c r="K90" s="47"/>
      <c r="L90" s="44"/>
      <c r="M90" s="48">
        <f>Table1[[#This Row],[Date Deviation Raised]]+7</f>
        <v>7</v>
      </c>
      <c r="N90" s="49"/>
      <c r="O90" s="50">
        <f>Table1[[#This Row],[Part 1 Completion Date]]-Table1[[#This Row],[Date Deviation Raised]]</f>
        <v>0</v>
      </c>
      <c r="P90" s="51"/>
      <c r="Q90" s="52"/>
      <c r="R90" s="45"/>
      <c r="S90" s="50">
        <f>Table1[[#This Row],[Investigation Closed]]-Table1[[#This Row],[Date Deviation Raised]]</f>
        <v>0</v>
      </c>
      <c r="T90" s="44"/>
      <c r="U90" s="44"/>
      <c r="V90" s="44"/>
      <c r="W90" s="44"/>
      <c r="X90" s="44"/>
      <c r="Y90" s="53"/>
      <c r="Z90" s="44"/>
      <c r="AA90" s="47"/>
      <c r="AB90" s="54"/>
      <c r="AC90" s="58"/>
      <c r="AD90" s="58"/>
      <c r="AE90" s="58"/>
      <c r="AF90" s="58"/>
      <c r="AJ90" s="59"/>
      <c r="AK90" s="59"/>
      <c r="AL90" s="56"/>
      <c r="AQ90" s="60"/>
    </row>
    <row r="91" spans="1:43" s="55" customFormat="1" ht="21" x14ac:dyDescent="0.35">
      <c r="A91" s="44"/>
      <c r="B91" s="45"/>
      <c r="C91" s="44"/>
      <c r="D91" s="51"/>
      <c r="E91" s="46"/>
      <c r="F91" s="47"/>
      <c r="G91" s="44"/>
      <c r="H91" s="47"/>
      <c r="I91" s="47"/>
      <c r="J91" s="47"/>
      <c r="K91" s="47"/>
      <c r="L91" s="44"/>
      <c r="M91" s="48">
        <f>Table1[[#This Row],[Date Deviation Raised]]+7</f>
        <v>7</v>
      </c>
      <c r="N91" s="49"/>
      <c r="O91" s="50">
        <f>Table1[[#This Row],[Part 1 Completion Date]]-Table1[[#This Row],[Date Deviation Raised]]</f>
        <v>0</v>
      </c>
      <c r="P91" s="51"/>
      <c r="Q91" s="52"/>
      <c r="R91" s="45"/>
      <c r="S91" s="50">
        <f>Table1[[#This Row],[Investigation Closed]]-Table1[[#This Row],[Date Deviation Raised]]</f>
        <v>0</v>
      </c>
      <c r="T91" s="44"/>
      <c r="U91" s="44"/>
      <c r="V91" s="44"/>
      <c r="W91" s="44"/>
      <c r="X91" s="44"/>
      <c r="Y91" s="53"/>
      <c r="Z91" s="44"/>
      <c r="AA91" s="47"/>
      <c r="AB91" s="54"/>
      <c r="AC91" s="58"/>
      <c r="AD91" s="58"/>
      <c r="AE91" s="58"/>
      <c r="AF91" s="58"/>
      <c r="AJ91" s="59"/>
      <c r="AK91" s="59"/>
      <c r="AL91" s="56"/>
      <c r="AQ91" s="60"/>
    </row>
    <row r="92" spans="1:43" s="55" customFormat="1" ht="21" x14ac:dyDescent="0.35">
      <c r="A92" s="44"/>
      <c r="B92" s="45"/>
      <c r="C92" s="44"/>
      <c r="D92" s="51"/>
      <c r="E92" s="46"/>
      <c r="F92" s="47"/>
      <c r="G92" s="44"/>
      <c r="H92" s="47"/>
      <c r="I92" s="47"/>
      <c r="J92" s="47"/>
      <c r="K92" s="47"/>
      <c r="L92" s="44"/>
      <c r="M92" s="48">
        <f>Table1[[#This Row],[Date Deviation Raised]]+7</f>
        <v>7</v>
      </c>
      <c r="N92" s="49"/>
      <c r="O92" s="50">
        <f>Table1[[#This Row],[Part 1 Completion Date]]-Table1[[#This Row],[Date Deviation Raised]]</f>
        <v>0</v>
      </c>
      <c r="P92" s="51"/>
      <c r="Q92" s="52"/>
      <c r="R92" s="45"/>
      <c r="S92" s="50">
        <f>Table1[[#This Row],[Investigation Closed]]-Table1[[#This Row],[Date Deviation Raised]]</f>
        <v>0</v>
      </c>
      <c r="T92" s="44"/>
      <c r="U92" s="44"/>
      <c r="V92" s="44"/>
      <c r="W92" s="44"/>
      <c r="X92" s="44"/>
      <c r="Y92" s="53"/>
      <c r="Z92" s="44"/>
      <c r="AA92" s="47"/>
      <c r="AB92" s="54"/>
      <c r="AC92" s="58"/>
      <c r="AD92" s="58"/>
      <c r="AE92" s="58"/>
      <c r="AF92" s="58"/>
      <c r="AJ92" s="59"/>
      <c r="AK92" s="59"/>
      <c r="AL92" s="56"/>
      <c r="AQ92" s="60"/>
    </row>
    <row r="93" spans="1:43" s="55" customFormat="1" ht="21" x14ac:dyDescent="0.35">
      <c r="A93" s="44"/>
      <c r="B93" s="45"/>
      <c r="C93" s="44"/>
      <c r="D93" s="51"/>
      <c r="E93" s="46"/>
      <c r="F93" s="47"/>
      <c r="G93" s="44"/>
      <c r="H93" s="47"/>
      <c r="I93" s="47"/>
      <c r="J93" s="47"/>
      <c r="K93" s="47"/>
      <c r="L93" s="44"/>
      <c r="M93" s="48">
        <f>Table1[[#This Row],[Date Deviation Raised]]+7</f>
        <v>7</v>
      </c>
      <c r="N93" s="49"/>
      <c r="O93" s="50">
        <f>Table1[[#This Row],[Part 1 Completion Date]]-Table1[[#This Row],[Date Deviation Raised]]</f>
        <v>0</v>
      </c>
      <c r="P93" s="51"/>
      <c r="Q93" s="52"/>
      <c r="R93" s="45"/>
      <c r="S93" s="50">
        <f>Table1[[#This Row],[Investigation Closed]]-Table1[[#This Row],[Date Deviation Raised]]</f>
        <v>0</v>
      </c>
      <c r="T93" s="44"/>
      <c r="U93" s="44"/>
      <c r="V93" s="44"/>
      <c r="W93" s="44"/>
      <c r="X93" s="44"/>
      <c r="Y93" s="53"/>
      <c r="Z93" s="44"/>
      <c r="AA93" s="47"/>
      <c r="AB93" s="54"/>
      <c r="AC93" s="58"/>
      <c r="AD93" s="58"/>
      <c r="AE93" s="58"/>
      <c r="AF93" s="58"/>
      <c r="AJ93" s="59"/>
      <c r="AK93" s="59"/>
      <c r="AL93" s="56"/>
      <c r="AQ93" s="60"/>
    </row>
    <row r="94" spans="1:43" s="55" customFormat="1" ht="21" x14ac:dyDescent="0.35">
      <c r="A94" s="44"/>
      <c r="B94" s="45"/>
      <c r="C94" s="44"/>
      <c r="D94" s="51"/>
      <c r="E94" s="46"/>
      <c r="F94" s="47"/>
      <c r="G94" s="44"/>
      <c r="H94" s="47"/>
      <c r="I94" s="47"/>
      <c r="J94" s="47"/>
      <c r="K94" s="47"/>
      <c r="L94" s="44"/>
      <c r="M94" s="48">
        <f>Table1[[#This Row],[Date Deviation Raised]]+7</f>
        <v>7</v>
      </c>
      <c r="N94" s="49"/>
      <c r="O94" s="50">
        <f>Table1[[#This Row],[Part 1 Completion Date]]-Table1[[#This Row],[Date Deviation Raised]]</f>
        <v>0</v>
      </c>
      <c r="P94" s="51"/>
      <c r="Q94" s="52"/>
      <c r="R94" s="45"/>
      <c r="S94" s="50">
        <f>Table1[[#This Row],[Investigation Closed]]-Table1[[#This Row],[Date Deviation Raised]]</f>
        <v>0</v>
      </c>
      <c r="T94" s="44"/>
      <c r="U94" s="44"/>
      <c r="V94" s="44"/>
      <c r="W94" s="44"/>
      <c r="X94" s="44"/>
      <c r="Y94" s="53"/>
      <c r="Z94" s="44"/>
      <c r="AA94" s="47"/>
      <c r="AB94" s="54"/>
      <c r="AC94" s="58"/>
      <c r="AD94" s="58"/>
      <c r="AE94" s="58"/>
      <c r="AF94" s="58"/>
      <c r="AJ94" s="59"/>
      <c r="AK94" s="59"/>
      <c r="AL94" s="56"/>
      <c r="AQ94" s="60"/>
    </row>
    <row r="95" spans="1:43" s="55" customFormat="1" ht="21" x14ac:dyDescent="0.35">
      <c r="A95" s="44"/>
      <c r="B95" s="45"/>
      <c r="C95" s="44"/>
      <c r="D95" s="51"/>
      <c r="E95" s="46"/>
      <c r="F95" s="47"/>
      <c r="G95" s="44"/>
      <c r="H95" s="47"/>
      <c r="I95" s="47"/>
      <c r="J95" s="47"/>
      <c r="K95" s="47"/>
      <c r="L95" s="44"/>
      <c r="M95" s="48">
        <f>Table1[[#This Row],[Date Deviation Raised]]+7</f>
        <v>7</v>
      </c>
      <c r="N95" s="49"/>
      <c r="O95" s="50">
        <f>Table1[[#This Row],[Part 1 Completion Date]]-Table1[[#This Row],[Date Deviation Raised]]</f>
        <v>0</v>
      </c>
      <c r="P95" s="51"/>
      <c r="Q95" s="52"/>
      <c r="R95" s="45"/>
      <c r="S95" s="50">
        <f>Table1[[#This Row],[Investigation Closed]]-Table1[[#This Row],[Date Deviation Raised]]</f>
        <v>0</v>
      </c>
      <c r="T95" s="44"/>
      <c r="U95" s="44"/>
      <c r="V95" s="44"/>
      <c r="W95" s="44"/>
      <c r="X95" s="44"/>
      <c r="Y95" s="53"/>
      <c r="Z95" s="44"/>
      <c r="AA95" s="47"/>
      <c r="AB95" s="54"/>
      <c r="AC95" s="58"/>
      <c r="AD95" s="58"/>
      <c r="AE95" s="58"/>
      <c r="AF95" s="58"/>
      <c r="AJ95" s="59"/>
      <c r="AK95" s="59"/>
      <c r="AL95" s="56"/>
      <c r="AQ95" s="60"/>
    </row>
    <row r="96" spans="1:43" s="55" customFormat="1" ht="21" x14ac:dyDescent="0.35">
      <c r="A96" s="44"/>
      <c r="B96" s="45"/>
      <c r="C96" s="44"/>
      <c r="D96" s="51"/>
      <c r="E96" s="46"/>
      <c r="F96" s="47"/>
      <c r="G96" s="44"/>
      <c r="H96" s="47"/>
      <c r="I96" s="47"/>
      <c r="J96" s="47"/>
      <c r="K96" s="47"/>
      <c r="L96" s="44"/>
      <c r="M96" s="48">
        <f>Table1[[#This Row],[Date Deviation Raised]]+7</f>
        <v>7</v>
      </c>
      <c r="N96" s="49"/>
      <c r="O96" s="50">
        <f>Table1[[#This Row],[Part 1 Completion Date]]-Table1[[#This Row],[Date Deviation Raised]]</f>
        <v>0</v>
      </c>
      <c r="P96" s="51"/>
      <c r="Q96" s="52"/>
      <c r="R96" s="45"/>
      <c r="S96" s="50">
        <f>Table1[[#This Row],[Investigation Closed]]-Table1[[#This Row],[Date Deviation Raised]]</f>
        <v>0</v>
      </c>
      <c r="T96" s="44"/>
      <c r="U96" s="44"/>
      <c r="V96" s="44"/>
      <c r="W96" s="44"/>
      <c r="X96" s="44"/>
      <c r="Y96" s="53"/>
      <c r="Z96" s="44"/>
      <c r="AA96" s="47"/>
      <c r="AB96" s="54"/>
      <c r="AC96" s="58"/>
      <c r="AD96" s="58"/>
      <c r="AE96" s="58"/>
      <c r="AF96" s="58"/>
      <c r="AJ96" s="59"/>
      <c r="AK96" s="59"/>
      <c r="AL96" s="56"/>
      <c r="AQ96" s="60"/>
    </row>
    <row r="97" spans="1:43" s="55" customFormat="1" ht="21" x14ac:dyDescent="0.35">
      <c r="A97" s="44"/>
      <c r="B97" s="45"/>
      <c r="C97" s="44"/>
      <c r="D97" s="51"/>
      <c r="E97" s="46"/>
      <c r="F97" s="47"/>
      <c r="G97" s="44"/>
      <c r="H97" s="47"/>
      <c r="I97" s="47"/>
      <c r="J97" s="47"/>
      <c r="K97" s="47"/>
      <c r="L97" s="44"/>
      <c r="M97" s="48">
        <f>Table1[[#This Row],[Date Deviation Raised]]+7</f>
        <v>7</v>
      </c>
      <c r="N97" s="49"/>
      <c r="O97" s="50">
        <f>Table1[[#This Row],[Part 1 Completion Date]]-Table1[[#This Row],[Date Deviation Raised]]</f>
        <v>0</v>
      </c>
      <c r="P97" s="51"/>
      <c r="Q97" s="52"/>
      <c r="R97" s="45"/>
      <c r="S97" s="50">
        <f>Table1[[#This Row],[Investigation Closed]]-Table1[[#This Row],[Date Deviation Raised]]</f>
        <v>0</v>
      </c>
      <c r="T97" s="44"/>
      <c r="U97" s="44"/>
      <c r="V97" s="44"/>
      <c r="W97" s="44"/>
      <c r="X97" s="44"/>
      <c r="Y97" s="53"/>
      <c r="Z97" s="44"/>
      <c r="AA97" s="47"/>
      <c r="AB97" s="54"/>
      <c r="AC97" s="58"/>
      <c r="AD97" s="58"/>
      <c r="AE97" s="58"/>
      <c r="AF97" s="58"/>
      <c r="AJ97" s="59"/>
      <c r="AK97" s="59"/>
      <c r="AL97" s="56"/>
      <c r="AQ97" s="60"/>
    </row>
    <row r="98" spans="1:43" s="55" customFormat="1" ht="21" x14ac:dyDescent="0.35">
      <c r="A98" s="44"/>
      <c r="B98" s="45"/>
      <c r="C98" s="44"/>
      <c r="D98" s="51"/>
      <c r="E98" s="46"/>
      <c r="F98" s="47"/>
      <c r="G98" s="44"/>
      <c r="H98" s="47"/>
      <c r="I98" s="47"/>
      <c r="J98" s="47"/>
      <c r="K98" s="47"/>
      <c r="L98" s="44"/>
      <c r="M98" s="48">
        <f>Table1[[#This Row],[Date Deviation Raised]]+7</f>
        <v>7</v>
      </c>
      <c r="N98" s="49"/>
      <c r="O98" s="50">
        <f>Table1[[#This Row],[Part 1 Completion Date]]-Table1[[#This Row],[Date Deviation Raised]]</f>
        <v>0</v>
      </c>
      <c r="P98" s="51"/>
      <c r="Q98" s="52"/>
      <c r="R98" s="45"/>
      <c r="S98" s="50">
        <f>Table1[[#This Row],[Investigation Closed]]-Table1[[#This Row],[Date Deviation Raised]]</f>
        <v>0</v>
      </c>
      <c r="T98" s="44"/>
      <c r="U98" s="44"/>
      <c r="V98" s="44"/>
      <c r="W98" s="44"/>
      <c r="X98" s="44"/>
      <c r="Y98" s="53"/>
      <c r="Z98" s="44"/>
      <c r="AA98" s="47"/>
      <c r="AB98" s="54"/>
      <c r="AC98" s="58"/>
      <c r="AD98" s="58"/>
      <c r="AE98" s="58"/>
      <c r="AF98" s="58"/>
      <c r="AJ98" s="59"/>
      <c r="AK98" s="59"/>
      <c r="AL98" s="56"/>
      <c r="AQ98" s="60"/>
    </row>
    <row r="99" spans="1:43" x14ac:dyDescent="0.25">
      <c r="A99" s="8"/>
      <c r="B99" s="9"/>
      <c r="C99" s="8"/>
      <c r="D99" s="13"/>
      <c r="E99" s="10"/>
      <c r="F99" s="11"/>
      <c r="G99" s="8"/>
      <c r="H99" s="11"/>
      <c r="I99" s="11"/>
      <c r="J99" s="11"/>
      <c r="K99" s="11"/>
      <c r="L99" s="8"/>
      <c r="M99" s="2">
        <f>Table1[[#This Row],[Date Deviation Raised]]+7</f>
        <v>7</v>
      </c>
      <c r="N99" s="12"/>
      <c r="O99" s="1">
        <f>Table1[[#This Row],[Part 1 Completion Date]]-Table1[[#This Row],[Date Deviation Raised]]</f>
        <v>0</v>
      </c>
      <c r="P99" s="13"/>
      <c r="Q99" s="14"/>
      <c r="R99" s="9"/>
      <c r="S99" s="1">
        <f>Table1[[#This Row],[Investigation Closed]]-Table1[[#This Row],[Date Deviation Raised]]</f>
        <v>0</v>
      </c>
      <c r="T99" s="8"/>
      <c r="U99" s="8"/>
      <c r="V99" s="8"/>
      <c r="W99" s="8"/>
      <c r="X99" s="8"/>
      <c r="Y99" s="15"/>
      <c r="Z99" s="8"/>
      <c r="AA99" s="11"/>
      <c r="AB99" s="22"/>
    </row>
    <row r="100" spans="1:43" x14ac:dyDescent="0.25">
      <c r="A100" s="8"/>
      <c r="B100" s="9"/>
      <c r="C100" s="8"/>
      <c r="D100" s="13"/>
      <c r="E100" s="10"/>
      <c r="F100" s="11"/>
      <c r="G100" s="8"/>
      <c r="H100" s="11"/>
      <c r="I100" s="11"/>
      <c r="J100" s="11"/>
      <c r="K100" s="11"/>
      <c r="L100" s="8"/>
      <c r="M100" s="2">
        <f>Table1[[#This Row],[Date Deviation Raised]]+7</f>
        <v>7</v>
      </c>
      <c r="N100" s="12"/>
      <c r="O100" s="1">
        <f>Table1[[#This Row],[Part 1 Completion Date]]-Table1[[#This Row],[Date Deviation Raised]]</f>
        <v>0</v>
      </c>
      <c r="P100" s="13"/>
      <c r="Q100" s="14"/>
      <c r="R100" s="9"/>
      <c r="S100" s="1">
        <f>Table1[[#This Row],[Investigation Closed]]-Table1[[#This Row],[Date Deviation Raised]]</f>
        <v>0</v>
      </c>
      <c r="T100" s="8"/>
      <c r="U100" s="8"/>
      <c r="V100" s="8"/>
      <c r="W100" s="8"/>
      <c r="X100" s="8"/>
      <c r="Y100" s="15"/>
      <c r="Z100" s="8"/>
      <c r="AA100" s="11"/>
      <c r="AB100" s="22"/>
    </row>
    <row r="101" spans="1:43" x14ac:dyDescent="0.25">
      <c r="A101" s="8"/>
      <c r="B101" s="9"/>
      <c r="C101" s="8"/>
      <c r="D101" s="13"/>
      <c r="E101" s="10"/>
      <c r="F101" s="11"/>
      <c r="G101" s="8"/>
      <c r="H101" s="11"/>
      <c r="I101" s="11"/>
      <c r="J101" s="11"/>
      <c r="K101" s="11"/>
      <c r="L101" s="8"/>
      <c r="M101" s="2">
        <f>Table1[[#This Row],[Date Deviation Raised]]+7</f>
        <v>7</v>
      </c>
      <c r="N101" s="12"/>
      <c r="O101" s="1">
        <f>Table1[[#This Row],[Part 1 Completion Date]]-Table1[[#This Row],[Date Deviation Raised]]</f>
        <v>0</v>
      </c>
      <c r="P101" s="13"/>
      <c r="Q101" s="14"/>
      <c r="R101" s="9"/>
      <c r="S101" s="1">
        <f>Table1[[#This Row],[Investigation Closed]]-Table1[[#This Row],[Date Deviation Raised]]</f>
        <v>0</v>
      </c>
      <c r="T101" s="8"/>
      <c r="U101" s="8"/>
      <c r="V101" s="8"/>
      <c r="W101" s="8"/>
      <c r="X101" s="8"/>
      <c r="Y101" s="15"/>
      <c r="Z101" s="8"/>
      <c r="AA101" s="11"/>
      <c r="AB101" s="22"/>
    </row>
    <row r="102" spans="1:43" x14ac:dyDescent="0.25">
      <c r="A102" s="8"/>
      <c r="B102" s="9"/>
      <c r="C102" s="8"/>
      <c r="D102" s="13"/>
      <c r="E102" s="10"/>
      <c r="F102" s="11"/>
      <c r="G102" s="8"/>
      <c r="H102" s="11"/>
      <c r="I102" s="11"/>
      <c r="J102" s="11"/>
      <c r="K102" s="11"/>
      <c r="L102" s="8"/>
      <c r="M102" s="2">
        <f>Table1[[#This Row],[Date Deviation Raised]]+7</f>
        <v>7</v>
      </c>
      <c r="N102" s="12"/>
      <c r="O102" s="1">
        <f>Table1[[#This Row],[Part 1 Completion Date]]-Table1[[#This Row],[Date Deviation Raised]]</f>
        <v>0</v>
      </c>
      <c r="P102" s="13"/>
      <c r="Q102" s="14"/>
      <c r="R102" s="9"/>
      <c r="S102" s="1">
        <f>Table1[[#This Row],[Investigation Closed]]-Table1[[#This Row],[Date Deviation Raised]]</f>
        <v>0</v>
      </c>
      <c r="T102" s="8"/>
      <c r="U102" s="8"/>
      <c r="V102" s="8"/>
      <c r="W102" s="8"/>
      <c r="X102" s="8"/>
      <c r="Y102" s="15"/>
      <c r="Z102" s="8"/>
      <c r="AA102" s="11"/>
      <c r="AB102" s="22"/>
    </row>
    <row r="103" spans="1:43" x14ac:dyDescent="0.25">
      <c r="A103" s="8"/>
      <c r="B103" s="9"/>
      <c r="C103" s="8"/>
      <c r="D103" s="13"/>
      <c r="E103" s="10"/>
      <c r="F103" s="11"/>
      <c r="G103" s="8"/>
      <c r="H103" s="11"/>
      <c r="I103" s="11"/>
      <c r="J103" s="11"/>
      <c r="K103" s="11"/>
      <c r="L103" s="8"/>
      <c r="M103" s="2">
        <f>Table1[[#This Row],[Date Deviation Raised]]+7</f>
        <v>7</v>
      </c>
      <c r="N103" s="12"/>
      <c r="O103" s="1">
        <f>Table1[[#This Row],[Part 1 Completion Date]]-Table1[[#This Row],[Date Deviation Raised]]</f>
        <v>0</v>
      </c>
      <c r="P103" s="13"/>
      <c r="Q103" s="14"/>
      <c r="R103" s="9"/>
      <c r="S103" s="1">
        <f>Table1[[#This Row],[Investigation Closed]]-Table1[[#This Row],[Date Deviation Raised]]</f>
        <v>0</v>
      </c>
      <c r="T103" s="8"/>
      <c r="U103" s="8"/>
      <c r="V103" s="8"/>
      <c r="W103" s="8"/>
      <c r="X103" s="8"/>
      <c r="Y103" s="15"/>
      <c r="Z103" s="8"/>
      <c r="AA103" s="11"/>
      <c r="AB103" s="22"/>
    </row>
    <row r="104" spans="1:43" x14ac:dyDescent="0.25">
      <c r="A104" s="8"/>
      <c r="B104" s="9"/>
      <c r="C104" s="8"/>
      <c r="D104" s="13"/>
      <c r="E104" s="10"/>
      <c r="F104" s="11"/>
      <c r="G104" s="8"/>
      <c r="H104" s="11"/>
      <c r="I104" s="11"/>
      <c r="J104" s="11"/>
      <c r="K104" s="11"/>
      <c r="L104" s="8"/>
      <c r="M104" s="2">
        <f>Table1[[#This Row],[Date Deviation Raised]]+7</f>
        <v>7</v>
      </c>
      <c r="N104" s="12"/>
      <c r="O104" s="1">
        <f>Table1[[#This Row],[Part 1 Completion Date]]-Table1[[#This Row],[Date Deviation Raised]]</f>
        <v>0</v>
      </c>
      <c r="P104" s="13"/>
      <c r="Q104" s="14"/>
      <c r="R104" s="9"/>
      <c r="S104" s="1">
        <f>Table1[[#This Row],[Investigation Closed]]-Table1[[#This Row],[Date Deviation Raised]]</f>
        <v>0</v>
      </c>
      <c r="T104" s="8"/>
      <c r="U104" s="8"/>
      <c r="V104" s="8"/>
      <c r="W104" s="8"/>
      <c r="X104" s="8"/>
      <c r="Y104" s="15"/>
      <c r="Z104" s="8"/>
      <c r="AA104" s="11"/>
      <c r="AB104" s="22"/>
    </row>
    <row r="105" spans="1:43" x14ac:dyDescent="0.25">
      <c r="A105" s="8"/>
      <c r="B105" s="9"/>
      <c r="C105" s="8"/>
      <c r="D105" s="13"/>
      <c r="E105" s="10"/>
      <c r="F105" s="11"/>
      <c r="G105" s="8"/>
      <c r="H105" s="11"/>
      <c r="I105" s="11"/>
      <c r="J105" s="11"/>
      <c r="K105" s="11"/>
      <c r="L105" s="8"/>
      <c r="M105" s="2">
        <f>Table1[[#This Row],[Date Deviation Raised]]+7</f>
        <v>7</v>
      </c>
      <c r="N105" s="12"/>
      <c r="O105" s="1">
        <f>Table1[[#This Row],[Part 1 Completion Date]]-Table1[[#This Row],[Date Deviation Raised]]</f>
        <v>0</v>
      </c>
      <c r="P105" s="13"/>
      <c r="Q105" s="14"/>
      <c r="R105" s="9"/>
      <c r="S105" s="1">
        <f>Table1[[#This Row],[Investigation Closed]]-Table1[[#This Row],[Date Deviation Raised]]</f>
        <v>0</v>
      </c>
      <c r="T105" s="8"/>
      <c r="U105" s="8"/>
      <c r="V105" s="8"/>
      <c r="W105" s="8"/>
      <c r="X105" s="8"/>
      <c r="Y105" s="15"/>
      <c r="Z105" s="8"/>
      <c r="AA105" s="11"/>
      <c r="AB105" s="22"/>
    </row>
    <row r="106" spans="1:43" x14ac:dyDescent="0.25">
      <c r="A106" s="8"/>
      <c r="B106" s="9"/>
      <c r="C106" s="8"/>
      <c r="D106" s="13"/>
      <c r="E106" s="10"/>
      <c r="F106" s="11"/>
      <c r="G106" s="8"/>
      <c r="H106" s="11"/>
      <c r="I106" s="11"/>
      <c r="J106" s="11"/>
      <c r="K106" s="11"/>
      <c r="L106" s="8"/>
      <c r="M106" s="2">
        <f>Table1[[#This Row],[Date Deviation Raised]]+7</f>
        <v>7</v>
      </c>
      <c r="N106" s="12"/>
      <c r="O106" s="1">
        <f>Table1[[#This Row],[Part 1 Completion Date]]-Table1[[#This Row],[Date Deviation Raised]]</f>
        <v>0</v>
      </c>
      <c r="P106" s="13"/>
      <c r="Q106" s="14"/>
      <c r="R106" s="9"/>
      <c r="S106" s="1">
        <f>Table1[[#This Row],[Investigation Closed]]-Table1[[#This Row],[Date Deviation Raised]]</f>
        <v>0</v>
      </c>
      <c r="T106" s="8"/>
      <c r="U106" s="8"/>
      <c r="V106" s="8"/>
      <c r="W106" s="8"/>
      <c r="X106" s="8"/>
      <c r="Y106" s="15"/>
      <c r="Z106" s="8"/>
      <c r="AA106" s="11"/>
      <c r="AB106" s="22"/>
    </row>
    <row r="107" spans="1:43" x14ac:dyDescent="0.25">
      <c r="A107" s="8"/>
      <c r="B107" s="9"/>
      <c r="C107" s="8"/>
      <c r="D107" s="13"/>
      <c r="E107" s="10"/>
      <c r="F107" s="11"/>
      <c r="G107" s="8"/>
      <c r="H107" s="11"/>
      <c r="I107" s="11"/>
      <c r="J107" s="11"/>
      <c r="K107" s="11"/>
      <c r="L107" s="8"/>
      <c r="M107" s="2">
        <f>Table1[[#This Row],[Date Deviation Raised]]+7</f>
        <v>7</v>
      </c>
      <c r="N107" s="12"/>
      <c r="O107" s="1">
        <f>Table1[[#This Row],[Part 1 Completion Date]]-Table1[[#This Row],[Date Deviation Raised]]</f>
        <v>0</v>
      </c>
      <c r="P107" s="13"/>
      <c r="Q107" s="14"/>
      <c r="R107" s="9"/>
      <c r="S107" s="1">
        <f>Table1[[#This Row],[Investigation Closed]]-Table1[[#This Row],[Date Deviation Raised]]</f>
        <v>0</v>
      </c>
      <c r="T107" s="8"/>
      <c r="U107" s="8"/>
      <c r="V107" s="8"/>
      <c r="W107" s="8"/>
      <c r="X107" s="8"/>
      <c r="Y107" s="15"/>
      <c r="Z107" s="8"/>
      <c r="AA107" s="11"/>
      <c r="AB107" s="22"/>
    </row>
    <row r="108" spans="1:43" x14ac:dyDescent="0.25">
      <c r="A108" s="8"/>
      <c r="B108" s="9"/>
      <c r="C108" s="8"/>
      <c r="D108" s="13"/>
      <c r="E108" s="10"/>
      <c r="F108" s="11"/>
      <c r="G108" s="8"/>
      <c r="H108" s="11"/>
      <c r="I108" s="11"/>
      <c r="J108" s="11"/>
      <c r="K108" s="11"/>
      <c r="L108" s="8"/>
      <c r="M108" s="2">
        <f>Table1[[#This Row],[Date Deviation Raised]]+7</f>
        <v>7</v>
      </c>
      <c r="N108" s="12"/>
      <c r="O108" s="1">
        <f>Table1[[#This Row],[Part 1 Completion Date]]-Table1[[#This Row],[Date Deviation Raised]]</f>
        <v>0</v>
      </c>
      <c r="P108" s="13"/>
      <c r="Q108" s="14"/>
      <c r="R108" s="9"/>
      <c r="S108" s="1">
        <f>Table1[[#This Row],[Investigation Closed]]-Table1[[#This Row],[Date Deviation Raised]]</f>
        <v>0</v>
      </c>
      <c r="T108" s="8"/>
      <c r="U108" s="8"/>
      <c r="V108" s="8"/>
      <c r="W108" s="8"/>
      <c r="X108" s="8"/>
      <c r="Y108" s="15"/>
      <c r="Z108" s="8"/>
      <c r="AA108" s="11"/>
      <c r="AB108" s="22"/>
    </row>
    <row r="109" spans="1:43" x14ac:dyDescent="0.25">
      <c r="A109" s="8"/>
      <c r="B109" s="9"/>
      <c r="C109" s="8"/>
      <c r="D109" s="13"/>
      <c r="E109" s="10"/>
      <c r="F109" s="11"/>
      <c r="G109" s="8"/>
      <c r="H109" s="11"/>
      <c r="I109" s="11"/>
      <c r="J109" s="11"/>
      <c r="K109" s="11"/>
      <c r="L109" s="8"/>
      <c r="M109" s="2">
        <f>Table1[[#This Row],[Date Deviation Raised]]+7</f>
        <v>7</v>
      </c>
      <c r="N109" s="12"/>
      <c r="O109" s="1">
        <f>Table1[[#This Row],[Part 1 Completion Date]]-Table1[[#This Row],[Date Deviation Raised]]</f>
        <v>0</v>
      </c>
      <c r="P109" s="13"/>
      <c r="Q109" s="14"/>
      <c r="R109" s="9"/>
      <c r="S109" s="1">
        <f>Table1[[#This Row],[Investigation Closed]]-Table1[[#This Row],[Date Deviation Raised]]</f>
        <v>0</v>
      </c>
      <c r="T109" s="8"/>
      <c r="U109" s="8"/>
      <c r="V109" s="8"/>
      <c r="W109" s="8"/>
      <c r="X109" s="8"/>
      <c r="Y109" s="15"/>
      <c r="Z109" s="8"/>
      <c r="AA109" s="11"/>
      <c r="AB109" s="22"/>
    </row>
    <row r="110" spans="1:43" x14ac:dyDescent="0.25">
      <c r="A110" s="8"/>
      <c r="B110" s="9"/>
      <c r="C110" s="8"/>
      <c r="D110" s="13"/>
      <c r="E110" s="10"/>
      <c r="F110" s="11"/>
      <c r="G110" s="8"/>
      <c r="H110" s="11"/>
      <c r="I110" s="11"/>
      <c r="J110" s="11"/>
      <c r="K110" s="11"/>
      <c r="L110" s="8"/>
      <c r="M110" s="2">
        <f>Table1[[#This Row],[Date Deviation Raised]]+7</f>
        <v>7</v>
      </c>
      <c r="N110" s="12"/>
      <c r="O110" s="1">
        <f>Table1[[#This Row],[Part 1 Completion Date]]-Table1[[#This Row],[Date Deviation Raised]]</f>
        <v>0</v>
      </c>
      <c r="P110" s="13"/>
      <c r="Q110" s="14"/>
      <c r="R110" s="9"/>
      <c r="S110" s="1">
        <f>Table1[[#This Row],[Investigation Closed]]-Table1[[#This Row],[Date Deviation Raised]]</f>
        <v>0</v>
      </c>
      <c r="T110" s="8"/>
      <c r="U110" s="8"/>
      <c r="V110" s="8"/>
      <c r="W110" s="8"/>
      <c r="X110" s="8"/>
      <c r="Y110" s="15"/>
      <c r="Z110" s="8"/>
      <c r="AA110" s="11"/>
      <c r="AB110" s="22"/>
    </row>
    <row r="111" spans="1:43" x14ac:dyDescent="0.25">
      <c r="A111" s="8"/>
      <c r="B111" s="9"/>
      <c r="C111" s="8"/>
      <c r="D111" s="13"/>
      <c r="E111" s="10"/>
      <c r="F111" s="11"/>
      <c r="G111" s="8"/>
      <c r="H111" s="11"/>
      <c r="I111" s="11"/>
      <c r="J111" s="11"/>
      <c r="K111" s="11"/>
      <c r="L111" s="8"/>
      <c r="M111" s="2">
        <f>Table1[[#This Row],[Date Deviation Raised]]+7</f>
        <v>7</v>
      </c>
      <c r="N111" s="12"/>
      <c r="O111" s="1">
        <f>Table1[[#This Row],[Part 1 Completion Date]]-Table1[[#This Row],[Date Deviation Raised]]</f>
        <v>0</v>
      </c>
      <c r="P111" s="13"/>
      <c r="Q111" s="14"/>
      <c r="R111" s="9"/>
      <c r="S111" s="1">
        <f>Table1[[#This Row],[Investigation Closed]]-Table1[[#This Row],[Date Deviation Raised]]</f>
        <v>0</v>
      </c>
      <c r="T111" s="8"/>
      <c r="U111" s="8"/>
      <c r="V111" s="8"/>
      <c r="W111" s="8"/>
      <c r="X111" s="8"/>
      <c r="Y111" s="15"/>
      <c r="Z111" s="8"/>
      <c r="AA111" s="11"/>
      <c r="AB111" s="22"/>
    </row>
    <row r="112" spans="1:43" x14ac:dyDescent="0.25">
      <c r="A112" s="8"/>
      <c r="B112" s="9"/>
      <c r="C112" s="8"/>
      <c r="D112" s="13"/>
      <c r="E112" s="10"/>
      <c r="F112" s="11"/>
      <c r="G112" s="8"/>
      <c r="H112" s="11"/>
      <c r="I112" s="11"/>
      <c r="J112" s="11"/>
      <c r="K112" s="11"/>
      <c r="L112" s="8"/>
      <c r="M112" s="2">
        <f>Table1[[#This Row],[Date Deviation Raised]]+7</f>
        <v>7</v>
      </c>
      <c r="N112" s="12"/>
      <c r="O112" s="1">
        <f>Table1[[#This Row],[Part 1 Completion Date]]-Table1[[#This Row],[Date Deviation Raised]]</f>
        <v>0</v>
      </c>
      <c r="P112" s="13"/>
      <c r="Q112" s="14"/>
      <c r="R112" s="9"/>
      <c r="S112" s="1">
        <f>Table1[[#This Row],[Investigation Closed]]-Table1[[#This Row],[Date Deviation Raised]]</f>
        <v>0</v>
      </c>
      <c r="T112" s="8"/>
      <c r="U112" s="8"/>
      <c r="V112" s="8"/>
      <c r="W112" s="8"/>
      <c r="X112" s="8"/>
      <c r="Y112" s="15"/>
      <c r="Z112" s="8"/>
      <c r="AA112" s="11"/>
      <c r="AB112" s="22"/>
    </row>
    <row r="113" spans="1:28" x14ac:dyDescent="0.25">
      <c r="A113" s="8"/>
      <c r="B113" s="9"/>
      <c r="C113" s="8"/>
      <c r="D113" s="13"/>
      <c r="E113" s="10"/>
      <c r="F113" s="11"/>
      <c r="G113" s="8"/>
      <c r="H113" s="11"/>
      <c r="I113" s="11"/>
      <c r="J113" s="11"/>
      <c r="K113" s="11"/>
      <c r="L113" s="8"/>
      <c r="M113" s="2">
        <f>Table1[[#This Row],[Date Deviation Raised]]+7</f>
        <v>7</v>
      </c>
      <c r="N113" s="12"/>
      <c r="O113" s="1">
        <f>Table1[[#This Row],[Part 1 Completion Date]]-Table1[[#This Row],[Date Deviation Raised]]</f>
        <v>0</v>
      </c>
      <c r="P113" s="13"/>
      <c r="Q113" s="14"/>
      <c r="R113" s="9"/>
      <c r="S113" s="1">
        <f>Table1[[#This Row],[Investigation Closed]]-Table1[[#This Row],[Date Deviation Raised]]</f>
        <v>0</v>
      </c>
      <c r="T113" s="8"/>
      <c r="U113" s="8"/>
      <c r="V113" s="8"/>
      <c r="W113" s="8"/>
      <c r="X113" s="8"/>
      <c r="Y113" s="15"/>
      <c r="Z113" s="8"/>
      <c r="AA113" s="11"/>
      <c r="AB113" s="22"/>
    </row>
    <row r="114" spans="1:28" x14ac:dyDescent="0.25">
      <c r="A114" s="8"/>
      <c r="B114" s="9"/>
      <c r="C114" s="8"/>
      <c r="D114" s="13"/>
      <c r="E114" s="10"/>
      <c r="F114" s="11"/>
      <c r="G114" s="8"/>
      <c r="H114" s="11"/>
      <c r="I114" s="11"/>
      <c r="J114" s="11"/>
      <c r="K114" s="11"/>
      <c r="L114" s="8"/>
      <c r="M114" s="2">
        <f>Table1[[#This Row],[Date Deviation Raised]]+7</f>
        <v>7</v>
      </c>
      <c r="N114" s="12"/>
      <c r="O114" s="1">
        <f>Table1[[#This Row],[Part 1 Completion Date]]-Table1[[#This Row],[Date Deviation Raised]]</f>
        <v>0</v>
      </c>
      <c r="P114" s="13"/>
      <c r="Q114" s="14"/>
      <c r="R114" s="9"/>
      <c r="S114" s="1">
        <f>Table1[[#This Row],[Investigation Closed]]-Table1[[#This Row],[Date Deviation Raised]]</f>
        <v>0</v>
      </c>
      <c r="T114" s="8"/>
      <c r="U114" s="8"/>
      <c r="V114" s="8"/>
      <c r="W114" s="8"/>
      <c r="X114" s="8"/>
      <c r="Y114" s="15"/>
      <c r="Z114" s="8"/>
      <c r="AA114" s="11"/>
      <c r="AB114" s="22"/>
    </row>
    <row r="115" spans="1:28" x14ac:dyDescent="0.25">
      <c r="A115" s="8"/>
      <c r="B115" s="9"/>
      <c r="C115" s="8"/>
      <c r="D115" s="13"/>
      <c r="E115" s="10"/>
      <c r="F115" s="11"/>
      <c r="G115" s="8"/>
      <c r="H115" s="11"/>
      <c r="I115" s="11"/>
      <c r="J115" s="11"/>
      <c r="K115" s="11"/>
      <c r="L115" s="8"/>
      <c r="M115" s="2">
        <f>Table1[[#This Row],[Date Deviation Raised]]+7</f>
        <v>7</v>
      </c>
      <c r="N115" s="12"/>
      <c r="O115" s="1">
        <f>Table1[[#This Row],[Part 1 Completion Date]]-Table1[[#This Row],[Date Deviation Raised]]</f>
        <v>0</v>
      </c>
      <c r="P115" s="13"/>
      <c r="Q115" s="14"/>
      <c r="R115" s="9"/>
      <c r="S115" s="1">
        <f>Table1[[#This Row],[Investigation Closed]]-Table1[[#This Row],[Date Deviation Raised]]</f>
        <v>0</v>
      </c>
      <c r="T115" s="8"/>
      <c r="U115" s="8"/>
      <c r="V115" s="8"/>
      <c r="W115" s="8"/>
      <c r="X115" s="8"/>
      <c r="Y115" s="15"/>
      <c r="Z115" s="8"/>
      <c r="AA115" s="11"/>
      <c r="AB115" s="22"/>
    </row>
    <row r="116" spans="1:28" x14ac:dyDescent="0.25">
      <c r="A116" s="8"/>
      <c r="B116" s="9"/>
      <c r="C116" s="8"/>
      <c r="D116" s="13"/>
      <c r="E116" s="10"/>
      <c r="F116" s="11"/>
      <c r="G116" s="8"/>
      <c r="H116" s="11"/>
      <c r="I116" s="11"/>
      <c r="J116" s="11"/>
      <c r="K116" s="11"/>
      <c r="L116" s="8"/>
      <c r="M116" s="2">
        <f>Table1[[#This Row],[Date Deviation Raised]]+7</f>
        <v>7</v>
      </c>
      <c r="N116" s="12"/>
      <c r="O116" s="1">
        <f>Table1[[#This Row],[Part 1 Completion Date]]-Table1[[#This Row],[Date Deviation Raised]]</f>
        <v>0</v>
      </c>
      <c r="P116" s="13"/>
      <c r="Q116" s="14"/>
      <c r="R116" s="9"/>
      <c r="S116" s="1">
        <f>Table1[[#This Row],[Investigation Closed]]-Table1[[#This Row],[Date Deviation Raised]]</f>
        <v>0</v>
      </c>
      <c r="T116" s="8"/>
      <c r="U116" s="8"/>
      <c r="V116" s="8"/>
      <c r="W116" s="8"/>
      <c r="X116" s="8"/>
      <c r="Y116" s="15"/>
      <c r="Z116" s="8"/>
      <c r="AA116" s="11"/>
      <c r="AB116" s="22"/>
    </row>
    <row r="117" spans="1:28" x14ac:dyDescent="0.25">
      <c r="A117" s="8"/>
      <c r="B117" s="9"/>
      <c r="C117" s="8"/>
      <c r="D117" s="13"/>
      <c r="E117" s="10"/>
      <c r="F117" s="11"/>
      <c r="G117" s="8"/>
      <c r="H117" s="11"/>
      <c r="I117" s="11"/>
      <c r="J117" s="11"/>
      <c r="K117" s="11"/>
      <c r="L117" s="8"/>
      <c r="M117" s="2">
        <f>Table1[[#This Row],[Date Deviation Raised]]+7</f>
        <v>7</v>
      </c>
      <c r="N117" s="12"/>
      <c r="O117" s="1">
        <f>Table1[[#This Row],[Part 1 Completion Date]]-Table1[[#This Row],[Date Deviation Raised]]</f>
        <v>0</v>
      </c>
      <c r="P117" s="13"/>
      <c r="Q117" s="14"/>
      <c r="R117" s="9"/>
      <c r="S117" s="1">
        <f>Table1[[#This Row],[Investigation Closed]]-Table1[[#This Row],[Date Deviation Raised]]</f>
        <v>0</v>
      </c>
      <c r="T117" s="8"/>
      <c r="U117" s="8"/>
      <c r="V117" s="8"/>
      <c r="W117" s="8"/>
      <c r="X117" s="8"/>
      <c r="Y117" s="15"/>
      <c r="Z117" s="8"/>
      <c r="AA117" s="11"/>
      <c r="AB117" s="22"/>
    </row>
    <row r="118" spans="1:28" x14ac:dyDescent="0.25">
      <c r="A118" s="8"/>
      <c r="B118" s="9"/>
      <c r="C118" s="8"/>
      <c r="D118" s="13"/>
      <c r="E118" s="10"/>
      <c r="F118" s="11"/>
      <c r="G118" s="8"/>
      <c r="H118" s="11"/>
      <c r="I118" s="11"/>
      <c r="J118" s="11"/>
      <c r="K118" s="11"/>
      <c r="L118" s="8"/>
      <c r="M118" s="2">
        <f>Table1[[#This Row],[Date Deviation Raised]]+7</f>
        <v>7</v>
      </c>
      <c r="N118" s="12"/>
      <c r="O118" s="1">
        <f>Table1[[#This Row],[Part 1 Completion Date]]-Table1[[#This Row],[Date Deviation Raised]]</f>
        <v>0</v>
      </c>
      <c r="P118" s="13"/>
      <c r="Q118" s="14"/>
      <c r="R118" s="9"/>
      <c r="S118" s="1">
        <f>Table1[[#This Row],[Investigation Closed]]-Table1[[#This Row],[Date Deviation Raised]]</f>
        <v>0</v>
      </c>
      <c r="T118" s="8"/>
      <c r="U118" s="8"/>
      <c r="V118" s="8"/>
      <c r="W118" s="8"/>
      <c r="X118" s="8"/>
      <c r="Y118" s="15"/>
      <c r="Z118" s="8"/>
      <c r="AA118" s="11"/>
      <c r="AB118" s="22"/>
    </row>
    <row r="119" spans="1:28" x14ac:dyDescent="0.25">
      <c r="A119" s="8"/>
      <c r="B119" s="9"/>
      <c r="C119" s="8"/>
      <c r="D119" s="13"/>
      <c r="E119" s="10"/>
      <c r="F119" s="11"/>
      <c r="G119" s="8"/>
      <c r="H119" s="11"/>
      <c r="I119" s="11"/>
      <c r="J119" s="11"/>
      <c r="K119" s="11"/>
      <c r="L119" s="8"/>
      <c r="M119" s="2">
        <f>Table1[[#This Row],[Date Deviation Raised]]+7</f>
        <v>7</v>
      </c>
      <c r="N119" s="12"/>
      <c r="O119" s="1">
        <f>Table1[[#This Row],[Part 1 Completion Date]]-Table1[[#This Row],[Date Deviation Raised]]</f>
        <v>0</v>
      </c>
      <c r="P119" s="13"/>
      <c r="Q119" s="14"/>
      <c r="R119" s="9"/>
      <c r="S119" s="1">
        <f>Table1[[#This Row],[Investigation Closed]]-Table1[[#This Row],[Date Deviation Raised]]</f>
        <v>0</v>
      </c>
      <c r="T119" s="8"/>
      <c r="U119" s="8"/>
      <c r="V119" s="8"/>
      <c r="W119" s="8"/>
      <c r="X119" s="8"/>
      <c r="Y119" s="15"/>
      <c r="Z119" s="8"/>
      <c r="AA119" s="11"/>
      <c r="AB119" s="22"/>
    </row>
    <row r="120" spans="1:28" x14ac:dyDescent="0.25">
      <c r="A120" s="8"/>
      <c r="B120" s="9"/>
      <c r="C120" s="8"/>
      <c r="D120" s="13"/>
      <c r="E120" s="10"/>
      <c r="F120" s="11"/>
      <c r="G120" s="8"/>
      <c r="H120" s="11"/>
      <c r="I120" s="11"/>
      <c r="J120" s="11"/>
      <c r="K120" s="11"/>
      <c r="L120" s="8"/>
      <c r="M120" s="2">
        <f>Table1[[#This Row],[Date Deviation Raised]]+7</f>
        <v>7</v>
      </c>
      <c r="N120" s="12"/>
      <c r="O120" s="1">
        <f>Table1[[#This Row],[Part 1 Completion Date]]-Table1[[#This Row],[Date Deviation Raised]]</f>
        <v>0</v>
      </c>
      <c r="P120" s="13"/>
      <c r="Q120" s="14"/>
      <c r="R120" s="9"/>
      <c r="S120" s="1">
        <f>Table1[[#This Row],[Investigation Closed]]-Table1[[#This Row],[Date Deviation Raised]]</f>
        <v>0</v>
      </c>
      <c r="T120" s="8"/>
      <c r="U120" s="8"/>
      <c r="V120" s="8"/>
      <c r="W120" s="8"/>
      <c r="X120" s="8"/>
      <c r="Y120" s="15"/>
      <c r="Z120" s="8"/>
      <c r="AA120" s="11"/>
      <c r="AB120" s="22"/>
    </row>
    <row r="121" spans="1:28" x14ac:dyDescent="0.25">
      <c r="A121" s="8"/>
      <c r="B121" s="9"/>
      <c r="C121" s="8"/>
      <c r="D121" s="13"/>
      <c r="E121" s="10"/>
      <c r="F121" s="11"/>
      <c r="G121" s="8"/>
      <c r="H121" s="11"/>
      <c r="I121" s="11"/>
      <c r="J121" s="11"/>
      <c r="K121" s="11"/>
      <c r="L121" s="8"/>
      <c r="M121" s="2">
        <f>Table1[[#This Row],[Date Deviation Raised]]+7</f>
        <v>7</v>
      </c>
      <c r="N121" s="12"/>
      <c r="O121" s="1">
        <f>Table1[[#This Row],[Part 1 Completion Date]]-Table1[[#This Row],[Date Deviation Raised]]</f>
        <v>0</v>
      </c>
      <c r="P121" s="13"/>
      <c r="Q121" s="14"/>
      <c r="R121" s="9"/>
      <c r="S121" s="1">
        <f>Table1[[#This Row],[Investigation Closed]]-Table1[[#This Row],[Date Deviation Raised]]</f>
        <v>0</v>
      </c>
      <c r="T121" s="8"/>
      <c r="U121" s="8"/>
      <c r="V121" s="8"/>
      <c r="W121" s="8"/>
      <c r="X121" s="8"/>
      <c r="Y121" s="15"/>
      <c r="Z121" s="8"/>
      <c r="AA121" s="11"/>
      <c r="AB121" s="22"/>
    </row>
    <row r="122" spans="1:28" x14ac:dyDescent="0.25">
      <c r="A122" s="8"/>
      <c r="B122" s="9"/>
      <c r="C122" s="8"/>
      <c r="D122" s="13"/>
      <c r="E122" s="10"/>
      <c r="F122" s="11"/>
      <c r="G122" s="8"/>
      <c r="H122" s="11"/>
      <c r="I122" s="11"/>
      <c r="J122" s="11"/>
      <c r="K122" s="11"/>
      <c r="L122" s="8"/>
      <c r="M122" s="2">
        <f>Table1[[#This Row],[Date Deviation Raised]]+7</f>
        <v>7</v>
      </c>
      <c r="N122" s="12"/>
      <c r="O122" s="1">
        <f>Table1[[#This Row],[Part 1 Completion Date]]-Table1[[#This Row],[Date Deviation Raised]]</f>
        <v>0</v>
      </c>
      <c r="P122" s="13"/>
      <c r="Q122" s="14"/>
      <c r="R122" s="9"/>
      <c r="S122" s="1">
        <f>Table1[[#This Row],[Investigation Closed]]-Table1[[#This Row],[Date Deviation Raised]]</f>
        <v>0</v>
      </c>
      <c r="T122" s="8"/>
      <c r="U122" s="8"/>
      <c r="V122" s="8"/>
      <c r="W122" s="8"/>
      <c r="X122" s="8"/>
      <c r="Y122" s="15"/>
      <c r="Z122" s="8"/>
      <c r="AA122" s="11"/>
      <c r="AB122" s="22"/>
    </row>
    <row r="123" spans="1:28" x14ac:dyDescent="0.25">
      <c r="A123" s="8"/>
      <c r="B123" s="9"/>
      <c r="C123" s="8"/>
      <c r="D123" s="13"/>
      <c r="E123" s="10"/>
      <c r="F123" s="11"/>
      <c r="G123" s="8"/>
      <c r="H123" s="11"/>
      <c r="I123" s="11"/>
      <c r="J123" s="11"/>
      <c r="K123" s="11"/>
      <c r="L123" s="8"/>
      <c r="M123" s="2">
        <f>Table1[[#This Row],[Date Deviation Raised]]+7</f>
        <v>7</v>
      </c>
      <c r="N123" s="12"/>
      <c r="O123" s="1">
        <f>Table1[[#This Row],[Part 1 Completion Date]]-Table1[[#This Row],[Date Deviation Raised]]</f>
        <v>0</v>
      </c>
      <c r="P123" s="13"/>
      <c r="Q123" s="14"/>
      <c r="R123" s="9"/>
      <c r="S123" s="1">
        <f>Table1[[#This Row],[Investigation Closed]]-Table1[[#This Row],[Date Deviation Raised]]</f>
        <v>0</v>
      </c>
      <c r="T123" s="8"/>
      <c r="U123" s="8"/>
      <c r="V123" s="8"/>
      <c r="W123" s="8"/>
      <c r="X123" s="8"/>
      <c r="Y123" s="15"/>
      <c r="Z123" s="8"/>
      <c r="AA123" s="11"/>
      <c r="AB123" s="22"/>
    </row>
    <row r="124" spans="1:28" x14ac:dyDescent="0.25">
      <c r="A124" s="8"/>
      <c r="B124" s="9"/>
      <c r="C124" s="8"/>
      <c r="D124" s="13"/>
      <c r="E124" s="10"/>
      <c r="F124" s="11"/>
      <c r="G124" s="8"/>
      <c r="H124" s="11"/>
      <c r="I124" s="11"/>
      <c r="J124" s="11"/>
      <c r="K124" s="11"/>
      <c r="L124" s="8"/>
      <c r="M124" s="2">
        <f>Table1[[#This Row],[Date Deviation Raised]]+7</f>
        <v>7</v>
      </c>
      <c r="N124" s="12"/>
      <c r="O124" s="1">
        <f>Table1[[#This Row],[Part 1 Completion Date]]-Table1[[#This Row],[Date Deviation Raised]]</f>
        <v>0</v>
      </c>
      <c r="P124" s="13"/>
      <c r="Q124" s="14"/>
      <c r="R124" s="9"/>
      <c r="S124" s="1">
        <f>Table1[[#This Row],[Investigation Closed]]-Table1[[#This Row],[Date Deviation Raised]]</f>
        <v>0</v>
      </c>
      <c r="T124" s="8"/>
      <c r="U124" s="8"/>
      <c r="V124" s="8"/>
      <c r="W124" s="8"/>
      <c r="X124" s="8"/>
      <c r="Y124" s="15"/>
      <c r="Z124" s="8"/>
      <c r="AA124" s="11"/>
      <c r="AB124" s="22"/>
    </row>
    <row r="125" spans="1:28" x14ac:dyDescent="0.25">
      <c r="A125" s="8"/>
      <c r="B125" s="9"/>
      <c r="C125" s="8"/>
      <c r="D125" s="13"/>
      <c r="E125" s="10"/>
      <c r="F125" s="11"/>
      <c r="G125" s="8"/>
      <c r="H125" s="11"/>
      <c r="I125" s="11"/>
      <c r="J125" s="11"/>
      <c r="K125" s="11"/>
      <c r="L125" s="8"/>
      <c r="M125" s="2">
        <f>Table1[[#This Row],[Date Deviation Raised]]+7</f>
        <v>7</v>
      </c>
      <c r="N125" s="12"/>
      <c r="O125" s="1">
        <f>Table1[[#This Row],[Part 1 Completion Date]]-Table1[[#This Row],[Date Deviation Raised]]</f>
        <v>0</v>
      </c>
      <c r="P125" s="13"/>
      <c r="Q125" s="14"/>
      <c r="R125" s="9"/>
      <c r="S125" s="1">
        <f>Table1[[#This Row],[Investigation Closed]]-Table1[[#This Row],[Date Deviation Raised]]</f>
        <v>0</v>
      </c>
      <c r="T125" s="8"/>
      <c r="U125" s="8"/>
      <c r="V125" s="8"/>
      <c r="W125" s="8"/>
      <c r="X125" s="8"/>
      <c r="Y125" s="15"/>
      <c r="Z125" s="8"/>
      <c r="AA125" s="11"/>
      <c r="AB125" s="22"/>
    </row>
    <row r="126" spans="1:28" x14ac:dyDescent="0.25">
      <c r="A126" s="8"/>
      <c r="B126" s="9"/>
      <c r="C126" s="8"/>
      <c r="D126" s="13"/>
      <c r="E126" s="10"/>
      <c r="F126" s="11"/>
      <c r="G126" s="8"/>
      <c r="H126" s="11"/>
      <c r="I126" s="11"/>
      <c r="J126" s="11"/>
      <c r="K126" s="11"/>
      <c r="L126" s="8"/>
      <c r="M126" s="2">
        <f>Table1[[#This Row],[Date Deviation Raised]]+7</f>
        <v>7</v>
      </c>
      <c r="N126" s="12"/>
      <c r="O126" s="1">
        <f>Table1[[#This Row],[Part 1 Completion Date]]-Table1[[#This Row],[Date Deviation Raised]]</f>
        <v>0</v>
      </c>
      <c r="P126" s="13"/>
      <c r="Q126" s="14"/>
      <c r="R126" s="9"/>
      <c r="S126" s="1">
        <f>Table1[[#This Row],[Investigation Closed]]-Table1[[#This Row],[Date Deviation Raised]]</f>
        <v>0</v>
      </c>
      <c r="T126" s="8"/>
      <c r="U126" s="8"/>
      <c r="V126" s="8"/>
      <c r="W126" s="15"/>
      <c r="X126" s="15"/>
      <c r="Y126" s="15"/>
      <c r="Z126" s="8"/>
      <c r="AA126" s="11"/>
      <c r="AB126" s="22"/>
    </row>
    <row r="127" spans="1:28" x14ac:dyDescent="0.25">
      <c r="A127" s="8"/>
      <c r="B127" s="9"/>
      <c r="C127" s="8"/>
      <c r="D127" s="13"/>
      <c r="E127" s="10"/>
      <c r="F127" s="11"/>
      <c r="G127" s="8"/>
      <c r="H127" s="11"/>
      <c r="I127" s="11"/>
      <c r="J127" s="11"/>
      <c r="K127" s="11"/>
      <c r="L127" s="8"/>
      <c r="M127" s="2">
        <f>Table1[[#This Row],[Date Deviation Raised]]+7</f>
        <v>7</v>
      </c>
      <c r="N127" s="12"/>
      <c r="O127" s="1">
        <f>Table1[[#This Row],[Part 1 Completion Date]]-Table1[[#This Row],[Date Deviation Raised]]</f>
        <v>0</v>
      </c>
      <c r="P127" s="13"/>
      <c r="Q127" s="14"/>
      <c r="R127" s="9"/>
      <c r="S127" s="1">
        <f>Table1[[#This Row],[Investigation Closed]]-Table1[[#This Row],[Date Deviation Raised]]</f>
        <v>0</v>
      </c>
      <c r="T127" s="8"/>
      <c r="U127" s="8"/>
      <c r="V127" s="8"/>
      <c r="W127" s="15"/>
      <c r="X127" s="15"/>
      <c r="Y127" s="15"/>
      <c r="Z127" s="8"/>
      <c r="AA127" s="11"/>
      <c r="AB127" s="22"/>
    </row>
    <row r="128" spans="1:28" x14ac:dyDescent="0.25">
      <c r="A128" s="8"/>
      <c r="B128" s="9"/>
      <c r="C128" s="8"/>
      <c r="D128" s="13"/>
      <c r="E128" s="10"/>
      <c r="F128" s="11"/>
      <c r="G128" s="8"/>
      <c r="H128" s="11"/>
      <c r="I128" s="11"/>
      <c r="J128" s="11"/>
      <c r="K128" s="11"/>
      <c r="L128" s="8"/>
      <c r="M128" s="2">
        <f>Table1[[#This Row],[Date Deviation Raised]]+7</f>
        <v>7</v>
      </c>
      <c r="N128" s="12"/>
      <c r="O128" s="1">
        <f>Table1[[#This Row],[Part 1 Completion Date]]-Table1[[#This Row],[Date Deviation Raised]]</f>
        <v>0</v>
      </c>
      <c r="P128" s="13"/>
      <c r="Q128" s="14"/>
      <c r="R128" s="9"/>
      <c r="S128" s="1">
        <f>Table1[[#This Row],[Investigation Closed]]-Table1[[#This Row],[Date Deviation Raised]]</f>
        <v>0</v>
      </c>
      <c r="T128" s="8"/>
      <c r="U128" s="8"/>
      <c r="V128" s="8"/>
      <c r="W128" s="15"/>
      <c r="X128" s="15"/>
      <c r="Y128" s="15"/>
      <c r="Z128" s="8"/>
      <c r="AA128" s="11"/>
      <c r="AB128" s="22"/>
    </row>
    <row r="129" spans="1:28" x14ac:dyDescent="0.25">
      <c r="A129" s="8"/>
      <c r="B129" s="9"/>
      <c r="C129" s="8"/>
      <c r="D129" s="13"/>
      <c r="E129" s="10"/>
      <c r="F129" s="11"/>
      <c r="G129" s="8"/>
      <c r="H129" s="11"/>
      <c r="I129" s="11"/>
      <c r="J129" s="11"/>
      <c r="K129" s="11"/>
      <c r="L129" s="8"/>
      <c r="M129" s="2">
        <f>Table1[[#This Row],[Date Deviation Raised]]+7</f>
        <v>7</v>
      </c>
      <c r="N129" s="12"/>
      <c r="O129" s="1">
        <f>Table1[[#This Row],[Part 1 Completion Date]]-Table1[[#This Row],[Date Deviation Raised]]</f>
        <v>0</v>
      </c>
      <c r="P129" s="13"/>
      <c r="Q129" s="14"/>
      <c r="R129" s="9"/>
      <c r="S129" s="1">
        <f>Table1[[#This Row],[Investigation Closed]]-Table1[[#This Row],[Date Deviation Raised]]</f>
        <v>0</v>
      </c>
      <c r="T129" s="8"/>
      <c r="U129" s="8"/>
      <c r="V129" s="8"/>
      <c r="W129" s="15"/>
      <c r="X129" s="15"/>
      <c r="Y129" s="15"/>
      <c r="Z129" s="8"/>
      <c r="AA129" s="11"/>
      <c r="AB129" s="22"/>
    </row>
    <row r="130" spans="1:28" x14ac:dyDescent="0.25">
      <c r="A130" s="8"/>
      <c r="B130" s="9"/>
      <c r="C130" s="8"/>
      <c r="D130" s="13"/>
      <c r="E130" s="10"/>
      <c r="F130" s="11"/>
      <c r="G130" s="8"/>
      <c r="H130" s="11"/>
      <c r="I130" s="11"/>
      <c r="J130" s="11"/>
      <c r="K130" s="11"/>
      <c r="L130" s="8"/>
      <c r="M130" s="2">
        <f>Table1[[#This Row],[Date Deviation Raised]]+7</f>
        <v>7</v>
      </c>
      <c r="N130" s="12"/>
      <c r="O130" s="1">
        <f>Table1[[#This Row],[Part 1 Completion Date]]-Table1[[#This Row],[Date Deviation Raised]]</f>
        <v>0</v>
      </c>
      <c r="P130" s="13"/>
      <c r="Q130" s="14"/>
      <c r="R130" s="9"/>
      <c r="S130" s="1">
        <f>Table1[[#This Row],[Investigation Closed]]-Table1[[#This Row],[Date Deviation Raised]]</f>
        <v>0</v>
      </c>
      <c r="T130" s="8"/>
      <c r="U130" s="8"/>
      <c r="V130" s="8"/>
      <c r="W130" s="15"/>
      <c r="X130" s="15"/>
      <c r="Y130" s="15"/>
      <c r="Z130" s="8"/>
      <c r="AA130" s="11"/>
      <c r="AB130" s="22"/>
    </row>
    <row r="131" spans="1:28" x14ac:dyDescent="0.25">
      <c r="A131" s="8"/>
      <c r="B131" s="9"/>
      <c r="C131" s="8"/>
      <c r="D131" s="13"/>
      <c r="E131" s="10"/>
      <c r="F131" s="11"/>
      <c r="G131" s="8"/>
      <c r="H131" s="11"/>
      <c r="I131" s="11"/>
      <c r="J131" s="11"/>
      <c r="K131" s="11"/>
      <c r="L131" s="8"/>
      <c r="M131" s="2">
        <f>Table1[[#This Row],[Date Deviation Raised]]+7</f>
        <v>7</v>
      </c>
      <c r="N131" s="12"/>
      <c r="O131" s="1">
        <f>Table1[[#This Row],[Part 1 Completion Date]]-Table1[[#This Row],[Date Deviation Raised]]</f>
        <v>0</v>
      </c>
      <c r="P131" s="13"/>
      <c r="Q131" s="14"/>
      <c r="R131" s="9"/>
      <c r="S131" s="1">
        <f>Table1[[#This Row],[Investigation Closed]]-Table1[[#This Row],[Date Deviation Raised]]</f>
        <v>0</v>
      </c>
      <c r="T131" s="8"/>
      <c r="U131" s="8"/>
      <c r="V131" s="8"/>
      <c r="W131" s="15"/>
      <c r="X131" s="15"/>
      <c r="Y131" s="15"/>
      <c r="Z131" s="8"/>
      <c r="AA131" s="11"/>
      <c r="AB131" s="22"/>
    </row>
    <row r="132" spans="1:28" x14ac:dyDescent="0.25">
      <c r="A132" s="8"/>
      <c r="B132" s="9"/>
      <c r="C132" s="8"/>
      <c r="D132" s="13"/>
      <c r="E132" s="10"/>
      <c r="F132" s="11"/>
      <c r="G132" s="8"/>
      <c r="H132" s="11"/>
      <c r="I132" s="11"/>
      <c r="J132" s="11"/>
      <c r="K132" s="11"/>
      <c r="L132" s="8"/>
      <c r="M132" s="2">
        <f>Table1[[#This Row],[Date Deviation Raised]]+7</f>
        <v>7</v>
      </c>
      <c r="N132" s="12"/>
      <c r="O132" s="1">
        <f>Table1[[#This Row],[Part 1 Completion Date]]-Table1[[#This Row],[Date Deviation Raised]]</f>
        <v>0</v>
      </c>
      <c r="P132" s="13"/>
      <c r="Q132" s="14"/>
      <c r="R132" s="9"/>
      <c r="S132" s="1">
        <f>Table1[[#This Row],[Investigation Closed]]-Table1[[#This Row],[Date Deviation Raised]]</f>
        <v>0</v>
      </c>
      <c r="T132" s="8"/>
      <c r="U132" s="8"/>
      <c r="V132" s="8"/>
      <c r="W132" s="15"/>
      <c r="X132" s="15"/>
      <c r="Y132" s="15"/>
      <c r="Z132" s="8"/>
      <c r="AA132" s="11"/>
      <c r="AB132" s="22"/>
    </row>
    <row r="133" spans="1:28" x14ac:dyDescent="0.25">
      <c r="A133" s="8"/>
      <c r="B133" s="9"/>
      <c r="C133" s="8"/>
      <c r="D133" s="13"/>
      <c r="E133" s="10"/>
      <c r="F133" s="11"/>
      <c r="G133" s="8"/>
      <c r="H133" s="11"/>
      <c r="I133" s="11"/>
      <c r="J133" s="11"/>
      <c r="K133" s="11"/>
      <c r="L133" s="8"/>
      <c r="M133" s="2">
        <f>Table1[[#This Row],[Date Deviation Raised]]+7</f>
        <v>7</v>
      </c>
      <c r="N133" s="12"/>
      <c r="O133" s="1">
        <f>Table1[[#This Row],[Part 1 Completion Date]]-Table1[[#This Row],[Date Deviation Raised]]</f>
        <v>0</v>
      </c>
      <c r="P133" s="13"/>
      <c r="Q133" s="14"/>
      <c r="R133" s="9"/>
      <c r="S133" s="1">
        <f>Table1[[#This Row],[Investigation Closed]]-Table1[[#This Row],[Date Deviation Raised]]</f>
        <v>0</v>
      </c>
      <c r="T133" s="8"/>
      <c r="U133" s="8"/>
      <c r="V133" s="8"/>
      <c r="W133" s="15"/>
      <c r="X133" s="15"/>
      <c r="Y133" s="15"/>
      <c r="Z133" s="8"/>
      <c r="AA133" s="11"/>
      <c r="AB133" s="22"/>
    </row>
    <row r="134" spans="1:28" x14ac:dyDescent="0.25">
      <c r="A134" s="8"/>
      <c r="B134" s="9"/>
      <c r="C134" s="8"/>
      <c r="D134" s="13"/>
      <c r="E134" s="10"/>
      <c r="F134" s="11"/>
      <c r="G134" s="8"/>
      <c r="H134" s="11"/>
      <c r="I134" s="11"/>
      <c r="J134" s="11"/>
      <c r="K134" s="11"/>
      <c r="L134" s="8"/>
      <c r="M134" s="2">
        <f>Table1[[#This Row],[Date Deviation Raised]]+7</f>
        <v>7</v>
      </c>
      <c r="N134" s="12"/>
      <c r="O134" s="1">
        <f>Table1[[#This Row],[Part 1 Completion Date]]-Table1[[#This Row],[Date Deviation Raised]]</f>
        <v>0</v>
      </c>
      <c r="P134" s="13"/>
      <c r="Q134" s="14"/>
      <c r="R134" s="9"/>
      <c r="S134" s="1">
        <f>Table1[[#This Row],[Investigation Closed]]-Table1[[#This Row],[Date Deviation Raised]]</f>
        <v>0</v>
      </c>
      <c r="T134" s="8"/>
      <c r="U134" s="8"/>
      <c r="V134" s="8"/>
      <c r="W134" s="15"/>
      <c r="X134" s="15"/>
      <c r="Y134" s="15"/>
      <c r="Z134" s="8"/>
      <c r="AA134" s="11"/>
      <c r="AB134" s="22"/>
    </row>
    <row r="135" spans="1:28" x14ac:dyDescent="0.25">
      <c r="A135" s="8"/>
      <c r="B135" s="9"/>
      <c r="C135" s="8"/>
      <c r="D135" s="13"/>
      <c r="E135" s="10"/>
      <c r="F135" s="11"/>
      <c r="G135" s="8"/>
      <c r="H135" s="11"/>
      <c r="I135" s="11"/>
      <c r="J135" s="11"/>
      <c r="K135" s="11"/>
      <c r="L135" s="8"/>
      <c r="M135" s="2">
        <f>Table1[[#This Row],[Date Deviation Raised]]+7</f>
        <v>7</v>
      </c>
      <c r="N135" s="12"/>
      <c r="O135" s="1">
        <f>Table1[[#This Row],[Part 1 Completion Date]]-Table1[[#This Row],[Date Deviation Raised]]</f>
        <v>0</v>
      </c>
      <c r="P135" s="13"/>
      <c r="Q135" s="14"/>
      <c r="R135" s="9"/>
      <c r="S135" s="1">
        <f>Table1[[#This Row],[Investigation Closed]]-Table1[[#This Row],[Date Deviation Raised]]</f>
        <v>0</v>
      </c>
      <c r="T135" s="8"/>
      <c r="U135" s="8"/>
      <c r="V135" s="8"/>
      <c r="W135" s="15"/>
      <c r="X135" s="15"/>
      <c r="Y135" s="15"/>
      <c r="Z135" s="8"/>
      <c r="AA135" s="11"/>
      <c r="AB135" s="22"/>
    </row>
    <row r="136" spans="1:28" x14ac:dyDescent="0.25">
      <c r="A136" s="8"/>
      <c r="B136" s="9"/>
      <c r="C136" s="8"/>
      <c r="D136" s="13"/>
      <c r="E136" s="10"/>
      <c r="F136" s="11"/>
      <c r="G136" s="8"/>
      <c r="H136" s="11"/>
      <c r="I136" s="11"/>
      <c r="J136" s="11"/>
      <c r="K136" s="11"/>
      <c r="L136" s="8"/>
      <c r="M136" s="2">
        <f>Table1[[#This Row],[Date Deviation Raised]]+7</f>
        <v>7</v>
      </c>
      <c r="N136" s="12"/>
      <c r="O136" s="1">
        <f>Table1[[#This Row],[Part 1 Completion Date]]-Table1[[#This Row],[Date Deviation Raised]]</f>
        <v>0</v>
      </c>
      <c r="P136" s="13"/>
      <c r="Q136" s="14"/>
      <c r="R136" s="16"/>
      <c r="S136" s="1">
        <f>Table1[[#This Row],[Investigation Closed]]-Table1[[#This Row],[Date Deviation Raised]]</f>
        <v>0</v>
      </c>
      <c r="T136" s="8"/>
      <c r="U136" s="8"/>
      <c r="V136" s="8"/>
      <c r="W136" s="15"/>
      <c r="X136" s="15"/>
      <c r="Y136" s="17"/>
      <c r="Z136" s="8"/>
      <c r="AA136" s="11"/>
      <c r="AB136" s="22"/>
    </row>
    <row r="137" spans="1:28" x14ac:dyDescent="0.25">
      <c r="A137" s="8"/>
      <c r="B137" s="9"/>
      <c r="C137" s="8"/>
      <c r="D137" s="13"/>
      <c r="E137" s="10"/>
      <c r="F137" s="11"/>
      <c r="G137" s="8"/>
      <c r="H137" s="11"/>
      <c r="I137" s="11"/>
      <c r="J137" s="11"/>
      <c r="K137" s="11"/>
      <c r="L137" s="8"/>
      <c r="M137" s="2">
        <f>Table1[[#This Row],[Date Deviation Raised]]+7</f>
        <v>7</v>
      </c>
      <c r="N137" s="12"/>
      <c r="O137" s="1">
        <f>Table1[[#This Row],[Part 1 Completion Date]]-Table1[[#This Row],[Date Deviation Raised]]</f>
        <v>0</v>
      </c>
      <c r="P137" s="13"/>
      <c r="Q137" s="14"/>
      <c r="R137" s="16"/>
      <c r="S137" s="1">
        <f>Table1[[#This Row],[Investigation Closed]]-Table1[[#This Row],[Date Deviation Raised]]</f>
        <v>0</v>
      </c>
      <c r="T137" s="8"/>
      <c r="U137" s="8"/>
      <c r="V137" s="8"/>
      <c r="W137" s="15"/>
      <c r="X137" s="15"/>
      <c r="Y137" s="17"/>
      <c r="Z137" s="8"/>
      <c r="AA137" s="11"/>
      <c r="AB137" s="22"/>
    </row>
    <row r="138" spans="1:28" x14ac:dyDescent="0.25">
      <c r="A138" s="8"/>
      <c r="B138" s="9"/>
      <c r="C138" s="8"/>
      <c r="D138" s="13"/>
      <c r="E138" s="10"/>
      <c r="F138" s="11"/>
      <c r="G138" s="8"/>
      <c r="H138" s="11"/>
      <c r="I138" s="11"/>
      <c r="J138" s="11"/>
      <c r="K138" s="11"/>
      <c r="L138" s="8"/>
      <c r="M138" s="2">
        <f>Table1[[#This Row],[Date Deviation Raised]]+7</f>
        <v>7</v>
      </c>
      <c r="N138" s="12"/>
      <c r="O138" s="1">
        <f>Table1[[#This Row],[Part 1 Completion Date]]-Table1[[#This Row],[Date Deviation Raised]]</f>
        <v>0</v>
      </c>
      <c r="P138" s="13"/>
      <c r="Q138" s="14"/>
      <c r="R138" s="16"/>
      <c r="S138" s="1">
        <f>Table1[[#This Row],[Investigation Closed]]-Table1[[#This Row],[Date Deviation Raised]]</f>
        <v>0</v>
      </c>
      <c r="T138" s="8"/>
      <c r="U138" s="8"/>
      <c r="V138" s="8"/>
      <c r="W138" s="15"/>
      <c r="X138" s="15"/>
      <c r="Y138" s="17"/>
      <c r="Z138" s="8"/>
      <c r="AA138" s="11"/>
      <c r="AB138" s="22"/>
    </row>
    <row r="139" spans="1:28" x14ac:dyDescent="0.25">
      <c r="A139" s="8"/>
      <c r="B139" s="9"/>
      <c r="C139" s="8"/>
      <c r="D139" s="13"/>
      <c r="E139" s="10"/>
      <c r="F139" s="11"/>
      <c r="G139" s="8"/>
      <c r="H139" s="11"/>
      <c r="I139" s="11"/>
      <c r="J139" s="11"/>
      <c r="K139" s="11"/>
      <c r="L139" s="8"/>
      <c r="M139" s="2">
        <f>Table1[[#This Row],[Date Deviation Raised]]+7</f>
        <v>7</v>
      </c>
      <c r="N139" s="12"/>
      <c r="O139" s="1">
        <f>Table1[[#This Row],[Part 1 Completion Date]]-Table1[[#This Row],[Date Deviation Raised]]</f>
        <v>0</v>
      </c>
      <c r="P139" s="13"/>
      <c r="Q139" s="14"/>
      <c r="R139" s="16"/>
      <c r="S139" s="1">
        <f>Table1[[#This Row],[Investigation Closed]]-Table1[[#This Row],[Date Deviation Raised]]</f>
        <v>0</v>
      </c>
      <c r="T139" s="8"/>
      <c r="U139" s="8"/>
      <c r="V139" s="8"/>
      <c r="W139" s="15"/>
      <c r="X139" s="15"/>
      <c r="Y139" s="17"/>
      <c r="Z139" s="8"/>
      <c r="AA139" s="11"/>
      <c r="AB139" s="22"/>
    </row>
    <row r="140" spans="1:28" x14ac:dyDescent="0.25">
      <c r="A140" s="8"/>
      <c r="B140" s="9"/>
      <c r="C140" s="8"/>
      <c r="D140" s="13"/>
      <c r="E140" s="10"/>
      <c r="F140" s="11"/>
      <c r="G140" s="8"/>
      <c r="H140" s="11"/>
      <c r="I140" s="11"/>
      <c r="J140" s="11"/>
      <c r="K140" s="11"/>
      <c r="L140" s="8"/>
      <c r="M140" s="2">
        <f>Table1[[#This Row],[Date Deviation Raised]]+7</f>
        <v>7</v>
      </c>
      <c r="N140" s="12"/>
      <c r="O140" s="1">
        <f>Table1[[#This Row],[Part 1 Completion Date]]-Table1[[#This Row],[Date Deviation Raised]]</f>
        <v>0</v>
      </c>
      <c r="P140" s="13"/>
      <c r="Q140" s="14"/>
      <c r="R140" s="16"/>
      <c r="S140" s="1">
        <f>Table1[[#This Row],[Investigation Closed]]-Table1[[#This Row],[Date Deviation Raised]]</f>
        <v>0</v>
      </c>
      <c r="T140" s="8"/>
      <c r="U140" s="8"/>
      <c r="V140" s="8"/>
      <c r="W140" s="15"/>
      <c r="X140" s="15"/>
      <c r="Y140" s="17"/>
      <c r="Z140" s="8"/>
      <c r="AA140" s="11"/>
      <c r="AB140" s="22"/>
    </row>
    <row r="141" spans="1:28" x14ac:dyDescent="0.25">
      <c r="A141" s="8"/>
      <c r="B141" s="9"/>
      <c r="C141" s="8"/>
      <c r="D141" s="13"/>
      <c r="E141" s="10"/>
      <c r="F141" s="11"/>
      <c r="G141" s="8"/>
      <c r="H141" s="11"/>
      <c r="I141" s="11"/>
      <c r="J141" s="11"/>
      <c r="K141" s="11"/>
      <c r="L141" s="8"/>
      <c r="M141" s="2">
        <f>Table1[[#This Row],[Date Deviation Raised]]+7</f>
        <v>7</v>
      </c>
      <c r="N141" s="12"/>
      <c r="O141" s="1">
        <f>Table1[[#This Row],[Part 1 Completion Date]]-Table1[[#This Row],[Date Deviation Raised]]</f>
        <v>0</v>
      </c>
      <c r="P141" s="13"/>
      <c r="Q141" s="14"/>
      <c r="R141" s="16"/>
      <c r="S141" s="1">
        <f>Table1[[#This Row],[Investigation Closed]]-Table1[[#This Row],[Date Deviation Raised]]</f>
        <v>0</v>
      </c>
      <c r="T141" s="8"/>
      <c r="U141" s="8"/>
      <c r="V141" s="8"/>
      <c r="W141" s="15"/>
      <c r="X141" s="15"/>
      <c r="Y141" s="17"/>
      <c r="Z141" s="8"/>
      <c r="AA141" s="11"/>
      <c r="AB141" s="22"/>
    </row>
    <row r="142" spans="1:28" x14ac:dyDescent="0.25">
      <c r="A142" s="8"/>
      <c r="B142" s="9"/>
      <c r="C142" s="8"/>
      <c r="D142" s="13"/>
      <c r="E142" s="10"/>
      <c r="F142" s="11"/>
      <c r="G142" s="8"/>
      <c r="H142" s="11"/>
      <c r="I142" s="11"/>
      <c r="J142" s="11"/>
      <c r="K142" s="11"/>
      <c r="L142" s="8"/>
      <c r="M142" s="2">
        <f>Table1[[#This Row],[Date Deviation Raised]]+7</f>
        <v>7</v>
      </c>
      <c r="N142" s="12"/>
      <c r="O142" s="1">
        <f>Table1[[#This Row],[Part 1 Completion Date]]-Table1[[#This Row],[Date Deviation Raised]]</f>
        <v>0</v>
      </c>
      <c r="P142" s="13"/>
      <c r="Q142" s="14"/>
      <c r="R142" s="16"/>
      <c r="S142" s="1">
        <f>Table1[[#This Row],[Investigation Closed]]-Table1[[#This Row],[Date Deviation Raised]]</f>
        <v>0</v>
      </c>
      <c r="T142" s="8"/>
      <c r="U142" s="8"/>
      <c r="V142" s="8"/>
      <c r="W142" s="15"/>
      <c r="X142" s="15"/>
      <c r="Y142" s="17"/>
      <c r="Z142" s="8"/>
      <c r="AA142" s="11"/>
      <c r="AB142" s="22"/>
    </row>
    <row r="143" spans="1:28" x14ac:dyDescent="0.25">
      <c r="A143" s="8"/>
      <c r="B143" s="9"/>
      <c r="C143" s="8"/>
      <c r="D143" s="13"/>
      <c r="E143" s="10"/>
      <c r="F143" s="11"/>
      <c r="G143" s="8"/>
      <c r="H143" s="11"/>
      <c r="I143" s="11"/>
      <c r="J143" s="11"/>
      <c r="K143" s="11"/>
      <c r="L143" s="8"/>
      <c r="M143" s="2">
        <f>Table1[[#This Row],[Date Deviation Raised]]+7</f>
        <v>7</v>
      </c>
      <c r="N143" s="12"/>
      <c r="O143" s="1">
        <f>Table1[[#This Row],[Part 1 Completion Date]]-Table1[[#This Row],[Date Deviation Raised]]</f>
        <v>0</v>
      </c>
      <c r="P143" s="13"/>
      <c r="Q143" s="14"/>
      <c r="R143" s="16"/>
      <c r="S143" s="1">
        <f>Table1[[#This Row],[Investigation Closed]]-Table1[[#This Row],[Date Deviation Raised]]</f>
        <v>0</v>
      </c>
      <c r="T143" s="8"/>
      <c r="U143" s="8"/>
      <c r="V143" s="8"/>
      <c r="W143" s="15"/>
      <c r="X143" s="15"/>
      <c r="Y143" s="17"/>
      <c r="Z143" s="8"/>
      <c r="AA143" s="11"/>
      <c r="AB143" s="22"/>
    </row>
    <row r="144" spans="1:28" x14ac:dyDescent="0.25">
      <c r="A144" s="8"/>
      <c r="B144" s="9"/>
      <c r="C144" s="8"/>
      <c r="D144" s="13"/>
      <c r="E144" s="10"/>
      <c r="F144" s="11"/>
      <c r="G144" s="8"/>
      <c r="H144" s="11"/>
      <c r="I144" s="11"/>
      <c r="J144" s="11"/>
      <c r="K144" s="11"/>
      <c r="L144" s="8"/>
      <c r="M144" s="2">
        <f>Table1[[#This Row],[Date Deviation Raised]]+7</f>
        <v>7</v>
      </c>
      <c r="N144" s="12"/>
      <c r="O144" s="1">
        <f>Table1[[#This Row],[Part 1 Completion Date]]-Table1[[#This Row],[Date Deviation Raised]]</f>
        <v>0</v>
      </c>
      <c r="P144" s="13"/>
      <c r="Q144" s="14"/>
      <c r="R144" s="16"/>
      <c r="S144" s="1">
        <f>Table1[[#This Row],[Investigation Closed]]-Table1[[#This Row],[Date Deviation Raised]]</f>
        <v>0</v>
      </c>
      <c r="T144" s="8"/>
      <c r="U144" s="8"/>
      <c r="V144" s="8"/>
      <c r="W144" s="15"/>
      <c r="X144" s="15"/>
      <c r="Y144" s="17"/>
      <c r="Z144" s="8"/>
      <c r="AA144" s="11"/>
      <c r="AB144" s="22"/>
    </row>
    <row r="145" spans="1:28" x14ac:dyDescent="0.25">
      <c r="A145" s="8"/>
      <c r="B145" s="9"/>
      <c r="C145" s="8"/>
      <c r="D145" s="13"/>
      <c r="E145" s="10"/>
      <c r="F145" s="11"/>
      <c r="G145" s="8"/>
      <c r="H145" s="11"/>
      <c r="I145" s="11"/>
      <c r="J145" s="11"/>
      <c r="K145" s="11"/>
      <c r="L145" s="8"/>
      <c r="M145" s="2">
        <f>Table1[[#This Row],[Date Deviation Raised]]+7</f>
        <v>7</v>
      </c>
      <c r="N145" s="12"/>
      <c r="O145" s="1">
        <f>Table1[[#This Row],[Part 1 Completion Date]]-Table1[[#This Row],[Date Deviation Raised]]</f>
        <v>0</v>
      </c>
      <c r="P145" s="13"/>
      <c r="Q145" s="14"/>
      <c r="R145" s="16"/>
      <c r="S145" s="1">
        <f>Table1[[#This Row],[Investigation Closed]]-Table1[[#This Row],[Date Deviation Raised]]</f>
        <v>0</v>
      </c>
      <c r="T145" s="8"/>
      <c r="U145" s="8"/>
      <c r="V145" s="8"/>
      <c r="W145" s="15"/>
      <c r="X145" s="15"/>
      <c r="Y145" s="17"/>
      <c r="Z145" s="8"/>
      <c r="AA145" s="11"/>
      <c r="AB145" s="22"/>
    </row>
    <row r="146" spans="1:28" x14ac:dyDescent="0.25">
      <c r="A146" s="8"/>
      <c r="B146" s="9"/>
      <c r="C146" s="8"/>
      <c r="D146" s="13"/>
      <c r="E146" s="10"/>
      <c r="F146" s="11"/>
      <c r="G146" s="8"/>
      <c r="H146" s="11"/>
      <c r="I146" s="11"/>
      <c r="J146" s="11"/>
      <c r="K146" s="11"/>
      <c r="L146" s="8"/>
      <c r="M146" s="2">
        <f>Table1[[#This Row],[Date Deviation Raised]]+7</f>
        <v>7</v>
      </c>
      <c r="N146" s="12"/>
      <c r="O146" s="1">
        <f>Table1[[#This Row],[Part 1 Completion Date]]-Table1[[#This Row],[Date Deviation Raised]]</f>
        <v>0</v>
      </c>
      <c r="P146" s="13"/>
      <c r="Q146" s="14"/>
      <c r="R146" s="16"/>
      <c r="S146" s="1">
        <f>Table1[[#This Row],[Investigation Closed]]-Table1[[#This Row],[Date Deviation Raised]]</f>
        <v>0</v>
      </c>
      <c r="T146" s="8"/>
      <c r="U146" s="8"/>
      <c r="V146" s="8"/>
      <c r="W146" s="15"/>
      <c r="X146" s="15"/>
      <c r="Y146" s="17"/>
      <c r="Z146" s="8"/>
      <c r="AA146" s="11"/>
      <c r="AB146" s="22"/>
    </row>
    <row r="147" spans="1:28" x14ac:dyDescent="0.25">
      <c r="A147" s="8"/>
      <c r="B147" s="9"/>
      <c r="C147" s="8"/>
      <c r="D147" s="13"/>
      <c r="E147" s="10"/>
      <c r="F147" s="11"/>
      <c r="G147" s="8"/>
      <c r="H147" s="11"/>
      <c r="I147" s="11"/>
      <c r="J147" s="11"/>
      <c r="K147" s="11"/>
      <c r="L147" s="8"/>
      <c r="M147" s="2">
        <f>Table1[[#This Row],[Date Deviation Raised]]+7</f>
        <v>7</v>
      </c>
      <c r="N147" s="12"/>
      <c r="O147" s="1">
        <f>Table1[[#This Row],[Part 1 Completion Date]]-Table1[[#This Row],[Date Deviation Raised]]</f>
        <v>0</v>
      </c>
      <c r="P147" s="13"/>
      <c r="Q147" s="14"/>
      <c r="R147" s="16"/>
      <c r="S147" s="1">
        <f>Table1[[#This Row],[Investigation Closed]]-Table1[[#This Row],[Date Deviation Raised]]</f>
        <v>0</v>
      </c>
      <c r="T147" s="8"/>
      <c r="U147" s="8"/>
      <c r="V147" s="8"/>
      <c r="W147" s="15"/>
      <c r="X147" s="15"/>
      <c r="Y147" s="17"/>
      <c r="Z147" s="8"/>
      <c r="AA147" s="11"/>
      <c r="AB147" s="22"/>
    </row>
    <row r="148" spans="1:28" x14ac:dyDescent="0.25">
      <c r="A148" s="8"/>
      <c r="B148" s="9"/>
      <c r="C148" s="8"/>
      <c r="D148" s="13"/>
      <c r="E148" s="10"/>
      <c r="F148" s="11"/>
      <c r="G148" s="8"/>
      <c r="H148" s="11"/>
      <c r="I148" s="11"/>
      <c r="J148" s="11"/>
      <c r="K148" s="11"/>
      <c r="L148" s="8"/>
      <c r="M148" s="2">
        <f>Table1[[#This Row],[Date Deviation Raised]]+7</f>
        <v>7</v>
      </c>
      <c r="N148" s="12"/>
      <c r="O148" s="1">
        <f>Table1[[#This Row],[Part 1 Completion Date]]-Table1[[#This Row],[Date Deviation Raised]]</f>
        <v>0</v>
      </c>
      <c r="P148" s="13"/>
      <c r="Q148" s="14"/>
      <c r="R148" s="16"/>
      <c r="S148" s="1">
        <f>Table1[[#This Row],[Investigation Closed]]-Table1[[#This Row],[Date Deviation Raised]]</f>
        <v>0</v>
      </c>
      <c r="T148" s="8"/>
      <c r="U148" s="8"/>
      <c r="V148" s="8"/>
      <c r="W148" s="15"/>
      <c r="X148" s="15"/>
      <c r="Y148" s="17"/>
      <c r="Z148" s="8"/>
      <c r="AA148" s="11"/>
      <c r="AB148" s="22"/>
    </row>
    <row r="149" spans="1:28" x14ac:dyDescent="0.25">
      <c r="A149" s="8"/>
      <c r="B149" s="9"/>
      <c r="C149" s="8"/>
      <c r="D149" s="13"/>
      <c r="E149" s="10"/>
      <c r="F149" s="11"/>
      <c r="G149" s="8"/>
      <c r="H149" s="11"/>
      <c r="I149" s="11"/>
      <c r="J149" s="11"/>
      <c r="K149" s="11"/>
      <c r="L149" s="8"/>
      <c r="M149" s="2">
        <f>Table1[[#This Row],[Date Deviation Raised]]+7</f>
        <v>7</v>
      </c>
      <c r="N149" s="12"/>
      <c r="O149" s="1">
        <f>Table1[[#This Row],[Part 1 Completion Date]]-Table1[[#This Row],[Date Deviation Raised]]</f>
        <v>0</v>
      </c>
      <c r="P149" s="13"/>
      <c r="Q149" s="14"/>
      <c r="R149" s="16"/>
      <c r="S149" s="1">
        <f>Table1[[#This Row],[Investigation Closed]]-Table1[[#This Row],[Date Deviation Raised]]</f>
        <v>0</v>
      </c>
      <c r="T149" s="8"/>
      <c r="U149" s="8"/>
      <c r="V149" s="8"/>
      <c r="W149" s="15"/>
      <c r="X149" s="15"/>
      <c r="Y149" s="17"/>
      <c r="Z149" s="8"/>
      <c r="AA149" s="11"/>
      <c r="AB149" s="22"/>
    </row>
    <row r="150" spans="1:28" x14ac:dyDescent="0.25">
      <c r="A150" s="8"/>
      <c r="B150" s="9"/>
      <c r="C150" s="8"/>
      <c r="D150" s="13"/>
      <c r="E150" s="10"/>
      <c r="F150" s="11"/>
      <c r="G150" s="8"/>
      <c r="H150" s="11"/>
      <c r="I150" s="11"/>
      <c r="J150" s="11"/>
      <c r="K150" s="11"/>
      <c r="L150" s="8"/>
      <c r="M150" s="2">
        <f>Table1[[#This Row],[Date Deviation Raised]]+7</f>
        <v>7</v>
      </c>
      <c r="N150" s="12"/>
      <c r="O150" s="1">
        <f>Table1[[#This Row],[Part 1 Completion Date]]-Table1[[#This Row],[Date Deviation Raised]]</f>
        <v>0</v>
      </c>
      <c r="P150" s="13"/>
      <c r="Q150" s="14"/>
      <c r="R150" s="16"/>
      <c r="S150" s="1">
        <f>Table1[[#This Row],[Investigation Closed]]-Table1[[#This Row],[Date Deviation Raised]]</f>
        <v>0</v>
      </c>
      <c r="T150" s="8"/>
      <c r="U150" s="8"/>
      <c r="V150" s="8"/>
      <c r="W150" s="15"/>
      <c r="X150" s="15"/>
      <c r="Y150" s="17"/>
      <c r="Z150" s="8"/>
      <c r="AA150" s="11"/>
      <c r="AB150" s="22"/>
    </row>
    <row r="151" spans="1:28" x14ac:dyDescent="0.25">
      <c r="A151" s="8"/>
      <c r="B151" s="9"/>
      <c r="C151" s="8"/>
      <c r="D151" s="13"/>
      <c r="E151" s="10"/>
      <c r="F151" s="11"/>
      <c r="G151" s="8"/>
      <c r="H151" s="11"/>
      <c r="I151" s="11"/>
      <c r="J151" s="11"/>
      <c r="K151" s="11"/>
      <c r="L151" s="8"/>
      <c r="M151" s="2">
        <f>Table1[[#This Row],[Date Deviation Raised]]+7</f>
        <v>7</v>
      </c>
      <c r="N151" s="12"/>
      <c r="O151" s="1">
        <f>Table1[[#This Row],[Part 1 Completion Date]]-Table1[[#This Row],[Date Deviation Raised]]</f>
        <v>0</v>
      </c>
      <c r="P151" s="13"/>
      <c r="Q151" s="14"/>
      <c r="R151" s="16"/>
      <c r="S151" s="1">
        <f>Table1[[#This Row],[Investigation Closed]]-Table1[[#This Row],[Date Deviation Raised]]</f>
        <v>0</v>
      </c>
      <c r="T151" s="8"/>
      <c r="U151" s="8"/>
      <c r="V151" s="8"/>
      <c r="W151" s="15"/>
      <c r="X151" s="15"/>
      <c r="Y151" s="17"/>
      <c r="Z151" s="8"/>
      <c r="AA151" s="11"/>
      <c r="AB151" s="22"/>
    </row>
    <row r="152" spans="1:28" x14ac:dyDescent="0.25">
      <c r="A152" s="8"/>
      <c r="B152" s="9"/>
      <c r="C152" s="8"/>
      <c r="D152" s="13"/>
      <c r="E152" s="10"/>
      <c r="F152" s="11"/>
      <c r="G152" s="8"/>
      <c r="H152" s="11"/>
      <c r="I152" s="11"/>
      <c r="J152" s="11"/>
      <c r="K152" s="11"/>
      <c r="L152" s="8"/>
      <c r="M152" s="2">
        <f>Table1[[#This Row],[Date Deviation Raised]]+7</f>
        <v>7</v>
      </c>
      <c r="N152" s="12"/>
      <c r="O152" s="1">
        <f>Table1[[#This Row],[Part 1 Completion Date]]-Table1[[#This Row],[Date Deviation Raised]]</f>
        <v>0</v>
      </c>
      <c r="P152" s="13"/>
      <c r="Q152" s="14"/>
      <c r="R152" s="16"/>
      <c r="S152" s="1">
        <f>Table1[[#This Row],[Investigation Closed]]-Table1[[#This Row],[Date Deviation Raised]]</f>
        <v>0</v>
      </c>
      <c r="T152" s="8"/>
      <c r="U152" s="8"/>
      <c r="V152" s="8"/>
      <c r="W152" s="15"/>
      <c r="X152" s="15"/>
      <c r="Y152" s="17"/>
      <c r="Z152" s="8"/>
      <c r="AA152" s="11"/>
      <c r="AB152" s="22"/>
    </row>
    <row r="153" spans="1:28" x14ac:dyDescent="0.25">
      <c r="A153" s="8"/>
      <c r="B153" s="9"/>
      <c r="C153" s="8"/>
      <c r="D153" s="13"/>
      <c r="E153" s="10"/>
      <c r="F153" s="11"/>
      <c r="G153" s="8"/>
      <c r="H153" s="11"/>
      <c r="I153" s="11"/>
      <c r="J153" s="11"/>
      <c r="K153" s="11"/>
      <c r="L153" s="8"/>
      <c r="M153" s="2">
        <f>Table1[[#This Row],[Date Deviation Raised]]+7</f>
        <v>7</v>
      </c>
      <c r="N153" s="12"/>
      <c r="O153" s="1">
        <f>Table1[[#This Row],[Part 1 Completion Date]]-Table1[[#This Row],[Date Deviation Raised]]</f>
        <v>0</v>
      </c>
      <c r="P153" s="13"/>
      <c r="Q153" s="14"/>
      <c r="R153" s="16"/>
      <c r="S153" s="1">
        <f>Table1[[#This Row],[Investigation Closed]]-Table1[[#This Row],[Date Deviation Raised]]</f>
        <v>0</v>
      </c>
      <c r="T153" s="8"/>
      <c r="U153" s="8"/>
      <c r="V153" s="8"/>
      <c r="W153" s="15"/>
      <c r="X153" s="15"/>
      <c r="Y153" s="17"/>
      <c r="Z153" s="8"/>
      <c r="AA153" s="11"/>
      <c r="AB153" s="22"/>
    </row>
    <row r="154" spans="1:28" x14ac:dyDescent="0.25">
      <c r="A154" s="8"/>
      <c r="B154" s="9"/>
      <c r="C154" s="8"/>
      <c r="D154" s="13"/>
      <c r="E154" s="10"/>
      <c r="F154" s="11"/>
      <c r="G154" s="8"/>
      <c r="H154" s="11"/>
      <c r="I154" s="11"/>
      <c r="J154" s="11"/>
      <c r="K154" s="11"/>
      <c r="L154" s="8"/>
      <c r="M154" s="2">
        <f>Table1[[#This Row],[Date Deviation Raised]]+7</f>
        <v>7</v>
      </c>
      <c r="N154" s="12"/>
      <c r="O154" s="1">
        <f>Table1[[#This Row],[Part 1 Completion Date]]-Table1[[#This Row],[Date Deviation Raised]]</f>
        <v>0</v>
      </c>
      <c r="P154" s="13"/>
      <c r="Q154" s="14"/>
      <c r="R154" s="16"/>
      <c r="S154" s="1">
        <f>Table1[[#This Row],[Investigation Closed]]-Table1[[#This Row],[Date Deviation Raised]]</f>
        <v>0</v>
      </c>
      <c r="T154" s="8"/>
      <c r="U154" s="8"/>
      <c r="V154" s="8"/>
      <c r="W154" s="15"/>
      <c r="X154" s="15"/>
      <c r="Y154" s="17"/>
      <c r="Z154" s="8"/>
      <c r="AA154" s="11"/>
      <c r="AB154" s="22"/>
    </row>
    <row r="155" spans="1:28" x14ac:dyDescent="0.25">
      <c r="A155" s="8"/>
      <c r="B155" s="9"/>
      <c r="C155" s="8"/>
      <c r="D155" s="13"/>
      <c r="E155" s="10"/>
      <c r="F155" s="11"/>
      <c r="G155" s="8"/>
      <c r="H155" s="11"/>
      <c r="I155" s="11"/>
      <c r="J155" s="11"/>
      <c r="K155" s="11"/>
      <c r="L155" s="8"/>
      <c r="M155" s="2">
        <f>Table1[[#This Row],[Date Deviation Raised]]+7</f>
        <v>7</v>
      </c>
      <c r="N155" s="12"/>
      <c r="O155" s="1">
        <f>Table1[[#This Row],[Part 1 Completion Date]]-Table1[[#This Row],[Date Deviation Raised]]</f>
        <v>0</v>
      </c>
      <c r="P155" s="13"/>
      <c r="Q155" s="14"/>
      <c r="R155" s="16"/>
      <c r="S155" s="1">
        <f>Table1[[#This Row],[Investigation Closed]]-Table1[[#This Row],[Date Deviation Raised]]</f>
        <v>0</v>
      </c>
      <c r="T155" s="8"/>
      <c r="U155" s="8"/>
      <c r="V155" s="8"/>
      <c r="W155" s="15"/>
      <c r="X155" s="15"/>
      <c r="Y155" s="17"/>
      <c r="Z155" s="8"/>
      <c r="AA155" s="11"/>
      <c r="AB155" s="22"/>
    </row>
    <row r="156" spans="1:28" x14ac:dyDescent="0.25">
      <c r="A156" s="8"/>
      <c r="B156" s="9"/>
      <c r="C156" s="8"/>
      <c r="D156" s="13"/>
      <c r="E156" s="10"/>
      <c r="F156" s="11"/>
      <c r="G156" s="8"/>
      <c r="H156" s="11"/>
      <c r="I156" s="11"/>
      <c r="J156" s="11"/>
      <c r="K156" s="11"/>
      <c r="L156" s="8"/>
      <c r="M156" s="2">
        <f>Table1[[#This Row],[Date Deviation Raised]]+7</f>
        <v>7</v>
      </c>
      <c r="N156" s="12"/>
      <c r="O156" s="1">
        <f>Table1[[#This Row],[Part 1 Completion Date]]-Table1[[#This Row],[Date Deviation Raised]]</f>
        <v>0</v>
      </c>
      <c r="P156" s="13"/>
      <c r="Q156" s="14"/>
      <c r="R156" s="16"/>
      <c r="S156" s="1">
        <f>Table1[[#This Row],[Investigation Closed]]-Table1[[#This Row],[Date Deviation Raised]]</f>
        <v>0</v>
      </c>
      <c r="T156" s="8"/>
      <c r="U156" s="8"/>
      <c r="V156" s="8"/>
      <c r="W156" s="15"/>
      <c r="X156" s="15"/>
      <c r="Y156" s="17"/>
      <c r="Z156" s="8"/>
      <c r="AA156" s="11"/>
      <c r="AB156" s="22"/>
    </row>
    <row r="157" spans="1:28" x14ac:dyDescent="0.25">
      <c r="A157" s="8"/>
      <c r="B157" s="9"/>
      <c r="C157" s="8"/>
      <c r="D157" s="13"/>
      <c r="E157" s="10"/>
      <c r="F157" s="11"/>
      <c r="G157" s="8"/>
      <c r="H157" s="11"/>
      <c r="I157" s="11"/>
      <c r="J157" s="11"/>
      <c r="K157" s="11"/>
      <c r="L157" s="8"/>
      <c r="M157" s="2">
        <f>Table1[[#This Row],[Date Deviation Raised]]+7</f>
        <v>7</v>
      </c>
      <c r="N157" s="12"/>
      <c r="O157" s="1">
        <f>Table1[[#This Row],[Part 1 Completion Date]]-Table1[[#This Row],[Date Deviation Raised]]</f>
        <v>0</v>
      </c>
      <c r="P157" s="13"/>
      <c r="Q157" s="14"/>
      <c r="R157" s="16"/>
      <c r="S157" s="1">
        <f>Table1[[#This Row],[Investigation Closed]]-Table1[[#This Row],[Date Deviation Raised]]</f>
        <v>0</v>
      </c>
      <c r="T157" s="8"/>
      <c r="U157" s="8"/>
      <c r="V157" s="8"/>
      <c r="W157" s="15"/>
      <c r="X157" s="15"/>
      <c r="Y157" s="17"/>
      <c r="Z157" s="8"/>
      <c r="AA157" s="11"/>
      <c r="AB157" s="22"/>
    </row>
    <row r="158" spans="1:28" x14ac:dyDescent="0.25">
      <c r="A158" s="8"/>
      <c r="B158" s="9"/>
      <c r="C158" s="8"/>
      <c r="D158" s="13"/>
      <c r="E158" s="10"/>
      <c r="F158" s="11"/>
      <c r="G158" s="8"/>
      <c r="H158" s="11"/>
      <c r="I158" s="11"/>
      <c r="J158" s="11"/>
      <c r="K158" s="11"/>
      <c r="L158" s="8"/>
      <c r="M158" s="2">
        <f>Table1[[#This Row],[Date Deviation Raised]]+7</f>
        <v>7</v>
      </c>
      <c r="N158" s="12"/>
      <c r="O158" s="1">
        <f>Table1[[#This Row],[Part 1 Completion Date]]-Table1[[#This Row],[Date Deviation Raised]]</f>
        <v>0</v>
      </c>
      <c r="P158" s="13"/>
      <c r="Q158" s="14"/>
      <c r="R158" s="16"/>
      <c r="S158" s="1">
        <f>Table1[[#This Row],[Investigation Closed]]-Table1[[#This Row],[Date Deviation Raised]]</f>
        <v>0</v>
      </c>
      <c r="T158" s="8"/>
      <c r="U158" s="8"/>
      <c r="V158" s="8"/>
      <c r="W158" s="15"/>
      <c r="X158" s="15"/>
      <c r="Y158" s="17"/>
      <c r="Z158" s="8"/>
      <c r="AA158" s="11"/>
      <c r="AB158" s="22"/>
    </row>
    <row r="159" spans="1:28" x14ac:dyDescent="0.25">
      <c r="A159" s="8"/>
      <c r="B159" s="9"/>
      <c r="C159" s="8"/>
      <c r="D159" s="13"/>
      <c r="E159" s="10"/>
      <c r="F159" s="11"/>
      <c r="G159" s="8"/>
      <c r="H159" s="11"/>
      <c r="I159" s="11"/>
      <c r="J159" s="11"/>
      <c r="K159" s="11"/>
      <c r="L159" s="8"/>
      <c r="M159" s="2">
        <f>Table1[[#This Row],[Date Deviation Raised]]+7</f>
        <v>7</v>
      </c>
      <c r="N159" s="12"/>
      <c r="O159" s="1">
        <f>Table1[[#This Row],[Part 1 Completion Date]]-Table1[[#This Row],[Date Deviation Raised]]</f>
        <v>0</v>
      </c>
      <c r="P159" s="13"/>
      <c r="Q159" s="14"/>
      <c r="R159" s="16"/>
      <c r="S159" s="1">
        <f>Table1[[#This Row],[Investigation Closed]]-Table1[[#This Row],[Date Deviation Raised]]</f>
        <v>0</v>
      </c>
      <c r="T159" s="8"/>
      <c r="U159" s="8"/>
      <c r="V159" s="8"/>
      <c r="W159" s="15"/>
      <c r="X159" s="15"/>
      <c r="Y159" s="17"/>
      <c r="Z159" s="8"/>
      <c r="AA159" s="11"/>
      <c r="AB159" s="22"/>
    </row>
    <row r="160" spans="1:28" x14ac:dyDescent="0.25">
      <c r="A160" s="8"/>
      <c r="B160" s="9"/>
      <c r="C160" s="8"/>
      <c r="D160" s="13"/>
      <c r="E160" s="10"/>
      <c r="F160" s="11"/>
      <c r="G160" s="8"/>
      <c r="H160" s="11"/>
      <c r="I160" s="11"/>
      <c r="J160" s="11"/>
      <c r="K160" s="11"/>
      <c r="L160" s="8"/>
      <c r="M160" s="2">
        <f>Table1[[#This Row],[Date Deviation Raised]]+7</f>
        <v>7</v>
      </c>
      <c r="N160" s="12"/>
      <c r="O160" s="1">
        <f>Table1[[#This Row],[Part 1 Completion Date]]-Table1[[#This Row],[Date Deviation Raised]]</f>
        <v>0</v>
      </c>
      <c r="P160" s="13"/>
      <c r="Q160" s="14"/>
      <c r="R160" s="16"/>
      <c r="S160" s="1">
        <f>Table1[[#This Row],[Investigation Closed]]-Table1[[#This Row],[Date Deviation Raised]]</f>
        <v>0</v>
      </c>
      <c r="T160" s="8"/>
      <c r="U160" s="8"/>
      <c r="V160" s="8"/>
      <c r="W160" s="15"/>
      <c r="X160" s="15"/>
      <c r="Y160" s="17"/>
      <c r="Z160" s="8"/>
      <c r="AA160" s="11"/>
      <c r="AB160" s="22"/>
    </row>
    <row r="161" spans="1:28" x14ac:dyDescent="0.25">
      <c r="A161" s="8"/>
      <c r="B161" s="9"/>
      <c r="C161" s="8"/>
      <c r="D161" s="13"/>
      <c r="E161" s="10"/>
      <c r="F161" s="11"/>
      <c r="G161" s="8"/>
      <c r="H161" s="11"/>
      <c r="I161" s="11"/>
      <c r="J161" s="11"/>
      <c r="K161" s="11"/>
      <c r="L161" s="8"/>
      <c r="M161" s="2">
        <f>Table1[[#This Row],[Date Deviation Raised]]+7</f>
        <v>7</v>
      </c>
      <c r="N161" s="12"/>
      <c r="O161" s="1">
        <f>Table1[[#This Row],[Part 1 Completion Date]]-Table1[[#This Row],[Date Deviation Raised]]</f>
        <v>0</v>
      </c>
      <c r="P161" s="13"/>
      <c r="Q161" s="14"/>
      <c r="R161" s="16"/>
      <c r="S161" s="1">
        <f>Table1[[#This Row],[Investigation Closed]]-Table1[[#This Row],[Date Deviation Raised]]</f>
        <v>0</v>
      </c>
      <c r="T161" s="8"/>
      <c r="U161" s="8"/>
      <c r="V161" s="8"/>
      <c r="W161" s="15"/>
      <c r="X161" s="15"/>
      <c r="Y161" s="17"/>
      <c r="Z161" s="8"/>
      <c r="AA161" s="11"/>
      <c r="AB161" s="22"/>
    </row>
    <row r="162" spans="1:28" x14ac:dyDescent="0.25">
      <c r="A162" s="8"/>
      <c r="B162" s="9"/>
      <c r="C162" s="8"/>
      <c r="D162" s="13"/>
      <c r="E162" s="10"/>
      <c r="F162" s="11"/>
      <c r="G162" s="8"/>
      <c r="H162" s="11"/>
      <c r="I162" s="11"/>
      <c r="J162" s="11"/>
      <c r="K162" s="11"/>
      <c r="L162" s="8"/>
      <c r="M162" s="2">
        <f>Table1[[#This Row],[Date Deviation Raised]]+7</f>
        <v>7</v>
      </c>
      <c r="N162" s="12"/>
      <c r="O162" s="1">
        <f>Table1[[#This Row],[Part 1 Completion Date]]-Table1[[#This Row],[Date Deviation Raised]]</f>
        <v>0</v>
      </c>
      <c r="P162" s="13"/>
      <c r="Q162" s="14"/>
      <c r="R162" s="16"/>
      <c r="S162" s="1">
        <f>Table1[[#This Row],[Investigation Closed]]-Table1[[#This Row],[Date Deviation Raised]]</f>
        <v>0</v>
      </c>
      <c r="T162" s="8"/>
      <c r="U162" s="8"/>
      <c r="V162" s="8"/>
      <c r="W162" s="15"/>
      <c r="X162" s="15"/>
      <c r="Y162" s="17"/>
      <c r="Z162" s="8"/>
      <c r="AA162" s="11"/>
      <c r="AB162" s="22"/>
    </row>
    <row r="163" spans="1:28" x14ac:dyDescent="0.25">
      <c r="A163" s="8"/>
      <c r="B163" s="9"/>
      <c r="C163" s="8"/>
      <c r="D163" s="13"/>
      <c r="E163" s="10"/>
      <c r="F163" s="11"/>
      <c r="G163" s="8"/>
      <c r="H163" s="11"/>
      <c r="I163" s="11"/>
      <c r="J163" s="11"/>
      <c r="K163" s="11"/>
      <c r="L163" s="8"/>
      <c r="M163" s="2">
        <f>Table1[[#This Row],[Date Deviation Raised]]+7</f>
        <v>7</v>
      </c>
      <c r="N163" s="12"/>
      <c r="O163" s="1">
        <f>Table1[[#This Row],[Part 1 Completion Date]]-Table1[[#This Row],[Date Deviation Raised]]</f>
        <v>0</v>
      </c>
      <c r="P163" s="13"/>
      <c r="Q163" s="14"/>
      <c r="R163" s="16"/>
      <c r="S163" s="1">
        <f>Table1[[#This Row],[Investigation Closed]]-Table1[[#This Row],[Date Deviation Raised]]</f>
        <v>0</v>
      </c>
      <c r="T163" s="8"/>
      <c r="U163" s="8"/>
      <c r="V163" s="8"/>
      <c r="W163" s="15"/>
      <c r="X163" s="15"/>
      <c r="Y163" s="17"/>
      <c r="Z163" s="8"/>
      <c r="AA163" s="11"/>
      <c r="AB163" s="22"/>
    </row>
    <row r="164" spans="1:28" x14ac:dyDescent="0.25">
      <c r="A164" s="8"/>
      <c r="B164" s="9"/>
      <c r="C164" s="8"/>
      <c r="D164" s="13"/>
      <c r="E164" s="10"/>
      <c r="F164" s="11"/>
      <c r="G164" s="8"/>
      <c r="H164" s="11"/>
      <c r="I164" s="11"/>
      <c r="J164" s="11"/>
      <c r="K164" s="11"/>
      <c r="L164" s="8"/>
      <c r="M164" s="2">
        <f>Table1[[#This Row],[Date Deviation Raised]]+7</f>
        <v>7</v>
      </c>
      <c r="N164" s="12"/>
      <c r="O164" s="1">
        <f>Table1[[#This Row],[Part 1 Completion Date]]-Table1[[#This Row],[Date Deviation Raised]]</f>
        <v>0</v>
      </c>
      <c r="P164" s="13"/>
      <c r="Q164" s="14"/>
      <c r="R164" s="16"/>
      <c r="S164" s="1">
        <f>Table1[[#This Row],[Investigation Closed]]-Table1[[#This Row],[Date Deviation Raised]]</f>
        <v>0</v>
      </c>
      <c r="T164" s="8"/>
      <c r="U164" s="8"/>
      <c r="V164" s="8"/>
      <c r="W164" s="15"/>
      <c r="X164" s="15"/>
      <c r="Y164" s="17"/>
      <c r="Z164" s="8"/>
      <c r="AA164" s="11"/>
      <c r="AB164" s="22"/>
    </row>
    <row r="165" spans="1:28" x14ac:dyDescent="0.25">
      <c r="A165" s="8"/>
      <c r="B165" s="9"/>
      <c r="C165" s="8"/>
      <c r="D165" s="13"/>
      <c r="E165" s="10"/>
      <c r="F165" s="11"/>
      <c r="G165" s="8"/>
      <c r="H165" s="11"/>
      <c r="I165" s="11"/>
      <c r="J165" s="11"/>
      <c r="K165" s="11"/>
      <c r="L165" s="8"/>
      <c r="M165" s="2">
        <f>Table1[[#This Row],[Date Deviation Raised]]+7</f>
        <v>7</v>
      </c>
      <c r="N165" s="12"/>
      <c r="O165" s="1">
        <f>Table1[[#This Row],[Part 1 Completion Date]]-Table1[[#This Row],[Date Deviation Raised]]</f>
        <v>0</v>
      </c>
      <c r="P165" s="13"/>
      <c r="Q165" s="14"/>
      <c r="R165" s="16"/>
      <c r="S165" s="1">
        <f>Table1[[#This Row],[Investigation Closed]]-Table1[[#This Row],[Date Deviation Raised]]</f>
        <v>0</v>
      </c>
      <c r="T165" s="8"/>
      <c r="U165" s="8"/>
      <c r="V165" s="8"/>
      <c r="W165" s="15"/>
      <c r="X165" s="15"/>
      <c r="Y165" s="17"/>
      <c r="Z165" s="8"/>
      <c r="AA165" s="11"/>
      <c r="AB165" s="22"/>
    </row>
    <row r="166" spans="1:28" x14ac:dyDescent="0.25">
      <c r="A166" s="8"/>
      <c r="B166" s="9"/>
      <c r="C166" s="8"/>
      <c r="D166" s="13"/>
      <c r="E166" s="10"/>
      <c r="F166" s="11"/>
      <c r="G166" s="8"/>
      <c r="H166" s="11"/>
      <c r="I166" s="11"/>
      <c r="J166" s="11"/>
      <c r="K166" s="11"/>
      <c r="L166" s="8"/>
      <c r="M166" s="2">
        <f>Table1[[#This Row],[Date Deviation Raised]]+7</f>
        <v>7</v>
      </c>
      <c r="N166" s="12"/>
      <c r="O166" s="1">
        <f>Table1[[#This Row],[Part 1 Completion Date]]-Table1[[#This Row],[Date Deviation Raised]]</f>
        <v>0</v>
      </c>
      <c r="P166" s="13"/>
      <c r="Q166" s="14"/>
      <c r="R166" s="16"/>
      <c r="S166" s="1">
        <f>Table1[[#This Row],[Investigation Closed]]-Table1[[#This Row],[Date Deviation Raised]]</f>
        <v>0</v>
      </c>
      <c r="T166" s="8"/>
      <c r="U166" s="8"/>
      <c r="V166" s="8"/>
      <c r="W166" s="15"/>
      <c r="X166" s="15"/>
      <c r="Y166" s="17"/>
      <c r="Z166" s="8"/>
      <c r="AA166" s="11"/>
      <c r="AB166" s="22"/>
    </row>
    <row r="167" spans="1:28" x14ac:dyDescent="0.25">
      <c r="A167" s="8"/>
      <c r="B167" s="9"/>
      <c r="C167" s="8"/>
      <c r="D167" s="13"/>
      <c r="E167" s="10"/>
      <c r="F167" s="11"/>
      <c r="G167" s="8"/>
      <c r="H167" s="11"/>
      <c r="I167" s="11"/>
      <c r="J167" s="11"/>
      <c r="K167" s="11"/>
      <c r="L167" s="8"/>
      <c r="M167" s="2">
        <f>Table1[[#This Row],[Date Deviation Raised]]+7</f>
        <v>7</v>
      </c>
      <c r="N167" s="12"/>
      <c r="O167" s="1">
        <f>Table1[[#This Row],[Part 1 Completion Date]]-Table1[[#This Row],[Date Deviation Raised]]</f>
        <v>0</v>
      </c>
      <c r="P167" s="13"/>
      <c r="Q167" s="14"/>
      <c r="R167" s="16"/>
      <c r="S167" s="1">
        <f>Table1[[#This Row],[Investigation Closed]]-Table1[[#This Row],[Date Deviation Raised]]</f>
        <v>0</v>
      </c>
      <c r="T167" s="8"/>
      <c r="U167" s="8"/>
      <c r="V167" s="8"/>
      <c r="W167" s="15"/>
      <c r="X167" s="15"/>
      <c r="Y167" s="17"/>
      <c r="Z167" s="8"/>
      <c r="AA167" s="11"/>
      <c r="AB167" s="22"/>
    </row>
    <row r="168" spans="1:28" x14ac:dyDescent="0.25">
      <c r="A168" s="8"/>
      <c r="B168" s="9"/>
      <c r="C168" s="8"/>
      <c r="D168" s="13"/>
      <c r="E168" s="10"/>
      <c r="F168" s="11"/>
      <c r="G168" s="8"/>
      <c r="H168" s="11"/>
      <c r="I168" s="11"/>
      <c r="J168" s="11"/>
      <c r="K168" s="11"/>
      <c r="L168" s="8"/>
      <c r="M168" s="2">
        <f>Table1[[#This Row],[Date Deviation Raised]]+7</f>
        <v>7</v>
      </c>
      <c r="N168" s="12"/>
      <c r="O168" s="1">
        <f>Table1[[#This Row],[Part 1 Completion Date]]-Table1[[#This Row],[Date Deviation Raised]]</f>
        <v>0</v>
      </c>
      <c r="P168" s="13"/>
      <c r="Q168" s="14"/>
      <c r="R168" s="16"/>
      <c r="S168" s="1">
        <f>Table1[[#This Row],[Investigation Closed]]-Table1[[#This Row],[Date Deviation Raised]]</f>
        <v>0</v>
      </c>
      <c r="T168" s="8"/>
      <c r="U168" s="8"/>
      <c r="V168" s="8"/>
      <c r="W168" s="15"/>
      <c r="X168" s="15"/>
      <c r="Y168" s="17"/>
      <c r="Z168" s="8"/>
      <c r="AA168" s="11"/>
      <c r="AB168" s="22"/>
    </row>
    <row r="169" spans="1:28" x14ac:dyDescent="0.25">
      <c r="A169" s="8"/>
      <c r="B169" s="9"/>
      <c r="C169" s="8"/>
      <c r="D169" s="13"/>
      <c r="E169" s="10"/>
      <c r="F169" s="11"/>
      <c r="G169" s="8"/>
      <c r="H169" s="11"/>
      <c r="I169" s="11"/>
      <c r="J169" s="11"/>
      <c r="K169" s="11"/>
      <c r="L169" s="8"/>
      <c r="M169" s="2">
        <f>Table1[[#This Row],[Date Deviation Raised]]+7</f>
        <v>7</v>
      </c>
      <c r="N169" s="12"/>
      <c r="O169" s="1">
        <f>Table1[[#This Row],[Part 1 Completion Date]]-Table1[[#This Row],[Date Deviation Raised]]</f>
        <v>0</v>
      </c>
      <c r="P169" s="13"/>
      <c r="Q169" s="14"/>
      <c r="R169" s="16"/>
      <c r="S169" s="1">
        <f>Table1[[#This Row],[Investigation Closed]]-Table1[[#This Row],[Date Deviation Raised]]</f>
        <v>0</v>
      </c>
      <c r="T169" s="8"/>
      <c r="U169" s="8"/>
      <c r="V169" s="8"/>
      <c r="W169" s="15"/>
      <c r="X169" s="15"/>
      <c r="Y169" s="17"/>
      <c r="Z169" s="8"/>
      <c r="AA169" s="11"/>
      <c r="AB169" s="22"/>
    </row>
    <row r="170" spans="1:28" x14ac:dyDescent="0.25">
      <c r="A170" s="8"/>
      <c r="B170" s="9"/>
      <c r="C170" s="8"/>
      <c r="D170" s="13"/>
      <c r="E170" s="10"/>
      <c r="F170" s="11"/>
      <c r="G170" s="8"/>
      <c r="H170" s="11"/>
      <c r="I170" s="11"/>
      <c r="J170" s="11"/>
      <c r="K170" s="11"/>
      <c r="L170" s="8"/>
      <c r="M170" s="2">
        <f>Table1[[#This Row],[Date Deviation Raised]]+7</f>
        <v>7</v>
      </c>
      <c r="N170" s="12"/>
      <c r="O170" s="1">
        <f>Table1[[#This Row],[Part 1 Completion Date]]-Table1[[#This Row],[Date Deviation Raised]]</f>
        <v>0</v>
      </c>
      <c r="P170" s="13"/>
      <c r="Q170" s="14"/>
      <c r="R170" s="16"/>
      <c r="S170" s="1">
        <f>Table1[[#This Row],[Investigation Closed]]-Table1[[#This Row],[Date Deviation Raised]]</f>
        <v>0</v>
      </c>
      <c r="T170" s="8"/>
      <c r="U170" s="8"/>
      <c r="V170" s="8"/>
      <c r="W170" s="15"/>
      <c r="X170" s="15"/>
      <c r="Y170" s="17"/>
      <c r="Z170" s="8"/>
      <c r="AA170" s="11"/>
      <c r="AB170" s="22"/>
    </row>
    <row r="171" spans="1:28" x14ac:dyDescent="0.25">
      <c r="A171" s="8"/>
      <c r="B171" s="9"/>
      <c r="C171" s="8"/>
      <c r="D171" s="13"/>
      <c r="E171" s="10"/>
      <c r="F171" s="11"/>
      <c r="G171" s="8"/>
      <c r="H171" s="11"/>
      <c r="I171" s="11"/>
      <c r="J171" s="11"/>
      <c r="K171" s="11"/>
      <c r="L171" s="8"/>
      <c r="M171" s="2">
        <f>Table1[[#This Row],[Date Deviation Raised]]+7</f>
        <v>7</v>
      </c>
      <c r="N171" s="12"/>
      <c r="O171" s="1">
        <f>Table1[[#This Row],[Part 1 Completion Date]]-Table1[[#This Row],[Date Deviation Raised]]</f>
        <v>0</v>
      </c>
      <c r="P171" s="13"/>
      <c r="Q171" s="14"/>
      <c r="R171" s="16"/>
      <c r="S171" s="1">
        <f>Table1[[#This Row],[Investigation Closed]]-Table1[[#This Row],[Date Deviation Raised]]</f>
        <v>0</v>
      </c>
      <c r="T171" s="8"/>
      <c r="U171" s="8"/>
      <c r="V171" s="8"/>
      <c r="W171" s="15"/>
      <c r="X171" s="15"/>
      <c r="Y171" s="17"/>
      <c r="Z171" s="8"/>
      <c r="AA171" s="11"/>
      <c r="AB171" s="22"/>
    </row>
    <row r="172" spans="1:28" x14ac:dyDescent="0.25">
      <c r="A172" s="8"/>
      <c r="B172" s="9"/>
      <c r="C172" s="8"/>
      <c r="D172" s="13"/>
      <c r="E172" s="10"/>
      <c r="F172" s="11"/>
      <c r="G172" s="8"/>
      <c r="H172" s="11"/>
      <c r="I172" s="11"/>
      <c r="J172" s="11"/>
      <c r="K172" s="11"/>
      <c r="L172" s="8"/>
      <c r="M172" s="2">
        <f>Table1[[#This Row],[Date Deviation Raised]]+7</f>
        <v>7</v>
      </c>
      <c r="N172" s="12"/>
      <c r="O172" s="1">
        <f>Table1[[#This Row],[Part 1 Completion Date]]-Table1[[#This Row],[Date Deviation Raised]]</f>
        <v>0</v>
      </c>
      <c r="P172" s="13"/>
      <c r="Q172" s="14"/>
      <c r="R172" s="16"/>
      <c r="S172" s="1">
        <f>Table1[[#This Row],[Investigation Closed]]-Table1[[#This Row],[Date Deviation Raised]]</f>
        <v>0</v>
      </c>
      <c r="T172" s="8"/>
      <c r="U172" s="8"/>
      <c r="V172" s="8"/>
      <c r="W172" s="15"/>
      <c r="X172" s="15"/>
      <c r="Y172" s="17"/>
      <c r="Z172" s="8"/>
      <c r="AA172" s="11"/>
      <c r="AB172" s="22"/>
    </row>
    <row r="173" spans="1:28" x14ac:dyDescent="0.25">
      <c r="A173" s="8"/>
      <c r="B173" s="9"/>
      <c r="C173" s="8"/>
      <c r="D173" s="13"/>
      <c r="E173" s="10"/>
      <c r="F173" s="11"/>
      <c r="G173" s="8"/>
      <c r="H173" s="11"/>
      <c r="I173" s="11"/>
      <c r="J173" s="11"/>
      <c r="K173" s="11"/>
      <c r="L173" s="8"/>
      <c r="M173" s="2">
        <f>Table1[[#This Row],[Date Deviation Raised]]+7</f>
        <v>7</v>
      </c>
      <c r="N173" s="12"/>
      <c r="O173" s="1">
        <f>Table1[[#This Row],[Part 1 Completion Date]]-Table1[[#This Row],[Date Deviation Raised]]</f>
        <v>0</v>
      </c>
      <c r="P173" s="13"/>
      <c r="Q173" s="14"/>
      <c r="R173" s="16"/>
      <c r="S173" s="1">
        <f>Table1[[#This Row],[Investigation Closed]]-Table1[[#This Row],[Date Deviation Raised]]</f>
        <v>0</v>
      </c>
      <c r="T173" s="8"/>
      <c r="U173" s="8"/>
      <c r="V173" s="8"/>
      <c r="W173" s="15"/>
      <c r="X173" s="15"/>
      <c r="Y173" s="17"/>
      <c r="Z173" s="8"/>
      <c r="AA173" s="11"/>
      <c r="AB173" s="22"/>
    </row>
    <row r="174" spans="1:28" x14ac:dyDescent="0.25">
      <c r="A174" s="8"/>
      <c r="B174" s="9"/>
      <c r="C174" s="8"/>
      <c r="D174" s="13"/>
      <c r="E174" s="10"/>
      <c r="F174" s="11"/>
      <c r="G174" s="8"/>
      <c r="H174" s="11"/>
      <c r="I174" s="11"/>
      <c r="J174" s="11"/>
      <c r="K174" s="11"/>
      <c r="L174" s="8"/>
      <c r="M174" s="2">
        <f>Table1[[#This Row],[Date Deviation Raised]]+7</f>
        <v>7</v>
      </c>
      <c r="N174" s="12"/>
      <c r="O174" s="1">
        <f>Table1[[#This Row],[Part 1 Completion Date]]-Table1[[#This Row],[Date Deviation Raised]]</f>
        <v>0</v>
      </c>
      <c r="P174" s="13"/>
      <c r="Q174" s="14"/>
      <c r="R174" s="16"/>
      <c r="S174" s="1">
        <f>Table1[[#This Row],[Investigation Closed]]-Table1[[#This Row],[Date Deviation Raised]]</f>
        <v>0</v>
      </c>
      <c r="T174" s="8"/>
      <c r="U174" s="8"/>
      <c r="V174" s="8"/>
      <c r="W174" s="15"/>
      <c r="X174" s="15"/>
      <c r="Y174" s="17"/>
      <c r="Z174" s="8"/>
      <c r="AA174" s="11"/>
      <c r="AB174" s="22"/>
    </row>
    <row r="175" spans="1:28" x14ac:dyDescent="0.25">
      <c r="A175" s="8"/>
      <c r="B175" s="9"/>
      <c r="C175" s="8"/>
      <c r="D175" s="13"/>
      <c r="E175" s="10"/>
      <c r="F175" s="11"/>
      <c r="G175" s="8"/>
      <c r="H175" s="11"/>
      <c r="I175" s="11"/>
      <c r="J175" s="11"/>
      <c r="K175" s="11"/>
      <c r="L175" s="8"/>
      <c r="M175" s="2">
        <f>Table1[[#This Row],[Date Deviation Raised]]+7</f>
        <v>7</v>
      </c>
      <c r="N175" s="12"/>
      <c r="O175" s="1">
        <f>Table1[[#This Row],[Part 1 Completion Date]]-Table1[[#This Row],[Date Deviation Raised]]</f>
        <v>0</v>
      </c>
      <c r="P175" s="13"/>
      <c r="Q175" s="14"/>
      <c r="R175" s="16"/>
      <c r="S175" s="1">
        <f>Table1[[#This Row],[Investigation Closed]]-Table1[[#This Row],[Date Deviation Raised]]</f>
        <v>0</v>
      </c>
      <c r="T175" s="8"/>
      <c r="U175" s="8"/>
      <c r="V175" s="8"/>
      <c r="W175" s="15"/>
      <c r="X175" s="15"/>
      <c r="Y175" s="17"/>
      <c r="Z175" s="8"/>
      <c r="AA175" s="11"/>
      <c r="AB175" s="22"/>
    </row>
    <row r="176" spans="1:28" x14ac:dyDescent="0.25">
      <c r="A176" s="8"/>
      <c r="B176" s="9"/>
      <c r="C176" s="8"/>
      <c r="D176" s="13"/>
      <c r="E176" s="10"/>
      <c r="F176" s="11"/>
      <c r="G176" s="8"/>
      <c r="H176" s="11"/>
      <c r="I176" s="11"/>
      <c r="J176" s="11"/>
      <c r="K176" s="11"/>
      <c r="L176" s="8"/>
      <c r="M176" s="2">
        <f>Table1[[#This Row],[Date Deviation Raised]]+7</f>
        <v>7</v>
      </c>
      <c r="N176" s="12"/>
      <c r="O176" s="1">
        <f>Table1[[#This Row],[Part 1 Completion Date]]-Table1[[#This Row],[Date Deviation Raised]]</f>
        <v>0</v>
      </c>
      <c r="P176" s="13"/>
      <c r="Q176" s="14"/>
      <c r="R176" s="16"/>
      <c r="S176" s="1">
        <f>Table1[[#This Row],[Investigation Closed]]-Table1[[#This Row],[Date Deviation Raised]]</f>
        <v>0</v>
      </c>
      <c r="T176" s="8"/>
      <c r="U176" s="8"/>
      <c r="V176" s="8"/>
      <c r="W176" s="15"/>
      <c r="X176" s="15"/>
      <c r="Y176" s="17"/>
      <c r="Z176" s="8"/>
      <c r="AA176" s="11"/>
      <c r="AB176" s="22"/>
    </row>
    <row r="177" spans="1:28" x14ac:dyDescent="0.25">
      <c r="A177" s="8"/>
      <c r="B177" s="9"/>
      <c r="C177" s="8"/>
      <c r="D177" s="13"/>
      <c r="E177" s="10"/>
      <c r="F177" s="11"/>
      <c r="G177" s="8"/>
      <c r="H177" s="11"/>
      <c r="I177" s="11"/>
      <c r="J177" s="11"/>
      <c r="K177" s="11"/>
      <c r="L177" s="8"/>
      <c r="M177" s="2">
        <f>Table1[[#This Row],[Date Deviation Raised]]+7</f>
        <v>7</v>
      </c>
      <c r="N177" s="12"/>
      <c r="O177" s="1">
        <f>Table1[[#This Row],[Part 1 Completion Date]]-Table1[[#This Row],[Date Deviation Raised]]</f>
        <v>0</v>
      </c>
      <c r="P177" s="13"/>
      <c r="Q177" s="14"/>
      <c r="R177" s="16"/>
      <c r="S177" s="1">
        <f>Table1[[#This Row],[Investigation Closed]]-Table1[[#This Row],[Date Deviation Raised]]</f>
        <v>0</v>
      </c>
      <c r="T177" s="8"/>
      <c r="U177" s="8"/>
      <c r="V177" s="8"/>
      <c r="W177" s="15"/>
      <c r="X177" s="15"/>
      <c r="Y177" s="17"/>
      <c r="Z177" s="8"/>
      <c r="AA177" s="11"/>
      <c r="AB177" s="22"/>
    </row>
    <row r="178" spans="1:28" x14ac:dyDescent="0.25">
      <c r="A178" s="8"/>
      <c r="B178" s="9"/>
      <c r="C178" s="8"/>
      <c r="D178" s="13"/>
      <c r="E178" s="10"/>
      <c r="F178" s="11"/>
      <c r="G178" s="8"/>
      <c r="H178" s="11"/>
      <c r="I178" s="11"/>
      <c r="J178" s="11"/>
      <c r="K178" s="11"/>
      <c r="L178" s="8"/>
      <c r="M178" s="2">
        <f>Table1[[#This Row],[Date Deviation Raised]]+7</f>
        <v>7</v>
      </c>
      <c r="N178" s="12"/>
      <c r="O178" s="1">
        <f>Table1[[#This Row],[Part 1 Completion Date]]-Table1[[#This Row],[Date Deviation Raised]]</f>
        <v>0</v>
      </c>
      <c r="P178" s="13"/>
      <c r="Q178" s="14"/>
      <c r="R178" s="16"/>
      <c r="S178" s="1">
        <f>Table1[[#This Row],[Investigation Closed]]-Table1[[#This Row],[Date Deviation Raised]]</f>
        <v>0</v>
      </c>
      <c r="T178" s="8"/>
      <c r="U178" s="8"/>
      <c r="V178" s="8"/>
      <c r="W178" s="15"/>
      <c r="X178" s="15"/>
      <c r="Y178" s="17"/>
      <c r="Z178" s="8"/>
      <c r="AA178" s="11"/>
      <c r="AB178" s="22"/>
    </row>
    <row r="179" spans="1:28" x14ac:dyDescent="0.25">
      <c r="A179" s="8"/>
      <c r="B179" s="9"/>
      <c r="C179" s="8"/>
      <c r="D179" s="13"/>
      <c r="E179" s="10"/>
      <c r="F179" s="11"/>
      <c r="G179" s="8"/>
      <c r="H179" s="11"/>
      <c r="I179" s="11"/>
      <c r="J179" s="11"/>
      <c r="K179" s="11"/>
      <c r="L179" s="8"/>
      <c r="M179" s="2">
        <f>Table1[[#This Row],[Date Deviation Raised]]+7</f>
        <v>7</v>
      </c>
      <c r="N179" s="12"/>
      <c r="O179" s="1">
        <f>Table1[[#This Row],[Part 1 Completion Date]]-Table1[[#This Row],[Date Deviation Raised]]</f>
        <v>0</v>
      </c>
      <c r="P179" s="13"/>
      <c r="Q179" s="14"/>
      <c r="R179" s="16"/>
      <c r="S179" s="1">
        <f>Table1[[#This Row],[Investigation Closed]]-Table1[[#This Row],[Date Deviation Raised]]</f>
        <v>0</v>
      </c>
      <c r="T179" s="8"/>
      <c r="U179" s="8"/>
      <c r="V179" s="8"/>
      <c r="W179" s="15"/>
      <c r="X179" s="15"/>
      <c r="Y179" s="17"/>
      <c r="Z179" s="8"/>
      <c r="AA179" s="11"/>
      <c r="AB179" s="22"/>
    </row>
    <row r="180" spans="1:28" x14ac:dyDescent="0.25">
      <c r="A180" s="8"/>
      <c r="B180" s="9"/>
      <c r="C180" s="8"/>
      <c r="D180" s="13"/>
      <c r="E180" s="10"/>
      <c r="F180" s="11"/>
      <c r="G180" s="8"/>
      <c r="H180" s="11"/>
      <c r="I180" s="11"/>
      <c r="J180" s="11"/>
      <c r="K180" s="11"/>
      <c r="L180" s="8"/>
      <c r="M180" s="2">
        <f>Table1[[#This Row],[Date Deviation Raised]]+7</f>
        <v>7</v>
      </c>
      <c r="N180" s="12"/>
      <c r="O180" s="1">
        <f>Table1[[#This Row],[Part 1 Completion Date]]-Table1[[#This Row],[Date Deviation Raised]]</f>
        <v>0</v>
      </c>
      <c r="P180" s="13"/>
      <c r="Q180" s="14"/>
      <c r="R180" s="16"/>
      <c r="S180" s="1">
        <f>Table1[[#This Row],[Investigation Closed]]-Table1[[#This Row],[Date Deviation Raised]]</f>
        <v>0</v>
      </c>
      <c r="T180" s="8"/>
      <c r="U180" s="8"/>
      <c r="V180" s="8"/>
      <c r="W180" s="15"/>
      <c r="X180" s="15"/>
      <c r="Y180" s="17"/>
      <c r="Z180" s="8"/>
      <c r="AA180" s="11"/>
      <c r="AB180" s="22"/>
    </row>
    <row r="181" spans="1:28" x14ac:dyDescent="0.25">
      <c r="A181" s="8"/>
      <c r="B181" s="9"/>
      <c r="C181" s="8"/>
      <c r="D181" s="13"/>
      <c r="E181" s="10"/>
      <c r="F181" s="11"/>
      <c r="G181" s="8"/>
      <c r="H181" s="11"/>
      <c r="I181" s="11"/>
      <c r="J181" s="11"/>
      <c r="K181" s="11"/>
      <c r="L181" s="8"/>
      <c r="M181" s="2">
        <f>Table1[[#This Row],[Date Deviation Raised]]+7</f>
        <v>7</v>
      </c>
      <c r="N181" s="12"/>
      <c r="O181" s="1">
        <f>Table1[[#This Row],[Part 1 Completion Date]]-Table1[[#This Row],[Date Deviation Raised]]</f>
        <v>0</v>
      </c>
      <c r="P181" s="13"/>
      <c r="Q181" s="14"/>
      <c r="R181" s="16"/>
      <c r="S181" s="1">
        <f>Table1[[#This Row],[Investigation Closed]]-Table1[[#This Row],[Date Deviation Raised]]</f>
        <v>0</v>
      </c>
      <c r="T181" s="8"/>
      <c r="U181" s="8"/>
      <c r="V181" s="8"/>
      <c r="W181" s="15"/>
      <c r="X181" s="15"/>
      <c r="Y181" s="17"/>
      <c r="Z181" s="8"/>
      <c r="AA181" s="11"/>
      <c r="AB181" s="22"/>
    </row>
    <row r="182" spans="1:28" x14ac:dyDescent="0.25">
      <c r="A182" s="8"/>
      <c r="B182" s="9"/>
      <c r="C182" s="8"/>
      <c r="D182" s="13"/>
      <c r="E182" s="10"/>
      <c r="F182" s="11"/>
      <c r="G182" s="8"/>
      <c r="H182" s="11"/>
      <c r="I182" s="11"/>
      <c r="J182" s="11"/>
      <c r="K182" s="11"/>
      <c r="L182" s="8"/>
      <c r="M182" s="2">
        <f>Table1[[#This Row],[Date Deviation Raised]]+7</f>
        <v>7</v>
      </c>
      <c r="N182" s="12"/>
      <c r="O182" s="1">
        <f>Table1[[#This Row],[Part 1 Completion Date]]-Table1[[#This Row],[Date Deviation Raised]]</f>
        <v>0</v>
      </c>
      <c r="P182" s="13"/>
      <c r="Q182" s="14"/>
      <c r="R182" s="16"/>
      <c r="S182" s="1">
        <f>Table1[[#This Row],[Investigation Closed]]-Table1[[#This Row],[Date Deviation Raised]]</f>
        <v>0</v>
      </c>
      <c r="T182" s="8"/>
      <c r="U182" s="8"/>
      <c r="V182" s="8"/>
      <c r="W182" s="15"/>
      <c r="X182" s="15"/>
      <c r="Y182" s="17"/>
      <c r="Z182" s="8"/>
      <c r="AA182" s="11"/>
      <c r="AB182" s="22"/>
    </row>
    <row r="183" spans="1:28" x14ac:dyDescent="0.25">
      <c r="A183" s="8"/>
      <c r="B183" s="9"/>
      <c r="C183" s="8"/>
      <c r="D183" s="13"/>
      <c r="E183" s="10"/>
      <c r="F183" s="11"/>
      <c r="G183" s="8"/>
      <c r="H183" s="11"/>
      <c r="I183" s="11"/>
      <c r="J183" s="11"/>
      <c r="K183" s="11"/>
      <c r="L183" s="8"/>
      <c r="M183" s="2">
        <f>Table1[[#This Row],[Date Deviation Raised]]+7</f>
        <v>7</v>
      </c>
      <c r="N183" s="12"/>
      <c r="O183" s="1">
        <f>Table1[[#This Row],[Part 1 Completion Date]]-Table1[[#This Row],[Date Deviation Raised]]</f>
        <v>0</v>
      </c>
      <c r="P183" s="13"/>
      <c r="Q183" s="14"/>
      <c r="R183" s="16"/>
      <c r="S183" s="1">
        <f>Table1[[#This Row],[Investigation Closed]]-Table1[[#This Row],[Date Deviation Raised]]</f>
        <v>0</v>
      </c>
      <c r="T183" s="8"/>
      <c r="U183" s="8"/>
      <c r="V183" s="8"/>
      <c r="W183" s="15"/>
      <c r="X183" s="15"/>
      <c r="Y183" s="17"/>
      <c r="Z183" s="8"/>
      <c r="AA183" s="11"/>
      <c r="AB183" s="22"/>
    </row>
    <row r="184" spans="1:28" x14ac:dyDescent="0.25">
      <c r="A184" s="8"/>
      <c r="B184" s="9"/>
      <c r="C184" s="8"/>
      <c r="D184" s="13"/>
      <c r="E184" s="10"/>
      <c r="F184" s="11"/>
      <c r="G184" s="8"/>
      <c r="H184" s="11"/>
      <c r="I184" s="11"/>
      <c r="J184" s="11"/>
      <c r="K184" s="11"/>
      <c r="L184" s="8"/>
      <c r="M184" s="2">
        <f>Table1[[#This Row],[Date Deviation Raised]]+7</f>
        <v>7</v>
      </c>
      <c r="N184" s="12"/>
      <c r="O184" s="1">
        <f>Table1[[#This Row],[Part 1 Completion Date]]-Table1[[#This Row],[Date Deviation Raised]]</f>
        <v>0</v>
      </c>
      <c r="P184" s="13"/>
      <c r="Q184" s="14"/>
      <c r="R184" s="16"/>
      <c r="S184" s="1">
        <f>Table1[[#This Row],[Investigation Closed]]-Table1[[#This Row],[Date Deviation Raised]]</f>
        <v>0</v>
      </c>
      <c r="T184" s="8"/>
      <c r="U184" s="8"/>
      <c r="V184" s="8"/>
      <c r="W184" s="15"/>
      <c r="X184" s="15"/>
      <c r="Y184" s="17"/>
      <c r="Z184" s="8"/>
      <c r="AA184" s="11"/>
      <c r="AB184" s="22"/>
    </row>
    <row r="185" spans="1:28" x14ac:dyDescent="0.25">
      <c r="A185" s="8"/>
      <c r="B185" s="9"/>
      <c r="C185" s="8"/>
      <c r="D185" s="13"/>
      <c r="E185" s="10"/>
      <c r="F185" s="11"/>
      <c r="G185" s="8"/>
      <c r="H185" s="11"/>
      <c r="I185" s="11"/>
      <c r="J185" s="11"/>
      <c r="K185" s="11"/>
      <c r="L185" s="8"/>
      <c r="M185" s="2">
        <f>Table1[[#This Row],[Date Deviation Raised]]+7</f>
        <v>7</v>
      </c>
      <c r="N185" s="12"/>
      <c r="O185" s="1">
        <f>Table1[[#This Row],[Part 1 Completion Date]]-Table1[[#This Row],[Date Deviation Raised]]</f>
        <v>0</v>
      </c>
      <c r="P185" s="13"/>
      <c r="Q185" s="14"/>
      <c r="R185" s="16"/>
      <c r="S185" s="1">
        <f>Table1[[#This Row],[Investigation Closed]]-Table1[[#This Row],[Date Deviation Raised]]</f>
        <v>0</v>
      </c>
      <c r="T185" s="8"/>
      <c r="U185" s="8"/>
      <c r="V185" s="8"/>
      <c r="W185" s="15"/>
      <c r="X185" s="15"/>
      <c r="Y185" s="17"/>
      <c r="Z185" s="8"/>
      <c r="AA185" s="11"/>
      <c r="AB185" s="22"/>
    </row>
    <row r="186" spans="1:28" x14ac:dyDescent="0.25">
      <c r="A186" s="8"/>
      <c r="B186" s="9"/>
      <c r="C186" s="8"/>
      <c r="D186" s="13"/>
      <c r="E186" s="10"/>
      <c r="F186" s="11"/>
      <c r="G186" s="8"/>
      <c r="H186" s="11"/>
      <c r="I186" s="11"/>
      <c r="J186" s="11"/>
      <c r="K186" s="11"/>
      <c r="L186" s="8"/>
      <c r="M186" s="2">
        <f>Table1[[#This Row],[Date Deviation Raised]]+7</f>
        <v>7</v>
      </c>
      <c r="N186" s="12"/>
      <c r="O186" s="1">
        <f>Table1[[#This Row],[Part 1 Completion Date]]-Table1[[#This Row],[Date Deviation Raised]]</f>
        <v>0</v>
      </c>
      <c r="P186" s="13"/>
      <c r="Q186" s="14"/>
      <c r="R186" s="16"/>
      <c r="S186" s="1">
        <f>Table1[[#This Row],[Investigation Closed]]-Table1[[#This Row],[Date Deviation Raised]]</f>
        <v>0</v>
      </c>
      <c r="T186" s="8"/>
      <c r="U186" s="8"/>
      <c r="V186" s="8"/>
      <c r="W186" s="15"/>
      <c r="X186" s="15"/>
      <c r="Y186" s="17"/>
      <c r="Z186" s="8"/>
      <c r="AA186" s="11"/>
      <c r="AB186" s="22"/>
    </row>
    <row r="187" spans="1:28" x14ac:dyDescent="0.25">
      <c r="A187" s="8"/>
      <c r="B187" s="9"/>
      <c r="C187" s="8"/>
      <c r="D187" s="13"/>
      <c r="E187" s="10"/>
      <c r="F187" s="11"/>
      <c r="G187" s="8"/>
      <c r="H187" s="11"/>
      <c r="I187" s="11"/>
      <c r="J187" s="11"/>
      <c r="K187" s="11"/>
      <c r="L187" s="8"/>
      <c r="M187" s="2">
        <f>Table1[[#This Row],[Date Deviation Raised]]+7</f>
        <v>7</v>
      </c>
      <c r="N187" s="12"/>
      <c r="O187" s="1">
        <f>Table1[[#This Row],[Part 1 Completion Date]]-Table1[[#This Row],[Date Deviation Raised]]</f>
        <v>0</v>
      </c>
      <c r="P187" s="13"/>
      <c r="Q187" s="14"/>
      <c r="R187" s="16"/>
      <c r="S187" s="1">
        <f>Table1[[#This Row],[Investigation Closed]]-Table1[[#This Row],[Date Deviation Raised]]</f>
        <v>0</v>
      </c>
      <c r="T187" s="8"/>
      <c r="U187" s="8"/>
      <c r="V187" s="8"/>
      <c r="W187" s="15"/>
      <c r="X187" s="15"/>
      <c r="Y187" s="17"/>
      <c r="Z187" s="8"/>
      <c r="AA187" s="11"/>
      <c r="AB187" s="22"/>
    </row>
    <row r="188" spans="1:28" x14ac:dyDescent="0.25">
      <c r="A188" s="8"/>
      <c r="B188" s="9"/>
      <c r="C188" s="8"/>
      <c r="D188" s="13"/>
      <c r="E188" s="10"/>
      <c r="F188" s="11"/>
      <c r="G188" s="8"/>
      <c r="H188" s="11"/>
      <c r="I188" s="11"/>
      <c r="J188" s="11"/>
      <c r="K188" s="11"/>
      <c r="L188" s="8"/>
      <c r="M188" s="2">
        <f>Table1[[#This Row],[Date Deviation Raised]]+7</f>
        <v>7</v>
      </c>
      <c r="N188" s="12"/>
      <c r="O188" s="1">
        <f>Table1[[#This Row],[Part 1 Completion Date]]-Table1[[#This Row],[Date Deviation Raised]]</f>
        <v>0</v>
      </c>
      <c r="P188" s="13"/>
      <c r="Q188" s="14"/>
      <c r="R188" s="16"/>
      <c r="S188" s="1">
        <f>Table1[[#This Row],[Investigation Closed]]-Table1[[#This Row],[Date Deviation Raised]]</f>
        <v>0</v>
      </c>
      <c r="T188" s="8"/>
      <c r="U188" s="8"/>
      <c r="V188" s="8"/>
      <c r="W188" s="15"/>
      <c r="X188" s="15"/>
      <c r="Y188" s="17"/>
      <c r="Z188" s="8"/>
      <c r="AA188" s="11"/>
      <c r="AB188" s="22"/>
    </row>
    <row r="189" spans="1:28" x14ac:dyDescent="0.25">
      <c r="A189" s="8"/>
      <c r="B189" s="9"/>
      <c r="C189" s="8"/>
      <c r="D189" s="13"/>
      <c r="E189" s="10"/>
      <c r="F189" s="11"/>
      <c r="G189" s="8"/>
      <c r="H189" s="11"/>
      <c r="I189" s="11"/>
      <c r="J189" s="11"/>
      <c r="K189" s="11"/>
      <c r="L189" s="8"/>
      <c r="M189" s="2">
        <f>Table1[[#This Row],[Date Deviation Raised]]+7</f>
        <v>7</v>
      </c>
      <c r="N189" s="12"/>
      <c r="O189" s="1">
        <f>Table1[[#This Row],[Part 1 Completion Date]]-Table1[[#This Row],[Date Deviation Raised]]</f>
        <v>0</v>
      </c>
      <c r="P189" s="13"/>
      <c r="Q189" s="14"/>
      <c r="R189" s="16"/>
      <c r="S189" s="1">
        <f>Table1[[#This Row],[Investigation Closed]]-Table1[[#This Row],[Date Deviation Raised]]</f>
        <v>0</v>
      </c>
      <c r="T189" s="8"/>
      <c r="U189" s="8"/>
      <c r="V189" s="8"/>
      <c r="W189" s="15"/>
      <c r="X189" s="15"/>
      <c r="Y189" s="17"/>
      <c r="Z189" s="8"/>
      <c r="AA189" s="11"/>
      <c r="AB189" s="22"/>
    </row>
    <row r="190" spans="1:28" x14ac:dyDescent="0.25">
      <c r="A190" s="8"/>
      <c r="B190" s="9"/>
      <c r="C190" s="8"/>
      <c r="D190" s="13"/>
      <c r="E190" s="10"/>
      <c r="F190" s="11"/>
      <c r="G190" s="8"/>
      <c r="H190" s="11"/>
      <c r="I190" s="11"/>
      <c r="J190" s="11"/>
      <c r="K190" s="11"/>
      <c r="L190" s="8"/>
      <c r="M190" s="2">
        <f>Table1[[#This Row],[Date Deviation Raised]]+7</f>
        <v>7</v>
      </c>
      <c r="N190" s="12"/>
      <c r="O190" s="1">
        <f>Table1[[#This Row],[Part 1 Completion Date]]-Table1[[#This Row],[Date Deviation Raised]]</f>
        <v>0</v>
      </c>
      <c r="P190" s="13"/>
      <c r="Q190" s="14"/>
      <c r="R190" s="16"/>
      <c r="S190" s="1">
        <f>Table1[[#This Row],[Investigation Closed]]-Table1[[#This Row],[Date Deviation Raised]]</f>
        <v>0</v>
      </c>
      <c r="T190" s="8"/>
      <c r="U190" s="8"/>
      <c r="V190" s="8"/>
      <c r="W190" s="15"/>
      <c r="X190" s="15"/>
      <c r="Y190" s="17"/>
      <c r="Z190" s="8"/>
      <c r="AA190" s="11"/>
      <c r="AB190" s="22"/>
    </row>
    <row r="191" spans="1:28" x14ac:dyDescent="0.25">
      <c r="A191" s="8"/>
      <c r="B191" s="9"/>
      <c r="C191" s="8"/>
      <c r="D191" s="13"/>
      <c r="E191" s="10"/>
      <c r="F191" s="11"/>
      <c r="G191" s="8"/>
      <c r="H191" s="11"/>
      <c r="I191" s="11"/>
      <c r="J191" s="11"/>
      <c r="K191" s="11"/>
      <c r="L191" s="8"/>
      <c r="M191" s="2">
        <f>Table1[[#This Row],[Date Deviation Raised]]+7</f>
        <v>7</v>
      </c>
      <c r="N191" s="12"/>
      <c r="O191" s="1">
        <f>Table1[[#This Row],[Part 1 Completion Date]]-Table1[[#This Row],[Date Deviation Raised]]</f>
        <v>0</v>
      </c>
      <c r="P191" s="13"/>
      <c r="Q191" s="14"/>
      <c r="R191" s="16"/>
      <c r="S191" s="1">
        <f>Table1[[#This Row],[Investigation Closed]]-Table1[[#This Row],[Date Deviation Raised]]</f>
        <v>0</v>
      </c>
      <c r="T191" s="8"/>
      <c r="U191" s="8"/>
      <c r="V191" s="8"/>
      <c r="W191" s="15"/>
      <c r="X191" s="15"/>
      <c r="Y191" s="17"/>
      <c r="Z191" s="8"/>
      <c r="AA191" s="11"/>
      <c r="AB191" s="22"/>
    </row>
    <row r="192" spans="1:28" x14ac:dyDescent="0.25">
      <c r="A192" s="8"/>
      <c r="B192" s="9"/>
      <c r="C192" s="8"/>
      <c r="D192" s="13"/>
      <c r="E192" s="10"/>
      <c r="F192" s="11"/>
      <c r="G192" s="8"/>
      <c r="H192" s="11"/>
      <c r="I192" s="11"/>
      <c r="J192" s="11"/>
      <c r="K192" s="11"/>
      <c r="L192" s="8"/>
      <c r="M192" s="2">
        <f>Table1[[#This Row],[Date Deviation Raised]]+7</f>
        <v>7</v>
      </c>
      <c r="N192" s="12"/>
      <c r="O192" s="1">
        <f>Table1[[#This Row],[Part 1 Completion Date]]-Table1[[#This Row],[Date Deviation Raised]]</f>
        <v>0</v>
      </c>
      <c r="P192" s="13"/>
      <c r="Q192" s="14"/>
      <c r="R192" s="16"/>
      <c r="S192" s="1">
        <f>Table1[[#This Row],[Investigation Closed]]-Table1[[#This Row],[Date Deviation Raised]]</f>
        <v>0</v>
      </c>
      <c r="T192" s="8"/>
      <c r="U192" s="8"/>
      <c r="V192" s="8"/>
      <c r="W192" s="15"/>
      <c r="X192" s="15"/>
      <c r="Y192" s="17"/>
      <c r="Z192" s="8"/>
      <c r="AA192" s="11"/>
      <c r="AB192" s="22"/>
    </row>
    <row r="193" spans="1:28" x14ac:dyDescent="0.25">
      <c r="A193" s="8"/>
      <c r="B193" s="9"/>
      <c r="C193" s="8"/>
      <c r="D193" s="13"/>
      <c r="E193" s="10"/>
      <c r="F193" s="11"/>
      <c r="G193" s="8"/>
      <c r="H193" s="11"/>
      <c r="I193" s="11"/>
      <c r="J193" s="11"/>
      <c r="K193" s="11"/>
      <c r="L193" s="8"/>
      <c r="M193" s="2">
        <f>Table1[[#This Row],[Date Deviation Raised]]+7</f>
        <v>7</v>
      </c>
      <c r="N193" s="12"/>
      <c r="O193" s="1">
        <f>Table1[[#This Row],[Part 1 Completion Date]]-Table1[[#This Row],[Date Deviation Raised]]</f>
        <v>0</v>
      </c>
      <c r="P193" s="13"/>
      <c r="Q193" s="14"/>
      <c r="R193" s="16"/>
      <c r="S193" s="1">
        <f>Table1[[#This Row],[Investigation Closed]]-Table1[[#This Row],[Date Deviation Raised]]</f>
        <v>0</v>
      </c>
      <c r="T193" s="8"/>
      <c r="U193" s="8"/>
      <c r="V193" s="8"/>
      <c r="W193" s="15"/>
      <c r="X193" s="15"/>
      <c r="Y193" s="17"/>
      <c r="Z193" s="8"/>
      <c r="AA193" s="11"/>
      <c r="AB193" s="22"/>
    </row>
    <row r="194" spans="1:28" x14ac:dyDescent="0.25">
      <c r="A194" s="8"/>
      <c r="B194" s="9"/>
      <c r="C194" s="8"/>
      <c r="D194" s="13"/>
      <c r="E194" s="10"/>
      <c r="F194" s="11"/>
      <c r="G194" s="8"/>
      <c r="H194" s="11"/>
      <c r="I194" s="11"/>
      <c r="J194" s="11"/>
      <c r="K194" s="11"/>
      <c r="L194" s="8"/>
      <c r="M194" s="2">
        <f>Table1[[#This Row],[Date Deviation Raised]]+7</f>
        <v>7</v>
      </c>
      <c r="N194" s="12"/>
      <c r="O194" s="1">
        <f>Table1[[#This Row],[Part 1 Completion Date]]-Table1[[#This Row],[Date Deviation Raised]]</f>
        <v>0</v>
      </c>
      <c r="P194" s="13"/>
      <c r="Q194" s="14"/>
      <c r="R194" s="16"/>
      <c r="S194" s="1">
        <f>Table1[[#This Row],[Investigation Closed]]-Table1[[#This Row],[Date Deviation Raised]]</f>
        <v>0</v>
      </c>
      <c r="T194" s="8"/>
      <c r="U194" s="8"/>
      <c r="V194" s="8"/>
      <c r="W194" s="15"/>
      <c r="X194" s="15"/>
      <c r="Y194" s="17"/>
      <c r="Z194" s="8"/>
      <c r="AA194" s="11"/>
      <c r="AB194" s="22"/>
    </row>
    <row r="195" spans="1:28" x14ac:dyDescent="0.25">
      <c r="A195" s="8"/>
      <c r="B195" s="9"/>
      <c r="C195" s="8"/>
      <c r="D195" s="13"/>
      <c r="E195" s="10"/>
      <c r="F195" s="11"/>
      <c r="G195" s="8"/>
      <c r="H195" s="11"/>
      <c r="I195" s="11"/>
      <c r="J195" s="11"/>
      <c r="K195" s="11"/>
      <c r="L195" s="8"/>
      <c r="M195" s="2">
        <f>Table1[[#This Row],[Date Deviation Raised]]+7</f>
        <v>7</v>
      </c>
      <c r="N195" s="12"/>
      <c r="O195" s="1">
        <f>Table1[[#This Row],[Part 1 Completion Date]]-Table1[[#This Row],[Date Deviation Raised]]</f>
        <v>0</v>
      </c>
      <c r="P195" s="13"/>
      <c r="Q195" s="14"/>
      <c r="R195" s="16"/>
      <c r="S195" s="1">
        <f>Table1[[#This Row],[Investigation Closed]]-Table1[[#This Row],[Date Deviation Raised]]</f>
        <v>0</v>
      </c>
      <c r="T195" s="8"/>
      <c r="U195" s="8"/>
      <c r="V195" s="8"/>
      <c r="W195" s="15"/>
      <c r="X195" s="15"/>
      <c r="Y195" s="17"/>
      <c r="Z195" s="8"/>
      <c r="AA195" s="11"/>
      <c r="AB195" s="22"/>
    </row>
    <row r="196" spans="1:28" x14ac:dyDescent="0.25">
      <c r="A196" s="8"/>
      <c r="B196" s="9"/>
      <c r="C196" s="8"/>
      <c r="D196" s="13"/>
      <c r="E196" s="10"/>
      <c r="F196" s="11"/>
      <c r="G196" s="8"/>
      <c r="H196" s="11"/>
      <c r="I196" s="11"/>
      <c r="J196" s="11"/>
      <c r="K196" s="11"/>
      <c r="L196" s="8"/>
      <c r="M196" s="2">
        <f>Table1[[#This Row],[Date Deviation Raised]]+7</f>
        <v>7</v>
      </c>
      <c r="N196" s="12"/>
      <c r="O196" s="1">
        <f>Table1[[#This Row],[Part 1 Completion Date]]-Table1[[#This Row],[Date Deviation Raised]]</f>
        <v>0</v>
      </c>
      <c r="P196" s="13"/>
      <c r="Q196" s="14"/>
      <c r="R196" s="16"/>
      <c r="S196" s="1">
        <f>Table1[[#This Row],[Investigation Closed]]-Table1[[#This Row],[Date Deviation Raised]]</f>
        <v>0</v>
      </c>
      <c r="T196" s="8"/>
      <c r="U196" s="8"/>
      <c r="V196" s="8"/>
      <c r="W196" s="15"/>
      <c r="X196" s="15"/>
      <c r="Y196" s="17"/>
      <c r="Z196" s="8"/>
      <c r="AA196" s="11"/>
      <c r="AB196" s="22"/>
    </row>
    <row r="197" spans="1:28" x14ac:dyDescent="0.25">
      <c r="A197" s="23"/>
      <c r="B197" s="9"/>
      <c r="C197" s="8"/>
      <c r="D197" s="13"/>
      <c r="E197" s="10"/>
      <c r="F197" s="11"/>
      <c r="G197" s="8"/>
      <c r="H197" s="11"/>
      <c r="I197" s="11"/>
      <c r="J197" s="11"/>
      <c r="K197" s="11"/>
      <c r="L197" s="8"/>
      <c r="M197" s="2">
        <f>Table1[[#This Row],[Date Deviation Raised]]+7</f>
        <v>7</v>
      </c>
      <c r="N197" s="12"/>
      <c r="O197" s="1">
        <f>Table1[[#This Row],[Part 1 Completion Date]]-Table1[[#This Row],[Date Deviation Raised]]</f>
        <v>0</v>
      </c>
      <c r="P197" s="13"/>
      <c r="Q197" s="14"/>
      <c r="R197" s="16"/>
      <c r="S197" s="1">
        <f>Table1[[#This Row],[Investigation Closed]]-Table1[[#This Row],[Date Deviation Raised]]</f>
        <v>0</v>
      </c>
      <c r="T197" s="8"/>
      <c r="U197" s="8"/>
      <c r="V197" s="8"/>
      <c r="W197" s="15"/>
      <c r="X197" s="15"/>
      <c r="Y197" s="17"/>
      <c r="Z197" s="8"/>
      <c r="AA197" s="11"/>
      <c r="AB197" s="22"/>
    </row>
    <row r="198" spans="1:28" x14ac:dyDescent="0.25">
      <c r="A198" s="23"/>
      <c r="B198" s="9"/>
      <c r="C198" s="23"/>
      <c r="D198" s="13"/>
      <c r="E198" s="10"/>
      <c r="F198" s="24"/>
      <c r="G198" s="23"/>
      <c r="H198" s="24"/>
      <c r="I198" s="24"/>
      <c r="J198" s="24"/>
      <c r="K198" s="24"/>
      <c r="L198" s="23"/>
      <c r="M198" s="25">
        <f>Table1[[#This Row],[Date Deviation Raised]]+7</f>
        <v>7</v>
      </c>
      <c r="N198" s="12"/>
      <c r="O198" s="26">
        <f>Table1[[#This Row],[Part 1 Completion Date]]-Table1[[#This Row],[Date Deviation Raised]]</f>
        <v>0</v>
      </c>
      <c r="P198" s="27"/>
      <c r="Q198" s="28"/>
      <c r="R198" s="29"/>
      <c r="S198" s="1">
        <f>Table1[[#This Row],[Investigation Closed]]-Table1[[#This Row],[Date Deviation Raised]]</f>
        <v>0</v>
      </c>
      <c r="T198" s="8"/>
      <c r="U198" s="8"/>
      <c r="V198" s="23"/>
      <c r="W198" s="31"/>
      <c r="X198" s="31"/>
      <c r="Y198" s="30"/>
      <c r="Z198" s="23"/>
      <c r="AA198" s="24"/>
      <c r="AB198" s="22"/>
    </row>
    <row r="199" spans="1:28" x14ac:dyDescent="0.25">
      <c r="A199" s="23"/>
      <c r="B199" s="9"/>
      <c r="C199" s="8"/>
      <c r="D199" s="13"/>
      <c r="E199" s="10"/>
      <c r="F199" s="11"/>
      <c r="G199" s="8"/>
      <c r="H199" s="11"/>
      <c r="I199" s="11"/>
      <c r="J199" s="11"/>
      <c r="K199" s="11"/>
      <c r="L199" s="8"/>
      <c r="M199" s="2">
        <f>Table1[[#This Row],[Date Deviation Raised]]+7</f>
        <v>7</v>
      </c>
      <c r="N199" s="12"/>
      <c r="O199" s="1">
        <f>Table1[[#This Row],[Part 1 Completion Date]]-Table1[[#This Row],[Date Deviation Raised]]</f>
        <v>0</v>
      </c>
      <c r="P199" s="13"/>
      <c r="Q199" s="14"/>
      <c r="R199" s="16"/>
      <c r="S199" s="1">
        <f>Table1[[#This Row],[Investigation Closed]]-Table1[[#This Row],[Date Deviation Raised]]</f>
        <v>0</v>
      </c>
      <c r="T199" s="8"/>
      <c r="U199" s="8"/>
      <c r="V199" s="8"/>
      <c r="W199" s="15"/>
      <c r="X199" s="15"/>
      <c r="Y199" s="17"/>
      <c r="Z199" s="8"/>
      <c r="AA199" s="11"/>
      <c r="AB199" s="22"/>
    </row>
    <row r="200" spans="1:28" x14ac:dyDescent="0.25">
      <c r="A200" s="63"/>
      <c r="B200" s="64"/>
      <c r="C200" s="63"/>
      <c r="D200" s="65"/>
      <c r="E200" s="10"/>
      <c r="F200" s="66"/>
      <c r="G200" s="63"/>
      <c r="H200" s="66"/>
      <c r="I200" s="66"/>
      <c r="J200" s="11"/>
      <c r="K200" s="11"/>
      <c r="L200" s="8"/>
      <c r="M200" s="67">
        <f>Table1[[#This Row],[Date Deviation Raised]]+7</f>
        <v>7</v>
      </c>
      <c r="N200" s="68"/>
      <c r="O200" s="69">
        <f>Table1[[#This Row],[Part 1 Completion Date]]-Table1[[#This Row],[Date Deviation Raised]]</f>
        <v>0</v>
      </c>
      <c r="P200" s="70"/>
      <c r="Q200" s="65"/>
      <c r="R200" s="71"/>
      <c r="S200" s="72">
        <f>Table1[[#This Row],[Investigation Closed]]-Table1[[#This Row],[Date Deviation Raised]]</f>
        <v>0</v>
      </c>
      <c r="T200" s="8"/>
      <c r="U200" s="8"/>
      <c r="V200" s="8"/>
      <c r="W200" s="73"/>
      <c r="X200" s="15"/>
      <c r="Y200" s="17"/>
      <c r="Z200" s="63"/>
      <c r="AA200" s="66"/>
      <c r="AB200" s="11"/>
    </row>
    <row r="201" spans="1:28" x14ac:dyDescent="0.25">
      <c r="A201" s="8"/>
      <c r="B201" s="9"/>
      <c r="C201" s="8"/>
      <c r="D201" s="10"/>
      <c r="E201" s="10"/>
      <c r="F201" s="11"/>
      <c r="G201" s="8"/>
      <c r="H201" s="11"/>
      <c r="I201" s="11"/>
      <c r="J201" s="11"/>
      <c r="K201" s="11"/>
      <c r="L201" s="8"/>
      <c r="M201" s="2">
        <f>Table1[[#This Row],[Date Deviation Raised]]+7</f>
        <v>7</v>
      </c>
      <c r="N201" s="12"/>
      <c r="O201" s="34">
        <f>Table1[[#This Row],[Part 1 Completion Date]]-Table1[[#This Row],[Date Deviation Raised]]</f>
        <v>0</v>
      </c>
      <c r="P201" s="13"/>
      <c r="Q201" s="10"/>
      <c r="R201" s="16"/>
      <c r="S201" s="75">
        <f>Table1[[#This Row],[Investigation Closed]]-Table1[[#This Row],[Date Deviation Raised]]</f>
        <v>0</v>
      </c>
      <c r="T201" s="8"/>
      <c r="U201" s="8"/>
      <c r="V201" s="8"/>
      <c r="W201" s="15"/>
      <c r="X201" s="15"/>
      <c r="Y201" s="17"/>
      <c r="Z201" s="8"/>
      <c r="AA201" s="11"/>
      <c r="AB201" s="22"/>
    </row>
  </sheetData>
  <sheetProtection algorithmName="SHA-512" hashValue="Jj5BHtuXWZ1Q33UWqoCkKwAXMsQd06hOb2hWx7yMr5VfsCYKknK0y8aj4k8P3363IoxKHqqht7DFcarbVAXSOg==" saltValue="1vj5rJHHpd16vyrBGdqdNA==" spinCount="100000" sheet="1" autoFilter="0"/>
  <mergeCells count="1">
    <mergeCell ref="A1:H1"/>
  </mergeCells>
  <phoneticPr fontId="4" type="noConversion"/>
  <conditionalFormatting sqref="M3:M1048576">
    <cfRule type="cellIs" dxfId="12" priority="2" operator="between">
      <formula>TODAY()</formula>
      <formula>TODAY()+7</formula>
    </cfRule>
    <cfRule type="cellIs" dxfId="11" priority="3" operator="lessThan">
      <formula>TODAY()</formula>
    </cfRule>
  </conditionalFormatting>
  <conditionalFormatting sqref="O3:O1048576">
    <cfRule type="cellIs" dxfId="10" priority="4" operator="lessThan">
      <formula>8</formula>
    </cfRule>
    <cfRule type="cellIs" dxfId="9" priority="5" operator="greaterThan">
      <formula>7</formula>
    </cfRule>
  </conditionalFormatting>
  <conditionalFormatting sqref="Q2:Q1048576">
    <cfRule type="cellIs" dxfId="8" priority="1" operator="between">
      <formula>TODAY()+8</formula>
      <formula>TODAY()+14</formula>
    </cfRule>
    <cfRule type="cellIs" dxfId="7" priority="12" operator="between">
      <formula>TODAY()</formula>
      <formula>TODAY()+7</formula>
    </cfRule>
    <cfRule type="cellIs" dxfId="6" priority="13" operator="lessThan">
      <formula>TODAY()</formula>
    </cfRule>
  </conditionalFormatting>
  <conditionalFormatting sqref="Y3:Y1048576">
    <cfRule type="containsText" dxfId="5" priority="10" operator="containsText" text="In-Progress">
      <formula>NOT(ISERROR(SEARCH("In-Progress",Y3)))</formula>
    </cfRule>
    <cfRule type="containsText" dxfId="4" priority="11" operator="containsText" text="Complete">
      <formula>NOT(ISERROR(SEARCH("Complete",Y3)))</formula>
    </cfRule>
  </conditionalFormatting>
  <conditionalFormatting sqref="AA3:AB199 AA200 AA201:AB1048576">
    <cfRule type="containsText" dxfId="3" priority="6" operator="containsText" text="Part 1 Completed">
      <formula>NOT(ISERROR(SEARCH("Part 1 Completed",AA3)))</formula>
    </cfRule>
    <cfRule type="containsText" dxfId="2" priority="7" operator="containsText" text="Effectiveness Check File">
      <formula>NOT(ISERROR(SEARCH("Effectiveness Check File",AA3)))</formula>
    </cfRule>
    <cfRule type="containsText" dxfId="1" priority="8" operator="containsText" text="E-Copy">
      <formula>NOT(ISERROR(SEARCH("E-Copy",AA3)))</formula>
    </cfRule>
    <cfRule type="containsText" dxfId="0" priority="9" operator="containsText" text="Closed Deviation File">
      <formula>NOT(ISERROR(SEARCH("Closed Deviation File",AA3)))</formula>
    </cfRule>
  </conditionalFormatting>
  <dataValidations count="4">
    <dataValidation type="list" allowBlank="1" showInputMessage="1" showErrorMessage="1" sqref="AA3:AA201" xr:uid="{00000000-0002-0000-0000-000003000000}">
      <formula1>"Closed Deviation File, E-Copy, Part 1 Completed, Effectiveness Check File "</formula1>
    </dataValidation>
    <dataValidation type="list" allowBlank="1" showInputMessage="1" showErrorMessage="1" sqref="L3:L201 V19:V201 V3:V17" xr:uid="{00000000-0002-0000-0000-000001000000}">
      <formula1>"Critical, Major, Minor"</formula1>
    </dataValidation>
    <dataValidation type="list" allowBlank="1" showInputMessage="1" showErrorMessage="1" sqref="Y3:Y201" xr:uid="{00000000-0002-0000-0000-000002000000}">
      <formula1>"Complete, In-Progress"</formula1>
    </dataValidation>
    <dataValidation type="list" allowBlank="1" showInputMessage="1" showErrorMessage="1" sqref="Z1:Z201" xr:uid="{D0F75E66-B918-40C7-9BBE-241E3D97A624}">
      <formula1>"Y, N"</formula1>
    </dataValidation>
  </dataValidations>
  <pageMargins left="1" right="1" top="1" bottom="1" header="0.5" footer="0.5"/>
  <pageSetup paperSize="9" scale="13" fitToHeight="0" orientation="landscape" cellComments="asDisplayed" r:id="rId1"/>
  <headerFooter>
    <oddFooter>&amp;LPrinted By (Print &amp; Sign):________________________________________________________
Reviewed By (Print &amp; Sign):______________________________________________________&amp;RPage no: &amp;P of &amp;N
&amp;D &amp; &amp;T</oddFooter>
  </headerFooter>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07C97D7E-8EA5-4D84-81AB-A88D7F8D606C}">
          <x14:formula1>
            <xm:f>'Deviation Area '!$C$2:$C$30</xm:f>
          </x14:formula1>
          <xm:sqref>A1:H1 F3:F24 F26:F201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05A00-46F5-4CCF-A90C-A00D29FE29C7}">
  <dimension ref="C1:M30"/>
  <sheetViews>
    <sheetView workbookViewId="0">
      <selection activeCell="F23" sqref="F23"/>
    </sheetView>
  </sheetViews>
  <sheetFormatPr defaultRowHeight="15" x14ac:dyDescent="0.25"/>
  <cols>
    <col min="3" max="3" width="37.7109375" customWidth="1"/>
    <col min="4" max="4" width="9.42578125" customWidth="1"/>
    <col min="5" max="5" width="24.42578125" customWidth="1"/>
    <col min="7" max="7" width="32.42578125" customWidth="1"/>
    <col min="8" max="8" width="8.140625" customWidth="1"/>
    <col min="9" max="9" width="34.7109375" customWidth="1"/>
    <col min="13" max="13" width="44.140625" customWidth="1"/>
  </cols>
  <sheetData>
    <row r="1" spans="3:13" ht="30.75" thickBot="1" x14ac:dyDescent="0.3">
      <c r="C1" s="78" t="s">
        <v>16</v>
      </c>
      <c r="E1" s="40" t="s">
        <v>27</v>
      </c>
      <c r="G1" s="42" t="s">
        <v>28</v>
      </c>
      <c r="I1" s="43" t="s">
        <v>56</v>
      </c>
      <c r="M1" s="39"/>
    </row>
    <row r="2" spans="3:13" ht="15.75" x14ac:dyDescent="0.25">
      <c r="C2" s="79" t="s">
        <v>59</v>
      </c>
      <c r="E2" s="38" t="s">
        <v>76</v>
      </c>
      <c r="G2" s="41" t="s">
        <v>43</v>
      </c>
      <c r="I2" s="41" t="s">
        <v>43</v>
      </c>
    </row>
    <row r="3" spans="3:13" ht="15.75" x14ac:dyDescent="0.25">
      <c r="C3" s="80" t="s">
        <v>63</v>
      </c>
      <c r="E3" s="38" t="s">
        <v>88</v>
      </c>
      <c r="G3" s="38" t="s">
        <v>45</v>
      </c>
      <c r="I3" s="38" t="s">
        <v>45</v>
      </c>
    </row>
    <row r="4" spans="3:13" ht="31.5" x14ac:dyDescent="0.25">
      <c r="C4" s="81" t="s">
        <v>64</v>
      </c>
      <c r="E4" s="38" t="s">
        <v>89</v>
      </c>
      <c r="G4" s="38" t="s">
        <v>44</v>
      </c>
      <c r="I4" s="38" t="s">
        <v>44</v>
      </c>
    </row>
    <row r="5" spans="3:13" ht="31.5" x14ac:dyDescent="0.25">
      <c r="C5" s="80" t="s">
        <v>29</v>
      </c>
      <c r="E5" s="38" t="s">
        <v>90</v>
      </c>
      <c r="G5" s="38" t="s">
        <v>50</v>
      </c>
      <c r="I5" s="38" t="s">
        <v>50</v>
      </c>
    </row>
    <row r="6" spans="3:13" ht="15.75" x14ac:dyDescent="0.25">
      <c r="C6" s="81" t="s">
        <v>30</v>
      </c>
      <c r="E6" s="38" t="s">
        <v>77</v>
      </c>
      <c r="G6" s="38" t="s">
        <v>47</v>
      </c>
      <c r="I6" s="38" t="s">
        <v>47</v>
      </c>
    </row>
    <row r="7" spans="3:13" ht="15.75" x14ac:dyDescent="0.25">
      <c r="C7" s="80" t="s">
        <v>65</v>
      </c>
      <c r="E7" s="38" t="s">
        <v>78</v>
      </c>
      <c r="G7" s="38" t="s">
        <v>53</v>
      </c>
      <c r="I7" s="38" t="s">
        <v>53</v>
      </c>
    </row>
    <row r="8" spans="3:13" ht="15.75" x14ac:dyDescent="0.25">
      <c r="C8" s="81" t="s">
        <v>66</v>
      </c>
      <c r="E8" s="38" t="s">
        <v>91</v>
      </c>
      <c r="G8" s="38" t="s">
        <v>46</v>
      </c>
      <c r="I8" s="38" t="s">
        <v>46</v>
      </c>
    </row>
    <row r="9" spans="3:13" ht="31.5" x14ac:dyDescent="0.25">
      <c r="C9" s="80" t="s">
        <v>60</v>
      </c>
      <c r="E9" s="38" t="s">
        <v>79</v>
      </c>
      <c r="G9" s="38" t="s">
        <v>54</v>
      </c>
      <c r="I9" s="38" t="s">
        <v>54</v>
      </c>
    </row>
    <row r="10" spans="3:13" ht="15.75" x14ac:dyDescent="0.25">
      <c r="C10" s="81" t="s">
        <v>67</v>
      </c>
      <c r="E10" s="38" t="s">
        <v>80</v>
      </c>
      <c r="G10" s="38" t="s">
        <v>48</v>
      </c>
      <c r="I10" s="38" t="s">
        <v>48</v>
      </c>
    </row>
    <row r="11" spans="3:13" ht="15.75" x14ac:dyDescent="0.25">
      <c r="C11" s="80" t="s">
        <v>31</v>
      </c>
      <c r="E11" s="38" t="s">
        <v>40</v>
      </c>
      <c r="G11" s="38" t="s">
        <v>49</v>
      </c>
      <c r="I11" s="38" t="s">
        <v>49</v>
      </c>
    </row>
    <row r="12" spans="3:13" ht="15.75" x14ac:dyDescent="0.25">
      <c r="C12" s="81" t="s">
        <v>32</v>
      </c>
      <c r="E12" s="38" t="s">
        <v>81</v>
      </c>
      <c r="G12" s="38" t="s">
        <v>51</v>
      </c>
      <c r="I12" s="38" t="s">
        <v>51</v>
      </c>
    </row>
    <row r="13" spans="3:13" ht="31.5" x14ac:dyDescent="0.25">
      <c r="C13" s="80" t="s">
        <v>33</v>
      </c>
      <c r="E13" s="38" t="s">
        <v>82</v>
      </c>
      <c r="G13" s="38" t="s">
        <v>52</v>
      </c>
      <c r="I13" s="38" t="s">
        <v>52</v>
      </c>
    </row>
    <row r="14" spans="3:13" ht="15.75" x14ac:dyDescent="0.25">
      <c r="C14" s="81" t="s">
        <v>68</v>
      </c>
      <c r="E14" s="38" t="s">
        <v>83</v>
      </c>
    </row>
    <row r="15" spans="3:13" ht="15.75" x14ac:dyDescent="0.25">
      <c r="C15" s="80" t="s">
        <v>69</v>
      </c>
      <c r="E15" s="38" t="s">
        <v>84</v>
      </c>
    </row>
    <row r="16" spans="3:13" ht="15.75" x14ac:dyDescent="0.25">
      <c r="C16" s="81" t="s">
        <v>34</v>
      </c>
      <c r="E16" s="38" t="s">
        <v>85</v>
      </c>
    </row>
    <row r="17" spans="3:5" ht="31.5" x14ac:dyDescent="0.25">
      <c r="C17" s="80" t="s">
        <v>35</v>
      </c>
      <c r="E17" s="38" t="s">
        <v>86</v>
      </c>
    </row>
    <row r="18" spans="3:5" ht="15.75" x14ac:dyDescent="0.25">
      <c r="C18" s="81" t="s">
        <v>36</v>
      </c>
      <c r="E18" s="38" t="s">
        <v>41</v>
      </c>
    </row>
    <row r="19" spans="3:5" ht="15.75" x14ac:dyDescent="0.25">
      <c r="C19" s="80" t="s">
        <v>61</v>
      </c>
      <c r="E19" s="38" t="s">
        <v>87</v>
      </c>
    </row>
    <row r="20" spans="3:5" ht="15.75" x14ac:dyDescent="0.25">
      <c r="C20" s="81" t="s">
        <v>37</v>
      </c>
      <c r="E20" s="38" t="s">
        <v>42</v>
      </c>
    </row>
    <row r="21" spans="3:5" ht="15.75" x14ac:dyDescent="0.25">
      <c r="C21" s="80" t="s">
        <v>70</v>
      </c>
      <c r="E21" s="38"/>
    </row>
    <row r="22" spans="3:5" x14ac:dyDescent="0.25">
      <c r="C22" s="81" t="s">
        <v>38</v>
      </c>
    </row>
    <row r="23" spans="3:5" x14ac:dyDescent="0.25">
      <c r="C23" s="80" t="s">
        <v>39</v>
      </c>
    </row>
    <row r="24" spans="3:5" x14ac:dyDescent="0.25">
      <c r="C24" s="81" t="s">
        <v>71</v>
      </c>
    </row>
    <row r="25" spans="3:5" x14ac:dyDescent="0.25">
      <c r="C25" s="80" t="s">
        <v>72</v>
      </c>
    </row>
    <row r="26" spans="3:5" x14ac:dyDescent="0.25">
      <c r="C26" s="81" t="s">
        <v>73</v>
      </c>
    </row>
    <row r="27" spans="3:5" x14ac:dyDescent="0.25">
      <c r="C27" s="80" t="s">
        <v>62</v>
      </c>
    </row>
    <row r="28" spans="3:5" x14ac:dyDescent="0.25">
      <c r="C28" s="81" t="s">
        <v>74</v>
      </c>
    </row>
    <row r="29" spans="3:5" x14ac:dyDescent="0.25">
      <c r="C29" s="80" t="s">
        <v>75</v>
      </c>
    </row>
    <row r="30" spans="3:5" x14ac:dyDescent="0.25">
      <c r="C30" s="82" t="s">
        <v>42</v>
      </c>
    </row>
  </sheetData>
  <sheetProtection algorithmName="SHA-512" hashValue="8OnA1PdIlHH6TAdXC4kKmurMDTLH0TaN0/8yXsb0j2gW8g6ci7rK0boYpFyFrRlsmckr1UrOhrdzDYVWELLr8Q==" saltValue="cwPl7iCL6QfWtD3RYGStMQ==" spinCount="100000" sheet="1" objects="1" scenarios="1"/>
  <sortState xmlns:xlrd2="http://schemas.microsoft.com/office/spreadsheetml/2017/richdata2" ref="C2:C28">
    <sortCondition ref="C2:C28"/>
  </sortState>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C997D0584C65D54BA5094F13A0FC7D85" ma:contentTypeVersion="16" ma:contentTypeDescription="Create a new document." ma:contentTypeScope="" ma:versionID="e3cb76a1a49c7f3335bb1ec3b4c13603">
  <xsd:schema xmlns:xsd="http://www.w3.org/2001/XMLSchema" xmlns:xs="http://www.w3.org/2001/XMLSchema" xmlns:p="http://schemas.microsoft.com/office/2006/metadata/properties" xmlns:ns2="f569dac8-a9d9-40be-8f23-bfd88c56db6f" xmlns:ns3="1238d261-19dc-4c10-a5e2-efd717162ffa" xmlns:ns4="07df983f-8b2f-4cc8-9f06-5b87614c9598" targetNamespace="http://schemas.microsoft.com/office/2006/metadata/properties" ma:root="true" ma:fieldsID="1fa28a92aa75f35dea2d022687465406" ns2:_="" ns3:_="" ns4:_="">
    <xsd:import namespace="f569dac8-a9d9-40be-8f23-bfd88c56db6f"/>
    <xsd:import namespace="1238d261-19dc-4c10-a5e2-efd717162ffa"/>
    <xsd:import namespace="07df983f-8b2f-4cc8-9f06-5b87614c959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69dac8-a9d9-40be-8f23-bfd88c56db6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238d261-19dc-4c10-a5e2-efd717162ff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82621de-c763-4c71-a8ab-90f0fd303dac"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7df983f-8b2f-4cc8-9f06-5b87614c9598"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f2a5fd70-d5d9-4adf-adee-5da4fcb19b3b}" ma:internalName="TaxCatchAll" ma:showField="CatchAllData" ma:web="07df983f-8b2f-4cc8-9f06-5b87614c95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7df983f-8b2f-4cc8-9f06-5b87614c9598" xsi:nil="true"/>
    <lcf76f155ced4ddcb4097134ff3c332f xmlns="1238d261-19dc-4c10-a5e2-efd717162ff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3743C14-92B5-4F49-8066-E29FB59CBA85}">
  <ds:schemaRefs>
    <ds:schemaRef ds:uri="http://schemas.microsoft.com/sharepoint/v3/contenttype/forms"/>
  </ds:schemaRefs>
</ds:datastoreItem>
</file>

<file path=customXml/itemProps2.xml><?xml version="1.0" encoding="utf-8"?>
<ds:datastoreItem xmlns:ds="http://schemas.openxmlformats.org/officeDocument/2006/customXml" ds:itemID="{D99B3B13-6DD5-4F84-A021-5F51798E7A8C}">
  <ds:schemaRefs>
    <ds:schemaRef ds:uri="http://schemas.microsoft.com/DataMashup"/>
  </ds:schemaRefs>
</ds:datastoreItem>
</file>

<file path=customXml/itemProps3.xml><?xml version="1.0" encoding="utf-8"?>
<ds:datastoreItem xmlns:ds="http://schemas.openxmlformats.org/officeDocument/2006/customXml" ds:itemID="{1A9C4E66-156B-4721-A8A1-0009921206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69dac8-a9d9-40be-8f23-bfd88c56db6f"/>
    <ds:schemaRef ds:uri="1238d261-19dc-4c10-a5e2-efd717162ffa"/>
    <ds:schemaRef ds:uri="07df983f-8b2f-4cc8-9f06-5b87614c95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A362251-0D32-44A9-85BF-147B0B4C29B1}">
  <ds:schemaRefs>
    <ds:schemaRef ds:uri="1238d261-19dc-4c10-a5e2-efd717162ffa"/>
    <ds:schemaRef ds:uri="http://schemas.microsoft.com/office/2006/metadata/properties"/>
    <ds:schemaRef ds:uri="http://schemas.microsoft.com/office/infopath/2007/PartnerControls"/>
    <ds:schemaRef ds:uri="http://www.w3.org/XML/1998/namespace"/>
    <ds:schemaRef ds:uri="http://purl.org/dc/elements/1.1/"/>
    <ds:schemaRef ds:uri="f569dac8-a9d9-40be-8f23-bfd88c56db6f"/>
    <ds:schemaRef ds:uri="http://schemas.microsoft.com/office/2006/documentManagement/types"/>
    <ds:schemaRef ds:uri="http://purl.org/dc/terms/"/>
    <ds:schemaRef ds:uri="http://schemas.openxmlformats.org/package/2006/metadata/core-properties"/>
    <ds:schemaRef ds:uri="07df983f-8b2f-4cc8-9f06-5b87614c9598"/>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Deviations</vt:lpstr>
      <vt:lpstr>Deviation Area </vt:lpstr>
      <vt:lpstr>Deviations!Print_Titles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Minhaz Raja</dc:creator>
  <cp:keywords/>
  <dc:description/>
  <cp:lastModifiedBy>Hayem Khalfallah</cp:lastModifiedBy>
  <cp:revision/>
  <cp:lastPrinted>2024-11-21T11:11:28Z</cp:lastPrinted>
  <dcterms:created xsi:type="dcterms:W3CDTF">2022-10-18T09:49:38Z</dcterms:created>
  <dcterms:modified xsi:type="dcterms:W3CDTF">2026-09-08T09:38:01Z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0x010100C997D0584C65D54BA5094F13A0FC7D85</vt:lpwstr>
  </property>
</Properties>
</file>