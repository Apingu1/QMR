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defaultThemeVersion="124226"/>
  <xr:revisionPtr revIDLastSave="0" documentId="13_ncr:1_{44F74B90-CA9B-445E-ACC2-B26BF171BE07}" xr6:coauthVersionLast="47" xr6:coauthVersionMax="47" xr10:uidLastSave="{00000000-0000-0000-0000-000000000000}"/>
  <workbookProtection workbookAlgorithmName="SHA-512" workbookHashValue="Jbb2PfPZHxce+YvXYsowDvqOs9OqaClz6dckFnnl2UOON8AUj10+CD1QIcx6NDjFU6kAcXCFHg9cZ3cBl1YYNQ==" workbookSaltValue="LWThxUGn+HocS3/u+HOy8Q==" workbookSpinCount="100000" lockStructure="1"/>
  <bookViews>
    <workbookView xWindow="28680" yWindow="-120" windowWidth="29040" windowHeight="15720" tabRatio="855" xr2:uid="{00000000-000D-0000-FFFF-FFFF00000000}"/>
  </bookViews>
  <sheets>
    <sheet name="Complaints Log" sheetId="1" r:id="rId1"/>
    <sheet name="Complaint area" sheetId="2" state="hidden" r:id="rId2"/>
  </sheets>
  <definedNames>
    <definedName name="_xlnm._FilterDatabase" localSheetId="0" hidden="1">'Complaints Log'!$A$2:$W$2</definedName>
    <definedName name="_xlnm.Print_Titles" localSheetId="0">'Complaints Log'!$1:$2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7" i="1" l="1"/>
  <c r="K118" i="1"/>
  <c r="M117" i="1"/>
  <c r="M118" i="1"/>
  <c r="Q117" i="1"/>
  <c r="Q118" i="1"/>
  <c r="K69" i="1"/>
  <c r="M69" i="1"/>
  <c r="Q69" i="1"/>
  <c r="K70" i="1"/>
  <c r="M70" i="1"/>
  <c r="Q70" i="1"/>
  <c r="K71" i="1"/>
  <c r="M71" i="1"/>
  <c r="Q71" i="1"/>
  <c r="K72" i="1"/>
  <c r="M72" i="1"/>
  <c r="Q72" i="1"/>
  <c r="K73" i="1"/>
  <c r="M73" i="1"/>
  <c r="Q73" i="1"/>
  <c r="K74" i="1"/>
  <c r="M74" i="1"/>
  <c r="Q74" i="1"/>
  <c r="K75" i="1"/>
  <c r="M75" i="1"/>
  <c r="Q75" i="1"/>
  <c r="K76" i="1"/>
  <c r="M76" i="1"/>
  <c r="Q76" i="1"/>
  <c r="K77" i="1"/>
  <c r="M77" i="1"/>
  <c r="Q77" i="1"/>
  <c r="K78" i="1"/>
  <c r="M78" i="1"/>
  <c r="Q78" i="1"/>
  <c r="K79" i="1"/>
  <c r="M79" i="1"/>
  <c r="Q79" i="1"/>
  <c r="K80" i="1"/>
  <c r="M80" i="1"/>
  <c r="Q80" i="1"/>
  <c r="K81" i="1"/>
  <c r="M81" i="1"/>
  <c r="Q81" i="1"/>
  <c r="K82" i="1"/>
  <c r="M82" i="1"/>
  <c r="Q82" i="1"/>
  <c r="K83" i="1"/>
  <c r="M83" i="1"/>
  <c r="Q83" i="1"/>
  <c r="K84" i="1"/>
  <c r="M84" i="1"/>
  <c r="Q84" i="1"/>
  <c r="K85" i="1"/>
  <c r="M85" i="1"/>
  <c r="Q85" i="1"/>
  <c r="K86" i="1"/>
  <c r="M86" i="1"/>
  <c r="Q86" i="1"/>
  <c r="K87" i="1"/>
  <c r="M87" i="1"/>
  <c r="Q87" i="1"/>
  <c r="K88" i="1"/>
  <c r="M88" i="1"/>
  <c r="Q88" i="1"/>
  <c r="K89" i="1"/>
  <c r="M89" i="1"/>
  <c r="Q89" i="1"/>
  <c r="K90" i="1"/>
  <c r="M90" i="1"/>
  <c r="Q90" i="1"/>
  <c r="K91" i="1"/>
  <c r="M91" i="1"/>
  <c r="Q91" i="1"/>
  <c r="K92" i="1"/>
  <c r="M92" i="1"/>
  <c r="Q92" i="1"/>
  <c r="K93" i="1"/>
  <c r="M93" i="1"/>
  <c r="Q93" i="1"/>
  <c r="K94" i="1"/>
  <c r="M94" i="1"/>
  <c r="Q94" i="1"/>
  <c r="K95" i="1"/>
  <c r="M95" i="1"/>
  <c r="Q95" i="1"/>
  <c r="K96" i="1"/>
  <c r="M96" i="1"/>
  <c r="Q96" i="1"/>
  <c r="K97" i="1"/>
  <c r="M97" i="1"/>
  <c r="Q97" i="1"/>
  <c r="K98" i="1"/>
  <c r="M98" i="1"/>
  <c r="Q98" i="1"/>
  <c r="K99" i="1"/>
  <c r="M99" i="1"/>
  <c r="Q99" i="1"/>
  <c r="K100" i="1"/>
  <c r="M100" i="1"/>
  <c r="Q100" i="1"/>
  <c r="K101" i="1"/>
  <c r="M101" i="1"/>
  <c r="Q101" i="1"/>
  <c r="K102" i="1"/>
  <c r="M102" i="1"/>
  <c r="Q102" i="1"/>
  <c r="K103" i="1"/>
  <c r="M103" i="1"/>
  <c r="Q103" i="1"/>
  <c r="K104" i="1"/>
  <c r="M104" i="1"/>
  <c r="Q104" i="1"/>
  <c r="K105" i="1"/>
  <c r="M105" i="1"/>
  <c r="Q105" i="1"/>
  <c r="K106" i="1"/>
  <c r="M106" i="1"/>
  <c r="Q106" i="1"/>
  <c r="K107" i="1"/>
  <c r="M107" i="1"/>
  <c r="Q107" i="1"/>
  <c r="K108" i="1"/>
  <c r="M108" i="1"/>
  <c r="Q108" i="1"/>
  <c r="K109" i="1"/>
  <c r="M109" i="1"/>
  <c r="Q109" i="1"/>
  <c r="K110" i="1"/>
  <c r="M110" i="1"/>
  <c r="Q110" i="1"/>
  <c r="K111" i="1"/>
  <c r="M111" i="1"/>
  <c r="Q111" i="1"/>
  <c r="K112" i="1"/>
  <c r="M112" i="1"/>
  <c r="Q112" i="1"/>
  <c r="K113" i="1"/>
  <c r="M113" i="1"/>
  <c r="Q113" i="1"/>
  <c r="K114" i="1"/>
  <c r="M114" i="1"/>
  <c r="Q114" i="1"/>
  <c r="K115" i="1"/>
  <c r="M115" i="1"/>
  <c r="Q115" i="1"/>
  <c r="K116" i="1"/>
  <c r="M116" i="1"/>
  <c r="Q116" i="1"/>
  <c r="K67" i="1"/>
  <c r="M67" i="1"/>
  <c r="Q67" i="1"/>
  <c r="K68" i="1"/>
  <c r="M68" i="1"/>
  <c r="Q68" i="1"/>
  <c r="K40" i="1"/>
  <c r="M40" i="1"/>
  <c r="Q40" i="1"/>
  <c r="K41" i="1"/>
  <c r="M41" i="1"/>
  <c r="Q41" i="1"/>
  <c r="K42" i="1"/>
  <c r="M42" i="1"/>
  <c r="Q42" i="1"/>
  <c r="K43" i="1"/>
  <c r="M43" i="1"/>
  <c r="Q43" i="1"/>
  <c r="K44" i="1"/>
  <c r="M44" i="1"/>
  <c r="Q44" i="1"/>
  <c r="K45" i="1"/>
  <c r="M45" i="1"/>
  <c r="Q45" i="1"/>
  <c r="K46" i="1"/>
  <c r="M46" i="1"/>
  <c r="Q46" i="1"/>
  <c r="K47" i="1"/>
  <c r="M47" i="1"/>
  <c r="Q47" i="1"/>
  <c r="K48" i="1"/>
  <c r="M48" i="1"/>
  <c r="Q48" i="1"/>
  <c r="K49" i="1"/>
  <c r="M49" i="1"/>
  <c r="Q49" i="1"/>
  <c r="K50" i="1"/>
  <c r="M50" i="1"/>
  <c r="Q50" i="1"/>
  <c r="K51" i="1"/>
  <c r="M51" i="1"/>
  <c r="Q51" i="1"/>
  <c r="K52" i="1"/>
  <c r="M52" i="1"/>
  <c r="Q52" i="1"/>
  <c r="K53" i="1"/>
  <c r="M53" i="1"/>
  <c r="Q53" i="1"/>
  <c r="K54" i="1"/>
  <c r="M54" i="1"/>
  <c r="Q54" i="1"/>
  <c r="K55" i="1"/>
  <c r="M55" i="1"/>
  <c r="Q55" i="1"/>
  <c r="K56" i="1"/>
  <c r="M56" i="1"/>
  <c r="Q56" i="1"/>
  <c r="K57" i="1"/>
  <c r="M57" i="1"/>
  <c r="Q57" i="1"/>
  <c r="K58" i="1"/>
  <c r="M58" i="1"/>
  <c r="Q58" i="1"/>
  <c r="K59" i="1"/>
  <c r="M59" i="1"/>
  <c r="Q59" i="1"/>
  <c r="K60" i="1"/>
  <c r="M60" i="1"/>
  <c r="Q60" i="1"/>
  <c r="K61" i="1"/>
  <c r="M61" i="1"/>
  <c r="Q61"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62" i="1"/>
  <c r="M63" i="1"/>
  <c r="M64" i="1"/>
  <c r="M65" i="1"/>
  <c r="M66"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62" i="1"/>
  <c r="Q63" i="1"/>
  <c r="Q64" i="1"/>
  <c r="Q65" i="1"/>
  <c r="Q66" i="1"/>
  <c r="Q4" i="1"/>
  <c r="Q5" i="1"/>
  <c r="Q6" i="1"/>
  <c r="Q7" i="1"/>
  <c r="Q8" i="1"/>
  <c r="Q9" i="1"/>
  <c r="Q10"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62" i="1"/>
  <c r="K63" i="1"/>
  <c r="K64" i="1"/>
  <c r="K65" i="1"/>
  <c r="K66" i="1"/>
  <c r="K3" i="1" l="1"/>
  <c r="Q3" i="1" l="1"/>
  <c r="M3" i="1"/>
  <c r="M4" i="1"/>
  <c r="M5" i="1"/>
  <c r="M6" i="1"/>
  <c r="M7" i="1"/>
  <c r="M8" i="1"/>
  <c r="M9" i="1"/>
  <c r="M10" i="1"/>
</calcChain>
</file>

<file path=xl/sharedStrings.xml><?xml version="1.0" encoding="utf-8"?>
<sst xmlns="http://schemas.openxmlformats.org/spreadsheetml/2006/main" count="194" uniqueCount="119">
  <si>
    <t>QMS DATA COMPLAINTS LOG
Version 1.0</t>
  </si>
  <si>
    <t>Complaint Reference</t>
  </si>
  <si>
    <t>QA RP</t>
  </si>
  <si>
    <t>Details of Complaint</t>
  </si>
  <si>
    <t>Part 1 Due Date</t>
  </si>
  <si>
    <t>Part 1 Completion Date</t>
  </si>
  <si>
    <t>Days Taken to do Part 1</t>
  </si>
  <si>
    <t>Status</t>
  </si>
  <si>
    <t>Wet ink copy filed away? (Y/N)</t>
  </si>
  <si>
    <t>Location</t>
  </si>
  <si>
    <t>Comments</t>
  </si>
  <si>
    <t>Date Complaint Raised</t>
  </si>
  <si>
    <t>Complaint Area (Processes and activities)</t>
  </si>
  <si>
    <t xml:space="preserve">Product Details </t>
  </si>
  <si>
    <t xml:space="preserve">Brief Summary </t>
  </si>
  <si>
    <t>RPN</t>
  </si>
  <si>
    <t xml:space="preserve">Classification of Complaint </t>
  </si>
  <si>
    <t xml:space="preserve">Target Date </t>
  </si>
  <si>
    <t xml:space="preserve">Person assigned </t>
  </si>
  <si>
    <t>Root Cause(s) Identified</t>
  </si>
  <si>
    <t>Department(s) Involved in Root Cause (if applicable)</t>
  </si>
  <si>
    <t xml:space="preserve">Reclassification of Complaint </t>
  </si>
  <si>
    <t>QA Approval By</t>
  </si>
  <si>
    <t>Approval Date</t>
  </si>
  <si>
    <t>Days Investigation Open</t>
  </si>
  <si>
    <t>Complaint Raised By</t>
  </si>
  <si>
    <t>Strength</t>
  </si>
  <si>
    <t xml:space="preserve">Pharmacovigilance </t>
  </si>
  <si>
    <t>Delivery</t>
  </si>
  <si>
    <t>Documentation</t>
  </si>
  <si>
    <t>Investigation Closed Date</t>
  </si>
  <si>
    <t xml:space="preserve">Root Causes Identified </t>
  </si>
  <si>
    <t>Department involved in root causes</t>
  </si>
  <si>
    <t>BMR</t>
  </si>
  <si>
    <t>CBPM</t>
  </si>
  <si>
    <t>Customer Service</t>
  </si>
  <si>
    <t xml:space="preserve">Dispatch </t>
  </si>
  <si>
    <t xml:space="preserve">Final Release </t>
  </si>
  <si>
    <t>Finance</t>
  </si>
  <si>
    <t>Procurement</t>
  </si>
  <si>
    <t>Production</t>
  </si>
  <si>
    <t xml:space="preserve">QA </t>
  </si>
  <si>
    <t xml:space="preserve">QC </t>
  </si>
  <si>
    <t>R&amp;D</t>
  </si>
  <si>
    <t xml:space="preserve">SLT </t>
  </si>
  <si>
    <t>Departments/Areas Affected</t>
  </si>
  <si>
    <t>Spreadsheet no:  ES.CSV.012
COMPLAINTS LOG
Spreadsheet Owner: Umar Ahmed 
Ref. SOP: ES.SOP.008</t>
  </si>
  <si>
    <t>Product mix-up</t>
  </si>
  <si>
    <t>Product Appearance</t>
  </si>
  <si>
    <t>AE/ADRs</t>
  </si>
  <si>
    <t>Product Formulation</t>
  </si>
  <si>
    <t>Product Scent</t>
  </si>
  <si>
    <t>Labelling/PIL</t>
  </si>
  <si>
    <t>Faulty Product</t>
  </si>
  <si>
    <t>Product Quantity</t>
  </si>
  <si>
    <t>Product Expiry</t>
  </si>
  <si>
    <t>Product Efficacy</t>
  </si>
  <si>
    <t>Product Contamination</t>
  </si>
  <si>
    <t>Other</t>
  </si>
  <si>
    <t>Product Packaging</t>
  </si>
  <si>
    <t xml:space="preserve">Equipment Fault </t>
  </si>
  <si>
    <t>No Procedure In Place</t>
  </si>
  <si>
    <t>Procedure Is Defficient</t>
  </si>
  <si>
    <t>Training / Skills / Knowledge Issue</t>
  </si>
  <si>
    <t>Human Error</t>
  </si>
  <si>
    <t>End User Error</t>
  </si>
  <si>
    <t>Manufacturers Processes Are Deficient</t>
  </si>
  <si>
    <t>Inadequate Segregation Of Products</t>
  </si>
  <si>
    <t>Formulation Issue</t>
  </si>
  <si>
    <t>Root Cause Inconclusive</t>
  </si>
  <si>
    <t>Damage During Transportation/Mishandled By Courier</t>
  </si>
  <si>
    <t>Equipment Availability</t>
  </si>
  <si>
    <t>It/System Issues</t>
  </si>
  <si>
    <t>Inadequate Segregation Of Raw Materials</t>
  </si>
  <si>
    <t>GMP.CPL.2026.001</t>
  </si>
  <si>
    <t>AHA</t>
  </si>
  <si>
    <t>DOXA2</t>
  </si>
  <si>
    <t>On 16 Jan 2026, Eaststone received a complaint from Browns Pharmacy on behalf of a patient, who reported that all four bottles of the product, DOXA2, supplied to them contained “black specks within the suspension” 
(See Appendix 1).
As DOXA2 is manufactured for stock and the patient indicated that all four bottles supplied were affected, all remaining stock of the batch held on site was immediately placed under quarantine. Arrangements were made for the four bottles in the patient’s possession to be returned for visual inspection and confirmation of the reported contamination. To ensure continuity of patient treatment, replacement bottles were sourced externally and supplied to the patient.</t>
  </si>
  <si>
    <t>Minor</t>
  </si>
  <si>
    <t xml:space="preserve">Patient, reported that all four bottles of the product, DOXA2, supplied to them contained “black specks within the suspension” 
</t>
  </si>
  <si>
    <t>N/A</t>
  </si>
  <si>
    <t>MR</t>
  </si>
  <si>
    <t>Completed</t>
  </si>
  <si>
    <t>Y</t>
  </si>
  <si>
    <t>Closed Complaints File</t>
  </si>
  <si>
    <t>No root cause analysis conducted as complaint was invalid</t>
  </si>
  <si>
    <t>GMP.CPL.2026.002</t>
  </si>
  <si>
    <t>GN</t>
  </si>
  <si>
    <t>OLAN1</t>
  </si>
  <si>
    <t>Major</t>
  </si>
  <si>
    <t xml:space="preserve">Customer received Olanzapine 2.5mg/5ml Oral Suspension opened, with the seal on the bottle cap broken. 1 x 140ml bottle of the suspension was received by the Dispensary on 21 January 2026. After consultation with Eaststone Quality Assurance, the customer was advised to dispose of the product and was not received by the patient.   </t>
  </si>
  <si>
    <t xml:space="preserve">Seal on Olanzepine bottle broken </t>
  </si>
  <si>
    <t>GMP.CPL.2026.003</t>
  </si>
  <si>
    <t>HYDR47</t>
  </si>
  <si>
    <t>GMP.CPL.2026.004</t>
  </si>
  <si>
    <t>Incorrect year on labels for all affected batches</t>
  </si>
  <si>
    <t>On 16 FEB 2026, Eaststone received a complaint from Westpoint Pharmacy on behalf of a patient, who complained that the product of HYDR47 received, was only half full and had a runny consistency.</t>
  </si>
  <si>
    <t>On 16 FEB 2026, Eaststone received a complaint from Westpoint Pharmacy on behalf of a patient, who complained that the product of HYDR47 received, was only half full and had a runny consistency. 
An initial response was sent out to the customer to acknowledge the complaint and attempt to obtain further information to aid in the investigation and root cause identification. Photographs were requested and arrangements were made for the product to be returned for visual inspection and confirmation of the complaint. (See Appendix 1)
Therefore, a thorough investigation will be conducted to evaluate the circumstances of this complaint, determine validity of the complaint, determine whether any quality related factors may have contributed to the complaint and assess the quality of the product. The investigation will include a review of all relevant batch records, raw materials, storage conditions, complaint history and any available supporting information from the patient or pharmacy. This assessment will be performed in accordance with Eaststone’s Quality Management System and applicable GMP requirements to ensure that any potential root causes are identified and that appropriate corrective and preventive actions are implemented where necessary.</t>
  </si>
  <si>
    <t>RAMI4, SALI19, MELA32, ENAL2, BEND1 NIFE1A</t>
  </si>
  <si>
    <t>On 17 February 2026, Eaststone received a complaint from Wellbeing Pharmacy regarding product MELA32, reporting that the supplied product was out of date (See Appendix 1).
An initial acknowledgement was sent to the customer and photographic evidence was requested to support the investigation and facilitate root cause identification. Subsequent reviews shortly after identified that a total of 6 batches were affected by an incorrect expiry date printed on the product labels.
Upon confirmation of the labelling error, all impacted customers were formally notified. Customers were instructed to dispose of the affected stock using the material disposal documentation issued by Eaststone, and all affected orders were reprocessed and resupplied to ensure continuity of patient medication.
A comprehensive investigation will be conducted to evaluate the circumstances surrounding this complaint to determine whether any quality related factors contributed to the issue and to assess any potential impact on product quality, safety or compliance. The investigation will include a review of:
•	Batch Manufacturing and Packaging Procedures
•	Label Generation and Approval Procedures</t>
  </si>
  <si>
    <t>GMP.CPL.2026.005</t>
  </si>
  <si>
    <t>HK</t>
  </si>
  <si>
    <t>GABA17</t>
  </si>
  <si>
    <t>the customer got burning sensation on the body after applying the product</t>
  </si>
  <si>
    <t>On Wednesday 25th February 2026, a product quality complaint was received from an Alliance customer concerning Gabapentin 6% Gel, batch number BN178593. The pharmacy reported that a patient applied the product and experienced an immediate burning sensation at the site of application. The sensation was described as occurring straight away upon application of the gel. No visible skin changes were reported, and there were no observable signs of dermatological reaction. The complaint specifically relates to the burning sensation experienced during application, with no visible external reaction noted at the time of reporting.</t>
  </si>
  <si>
    <t xml:space="preserve">Possible faulty packaging </t>
  </si>
  <si>
    <t>Other
Most probable root cause of this complaint is that as this the first time ordering this product from Eaststone, the patient has raised concerns over the fill quantity and consistency of the product, which may be different to what the patient has received previously from other suppliers. Additionally, no quality defects were found with the product.</t>
  </si>
  <si>
    <t>Human Error / IT/System Isssues</t>
  </si>
  <si>
    <t>QA</t>
  </si>
  <si>
    <t>GMP.CPL.2026.006</t>
  </si>
  <si>
    <t>ASPI4</t>
  </si>
  <si>
    <t>Missing label on primary packaging of suppositories</t>
  </si>
  <si>
    <t>On 04 June 2026, Eaststone received a complaint relating to the labelling of Aspirin 300 mg Suppositories (ASPI4). The complaint identified that the suppository mould, in which the product is supplied, was not labelled with the finished product label. Under the current process, suppositories are dispensed within the mould and packaged within a box, where only the box is affixed with the finished product label.
Additionally, on 08 June 2026, another complaint was raised by the same customer for a different suppository product, Chloral Hydrate 500mg Suppositories (CHLO23). This complaint was for the same issue identified in ASPI4.
Following a review of the applicable GMP and regulatory requirements, it was determined that the suppository mould constitutes primary packaging as it is in direct contact with the product. As such, the primary packaging should be appropriately labelled to ensure product identification and traceability. These complaints were therefore confirmed as valid, and a formal investigation was initiated to determine the root cause of this deficiency and identify appropriate corrective and preventive actions (CAPAs) to prevent recurrence.</t>
  </si>
  <si>
    <t>Procedure is deficient</t>
  </si>
  <si>
    <t>GMP.CPL.2026.007</t>
  </si>
  <si>
    <t>OMEP4</t>
  </si>
  <si>
    <t>missing a number from the expiry date on the label</t>
  </si>
  <si>
    <t>On 19 August 2026, the customer notified Eaststone Ltd that, upon receipt of their order, one unit of OME1013 – Omeprazole 20 mg/5 ml Oral Suspension, 100 ml, supplied under PO 0000064326, was identified with a labelling defect at the customer’s premises. The first digit “2” was missing from the expiry year “2026” on the product label. The customer confirmed that one unit was affected and could not be supplied. Photographic evidence was provided. Replacement stock was arranged and dispatched to the customer.</t>
  </si>
  <si>
    <t>Part 1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</si>
</sst>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Arial"/>
      <family val="2"/>
    </font>
    <font>
      <sz val="8"/>
      <name val="Calibri"/>
      <family val="2"/>
      <scheme val="minor"/>
    </font>
    <font>
      <sz val="12"/>
      <name val="Arial"/>
      <family val="2"/>
    </font>
    <font>
      <sz val="16"/>
      <color theme="0"/>
      <name val="Arial"/>
      <family val="2"/>
    </font>
    <font>
      <b/>
      <sz val="11"/>
      <color theme="1"/>
      <name val="Calibri"/>
      <family val="2"/>
      <scheme val="minor"/>
    </font>
    <font>
      <sz val="11"/>
      <name val="Calibri"/>
      <family val="2"/>
      <scheme val="minor"/>
    </font>
    <font>
      <b/>
      <sz val="11"/>
      <color theme="1"/>
      <name val="Calibri"/>
      <family val="2"/>
    </font>
    <font>
      <sz val="12"/>
      <name val="Calibri"/>
      <family val="2"/>
      <scheme val="minor"/>
    </font>
    <font>
      <b/>
      <sz val="11"/>
      <color theme="0"/>
      <name val="Calibri"/>
      <family val="2"/>
    </font>
  </fonts>
  <fills count="8">
    <fill>
      <patternFill patternType="none"/>
    </fill>
    <fill>
      <patternFill patternType="gray125"/>
    </fill>
    <fill>
      <patternFill patternType="solid">
        <fgColor rgb="FFFFC000"/>
        <bgColor indexed="64"/>
      </patternFill>
    </fill>
    <fill>
      <patternFill patternType="solid">
        <fgColor theme="3" tint="0.79998168889431442"/>
        <bgColor indexed="64"/>
      </patternFill>
    </fill>
    <fill>
      <patternFill patternType="solid">
        <fgColor theme="8"/>
        <bgColor indexed="64"/>
      </patternFill>
    </fill>
    <fill>
      <patternFill patternType="solid">
        <fgColor rgb="FFFF99CC"/>
        <bgColor indexed="64"/>
      </patternFill>
    </fill>
    <fill>
      <patternFill patternType="solid">
        <fgColor theme="4" tint="0.79998168889431442"/>
        <bgColor indexed="64"/>
      </patternFill>
    </fill>
    <fill>
      <patternFill patternType="solid">
        <fgColor rgb="FF7030A0"/>
        <bgColor theme="1"/>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s>
  <cellStyleXfs count="1">
    <xf numFmtId="0" fontId="0" fillId="0" borderId="0"/>
  </cellStyleXfs>
  <cellXfs count="32">
    <xf numFmtId="0" fontId="0" fillId="0" borderId="0" xfId="0"/>
    <xf numFmtId="0" fontId="1" fillId="0" borderId="0" xfId="0" applyFont="1" applyAlignment="1">
      <alignment horizontal="center" vertical="center" wrapText="1"/>
    </xf>
    <xf numFmtId="0" fontId="1" fillId="0" borderId="0" xfId="0" applyFont="1" applyAlignment="1">
      <alignment horizontal="center" vertical="center"/>
    </xf>
    <xf numFmtId="15" fontId="1" fillId="0" borderId="0" xfId="0" applyNumberFormat="1" applyFont="1" applyAlignment="1">
      <alignment horizontal="center" vertical="center" wrapText="1"/>
    </xf>
    <xf numFmtId="0" fontId="3" fillId="0" borderId="0" xfId="0" applyFont="1" applyAlignment="1">
      <alignment horizontal="center" vertical="center"/>
    </xf>
    <xf numFmtId="0" fontId="0" fillId="0" borderId="0" xfId="0" applyAlignment="1">
      <alignment wrapText="1"/>
    </xf>
    <xf numFmtId="0" fontId="1" fillId="0" borderId="0" xfId="0" applyFont="1" applyAlignment="1" applyProtection="1">
      <alignment horizontal="center" vertical="center" wrapText="1"/>
      <protection locked="0"/>
    </xf>
    <xf numFmtId="15" fontId="1" fillId="0" borderId="0" xfId="0" applyNumberFormat="1" applyFont="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3" fillId="0" borderId="0" xfId="0" applyFont="1" applyAlignment="1" applyProtection="1">
      <alignment horizontal="center" vertical="center"/>
      <protection locked="0"/>
    </xf>
    <xf numFmtId="0" fontId="3" fillId="0" borderId="0" xfId="0" applyFont="1" applyAlignment="1" applyProtection="1">
      <alignment horizontal="center" vertical="center" wrapText="1"/>
      <protection locked="0"/>
    </xf>
    <xf numFmtId="0" fontId="1" fillId="0" borderId="0" xfId="0" applyFont="1" applyAlignment="1">
      <alignment horizontal="left"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0" fillId="3" borderId="3" xfId="0" applyFill="1" applyBorder="1" applyAlignment="1">
      <alignment horizontal="center" vertical="center" wrapText="1"/>
    </xf>
    <xf numFmtId="0" fontId="0" fillId="3" borderId="1" xfId="0"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5" fillId="4" borderId="2" xfId="0" applyFont="1" applyFill="1" applyBorder="1" applyAlignment="1">
      <alignment horizontal="center" vertical="center"/>
    </xf>
    <xf numFmtId="0" fontId="7" fillId="5" borderId="2"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0" fillId="0" borderId="0" xfId="0" applyProtection="1">
      <protection locked="0"/>
    </xf>
    <xf numFmtId="0" fontId="0" fillId="0" borderId="0" xfId="0" applyAlignment="1" applyProtection="1">
      <alignment wrapText="1"/>
      <protection locked="0"/>
    </xf>
    <xf numFmtId="0" fontId="5" fillId="2" borderId="4" xfId="0" applyFont="1" applyFill="1" applyBorder="1" applyAlignment="1">
      <alignment horizontal="center" wrapText="1"/>
    </xf>
    <xf numFmtId="0" fontId="0" fillId="3" borderId="5" xfId="0" applyFill="1" applyBorder="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left" vertical="center"/>
    </xf>
    <xf numFmtId="0" fontId="3"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cellXfs>
  <cellStyles count="1">
    <cellStyle name="Normal" xfId="0" builtinId="0"/>
  </cellStyles>
  <dxfs count="45">
    <dxf>
      <fill>
        <patternFill>
          <bgColor rgb="FFFFC7CE"/>
        </patternFill>
      </fill>
    </dxf>
    <dxf>
      <font>
        <b/>
        <i val="0"/>
      </font>
      <fill>
        <patternFill>
          <bgColor theme="3" tint="0.39994506668294322"/>
        </patternFill>
      </fill>
    </dxf>
    <dxf>
      <font>
        <b/>
        <i val="0"/>
      </font>
      <fill>
        <patternFill>
          <bgColor rgb="FFFF0000"/>
        </patternFill>
      </fill>
    </dxf>
    <dxf>
      <font>
        <b/>
        <i val="0"/>
      </font>
      <fill>
        <patternFill>
          <bgColor rgb="FF92D050"/>
        </patternFill>
      </fill>
    </dxf>
    <dxf>
      <font>
        <b/>
        <i val="0"/>
      </font>
      <fill>
        <patternFill>
          <bgColor rgb="FFFFC000"/>
        </patternFill>
      </fill>
    </dxf>
    <dxf>
      <font>
        <b/>
        <i val="0"/>
        <color rgb="FFFF0000"/>
      </font>
    </dxf>
    <dxf>
      <font>
        <b/>
        <i val="0"/>
        <color rgb="FF00B050"/>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patternType="solid">
          <fgColor indexed="64"/>
          <bgColor theme="3"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medium">
          <color indexed="64"/>
        </top>
        <bottom style="thin">
          <color indexed="64"/>
        </bottom>
      </border>
    </dxf>
    <dxf>
      <fill>
        <patternFill patternType="solid">
          <fgColor indexed="64"/>
          <bgColor theme="3" tint="0.79998168889431442"/>
        </patternFill>
      </fill>
      <alignment horizontal="center" vertical="center" textRotation="0" wrapText="1"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bottom" textRotation="0" wrapText="1" indent="0" justifyLastLine="0" shrinkToFit="0" readingOrder="0"/>
    </dxf>
    <dxf>
      <font>
        <b val="0"/>
        <strike val="0"/>
        <outline val="0"/>
        <shadow val="0"/>
        <u val="none"/>
        <vertAlign val="baseline"/>
        <sz val="12"/>
        <color auto="1"/>
        <name val="Arial"/>
        <family val="2"/>
        <scheme val="none"/>
      </font>
      <fill>
        <patternFill patternType="none">
          <fgColor indexed="64"/>
          <bgColor auto="1"/>
        </patternFill>
      </fill>
      <alignment horizontal="center" vertical="center" textRotation="0" indent="0" justifyLastLine="0" shrinkToFit="0" readingOrder="0"/>
      <protection locked="0" hidden="0"/>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protection locked="0" hidden="0"/>
    </dxf>
    <dxf>
      <font>
        <b val="0"/>
        <strike val="0"/>
        <outline val="0"/>
        <shadow val="0"/>
        <vertAlign val="baseline"/>
        <sz val="12"/>
        <name val="Arial"/>
        <family val="2"/>
        <scheme val="none"/>
      </font>
      <alignment horizontal="center" vertical="center" textRotation="0" indent="0" justifyLastLine="0" shrinkToFit="0" readingOrder="0"/>
      <protection locked="0" hidden="0"/>
    </dxf>
    <dxf>
      <font>
        <b val="0"/>
        <strike val="0"/>
        <outline val="0"/>
        <shadow val="0"/>
        <u val="none"/>
        <vertAlign val="baseline"/>
        <sz val="12"/>
        <color auto="1"/>
        <name val="Arial"/>
        <family val="2"/>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dxf>
    <dxf>
      <font>
        <b val="0"/>
        <strike val="0"/>
        <outline val="0"/>
        <shadow val="0"/>
        <vertAlign val="baseline"/>
        <sz val="12"/>
        <name val="Arial"/>
        <family val="2"/>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20" formatCode="dd\-mmm\-yy"/>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numFmt numFmtId="20" formatCode="dd\-mmm\-yy"/>
      <alignment horizontal="center"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protection locked="0" hidden="0"/>
    </dxf>
    <dxf>
      <font>
        <b val="0"/>
        <strike val="0"/>
        <outline val="0"/>
        <shadow val="0"/>
        <vertAlign val="baseline"/>
        <sz val="12"/>
        <name val="Arial"/>
        <family val="2"/>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protection locked="0" hidden="0"/>
    </dxf>
    <dxf>
      <font>
        <b val="0"/>
        <strike val="0"/>
        <outline val="0"/>
        <shadow val="0"/>
        <vertAlign val="baseline"/>
        <sz val="12"/>
        <name val="Arial"/>
        <family val="2"/>
        <scheme val="none"/>
      </font>
      <alignment horizontal="center" vertical="center" textRotation="0" wrapText="1" indent="0" justifyLastLine="0" shrinkToFit="0" readingOrder="0"/>
      <protection locked="1" hidden="0"/>
    </dxf>
    <dxf>
      <font>
        <b val="0"/>
        <strike val="0"/>
        <outline val="0"/>
        <shadow val="0"/>
        <vertAlign val="baseline"/>
        <sz val="12"/>
        <name val="Arial"/>
        <family val="2"/>
        <scheme val="none"/>
      </font>
      <alignment horizontal="center" vertical="center" textRotation="0" wrapText="1" indent="0" justifyLastLine="0" shrinkToFit="0" readingOrder="0"/>
      <protection locked="0" hidden="0"/>
    </dxf>
    <dxf>
      <font>
        <b val="0"/>
        <strike val="0"/>
        <outline val="0"/>
        <shadow val="0"/>
        <vertAlign val="baseline"/>
        <sz val="12"/>
        <name val="Arial"/>
        <family val="2"/>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protection locked="0" hidden="0"/>
    </dxf>
    <dxf>
      <font>
        <b val="0"/>
        <strike val="0"/>
        <outline val="0"/>
        <shadow val="0"/>
        <vertAlign val="baseline"/>
        <sz val="12"/>
        <name val="Arial"/>
        <family val="2"/>
        <scheme val="none"/>
      </font>
      <alignment horizontal="center" vertical="center" textRotation="0" wrapText="1" indent="0" justifyLastLine="0" shrinkToFit="0" readingOrder="0"/>
      <protection locked="0" hidden="0"/>
    </dxf>
    <dxf>
      <font>
        <b val="0"/>
        <strike val="0"/>
        <outline val="0"/>
        <shadow val="0"/>
        <vertAlign val="baseline"/>
        <sz val="12"/>
        <name val="Arial"/>
        <family val="2"/>
        <scheme val="none"/>
      </font>
      <numFmt numFmtId="20" formatCode="dd\-mmm\-yy"/>
      <alignment horizontal="center" vertical="center" textRotation="0" wrapText="1" indent="0" justifyLastLine="0" shrinkToFit="0" readingOrder="0"/>
      <protection locked="0" hidden="0"/>
    </dxf>
    <dxf>
      <font>
        <b val="0"/>
        <strike val="0"/>
        <outline val="0"/>
        <shadow val="0"/>
        <vertAlign val="baseline"/>
        <sz val="12"/>
        <name val="Arial"/>
        <family val="2"/>
        <scheme val="none"/>
      </font>
      <alignment horizontal="center" vertical="center" textRotation="0" wrapText="1" indent="0" justifyLastLine="0" shrinkToFit="0" readingOrder="0"/>
      <protection locked="0" hidden="0"/>
    </dxf>
    <dxf>
      <border outline="0">
        <left style="thin">
          <color indexed="64"/>
        </left>
      </border>
    </dxf>
    <dxf>
      <font>
        <b val="0"/>
        <strike val="0"/>
        <outline val="0"/>
        <shadow val="0"/>
        <vertAlign val="baseline"/>
        <sz val="12"/>
        <name val="Arial"/>
        <family val="2"/>
        <scheme val="none"/>
      </font>
      <alignment horizontal="center" vertical="center" textRotation="0" indent="0" justifyLastLine="0" shrinkToFit="0" readingOrder="0"/>
    </dxf>
    <dxf>
      <font>
        <b val="0"/>
        <strike val="0"/>
        <outline val="0"/>
        <shadow val="0"/>
        <u val="none"/>
        <vertAlign val="baseline"/>
        <sz val="16"/>
        <color theme="0"/>
        <name val="Arial"/>
        <family val="2"/>
        <scheme val="none"/>
      </font>
      <alignment horizontal="center" vertical="center" textRotation="0" indent="0" justifyLastLine="0" shrinkToFit="0" readingOrder="0"/>
      <protection locked="1" hidden="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24</xdr:col>
      <xdr:colOff>2932403</xdr:colOff>
      <xdr:row>0</xdr:row>
      <xdr:rowOff>0</xdr:rowOff>
    </xdr:from>
    <xdr:to>
      <xdr:col>16384</xdr:col>
      <xdr:colOff>614225</xdr:colOff>
      <xdr:row>0</xdr:row>
      <xdr:rowOff>854995</xdr:rowOff>
    </xdr:to>
    <xdr:pic>
      <xdr:nvPicPr>
        <xdr:cNvPr id="3" name="Picture 2">
          <a:extLst>
            <a:ext uri="{FF2B5EF4-FFF2-40B4-BE49-F238E27FC236}">
              <a16:creationId xmlns:a16="http://schemas.microsoft.com/office/drawing/2014/main" id="{DF769F04-2564-B2CC-FE49-280C104A98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078301" y="0"/>
          <a:ext cx="937129" cy="84928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BFA76E-0303-42DE-9F16-D48436342C18}" name="Table2" displayName="Table2" ref="A2:Z118" totalsRowShown="0" headerRowDxfId="44" dataDxfId="43" tableBorderDxfId="42">
  <autoFilter ref="A2:Z118" xr:uid="{34D742B5-CE3F-42F4-96EE-D6729FCFC6D8}"/>
  <sortState xmlns:xlrd2="http://schemas.microsoft.com/office/spreadsheetml/2017/richdata2" ref="A3:Z118">
    <sortCondition ref="A2:A118"/>
  </sortState>
  <tableColumns count="26">
    <tableColumn id="1" xr3:uid="{E3814B63-400D-4FAD-B998-5FF8D937BC9D}" name="Complaint Reference" dataDxfId="41"/>
    <tableColumn id="2" xr3:uid="{47285DF0-7ED3-4660-BF58-9D27DFCA7AF2}" name="Date Complaint Raised" dataDxfId="40"/>
    <tableColumn id="3" xr3:uid="{90EEC195-BEC9-4E36-ACA0-A2FE3C4D6105}" name="Complaint Raised By" dataDxfId="39"/>
    <tableColumn id="14" xr3:uid="{5B11DD27-F1B2-4ED1-A49B-02C66B2D14FA}" name="QA RP" dataDxfId="38"/>
    <tableColumn id="4" xr3:uid="{8BB2747D-1699-4FDE-9758-839D33248727}" name="Product Details " dataDxfId="37"/>
    <tableColumn id="7" xr3:uid="{A070EE23-48BD-453F-A44B-824BC64F7993}" name="Complaint Area (Processes and activities)" dataDxfId="36"/>
    <tableColumn id="8" xr3:uid="{E159F754-7D97-4DED-9074-95E2685F7734}" name="Brief Summary " dataDxfId="35"/>
    <tableColumn id="6" xr3:uid="{0BB82196-C7F7-4EAC-8CFA-208A1D118BCC}" name="Details of Complaint" dataDxfId="34"/>
    <tableColumn id="9" xr3:uid="{C974E1E3-FD97-4C10-8F2B-9051B4EE0330}" name="RPN" dataDxfId="33"/>
    <tableColumn id="21" xr3:uid="{BDA0D0FE-3FD7-4655-917C-12248F87605C}" name="Classification of Complaint " dataDxfId="32"/>
    <tableColumn id="5" xr3:uid="{22D2A56C-AA7C-49F1-B4E4-99D3AC3EDD97}" name="Part 1 Due Date" dataDxfId="31">
      <calculatedColumnFormula>Table2[[#This Row],[Date Complaint Raised]]+7</calculatedColumnFormula>
    </tableColumn>
    <tableColumn id="13" xr3:uid="{3688D322-7CD3-45F0-9638-D5E32B2B87C5}" name="Part 1 Completion Date" dataDxfId="30"/>
    <tableColumn id="17" xr3:uid="{9EDED811-5567-4A97-958F-8B6160AF1767}" name="Days Taken to do Part 1" dataDxfId="29">
      <calculatedColumnFormula>Table2[[#This Row],[Part 1 Completion Date]]-Table2[[#This Row],[Date Complaint Raised]]</calculatedColumnFormula>
    </tableColumn>
    <tableColumn id="23" xr3:uid="{349A1FFE-87D8-4A2C-AB23-83F6C722E667}" name="Person assigned " dataDxfId="28"/>
    <tableColumn id="18" xr3:uid="{90DE479D-4A0D-4636-A07F-98D49F7EF812}" name="Target Date " dataDxfId="27"/>
    <tableColumn id="12" xr3:uid="{1520BE6B-D3BF-4364-94BB-B3F1690CE0C9}" name="Investigation Closed Date" dataDxfId="26"/>
    <tableColumn id="19" xr3:uid="{D8DCD33C-861F-4626-BB75-B59B3E647DDE}" name="Days Investigation Open" dataDxfId="25">
      <calculatedColumnFormula>Table2[[#This Row],[Investigation Closed Date]]-Table2[[#This Row],[Date Complaint Raised]]</calculatedColumnFormula>
    </tableColumn>
    <tableColumn id="24" xr3:uid="{62843711-4F47-4013-BBBE-50C6F7033C5C}" name="Root Cause(s) Identified" dataDxfId="24"/>
    <tableColumn id="25" xr3:uid="{76B3E671-D390-464F-9818-6DC12D617904}" name="Department(s) Involved in Root Cause (if applicable)" dataDxfId="23"/>
    <tableColumn id="26" xr3:uid="{3D423004-FB40-4DBB-89E7-C17AA71D174D}" name="Reclassification of Complaint " dataDxfId="22"/>
    <tableColumn id="27" xr3:uid="{88816B16-33D7-4D62-BC95-907881236B93}" name="QA Approval By" dataDxfId="21"/>
    <tableColumn id="28" xr3:uid="{75A5FB83-BB06-4E5C-92D3-EB62AE674ED8}" name="Approval Date" dataDxfId="20"/>
    <tableColumn id="11" xr3:uid="{83125150-68A2-4C9D-B770-3D5D060B9450}" name="Status" dataDxfId="19"/>
    <tableColumn id="15" xr3:uid="{A89AD55D-A880-4DDD-82E0-A36F32A54312}" name="Wet ink copy filed away? (Y/N)" dataDxfId="18"/>
    <tableColumn id="20" xr3:uid="{FDB70A33-B354-40FF-A6A6-ED88BB4223BB}" name="Location" dataDxfId="17"/>
    <tableColumn id="16" xr3:uid="{E9956DBD-478E-4889-A9CD-DE640DC40BA7}" name="Comments" dataDxfId="16"/>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F1BE75-9EB2-4AF7-8890-E72A7255C577}" name="Table1" displayName="Table1" ref="C1:C50" totalsRowShown="0" headerRowDxfId="15" dataDxfId="13" headerRowBorderDxfId="14" tableBorderDxfId="12">
  <tableColumns count="1">
    <tableColumn id="1" xr3:uid="{E8A39F61-5EBF-431C-BA99-344EE42365F6}" name="Complaint Area (Processes and activities)" dataDxfId="11"/>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227"/>
  <sheetViews>
    <sheetView tabSelected="1" zoomScale="70" zoomScaleNormal="70" workbookViewId="0">
      <pane xSplit="1" ySplit="2" topLeftCell="H7" activePane="bottomRight" state="frozen"/>
      <selection pane="topRight" activeCell="B1" sqref="B1"/>
      <selection pane="bottomLeft" activeCell="A2" sqref="A2"/>
      <selection pane="bottomRight" activeCell="S5" sqref="S5"/>
    </sheetView>
  </sheetViews>
  <sheetFormatPr defaultColWidth="0" defaultRowHeight="15" x14ac:dyDescent="0.3"/>
  <cols>
    <col min="1" max="1" width="22" style="2" customWidth="1"/>
    <col min="2" max="2" width="18.88671875" style="2" customWidth="1"/>
    <col min="3" max="3" width="16.6640625" style="2" customWidth="1"/>
    <col min="4" max="4" width="7.44140625" style="2" customWidth="1"/>
    <col min="5" max="5" width="29.33203125" style="2" customWidth="1"/>
    <col min="6" max="6" width="23.5546875" style="2" customWidth="1"/>
    <col min="7" max="7" width="42.109375" style="2" customWidth="1"/>
    <col min="8" max="8" width="61.6640625" style="2" customWidth="1"/>
    <col min="9" max="9" width="12.6640625" style="2" customWidth="1"/>
    <col min="10" max="10" width="20.6640625" style="2" customWidth="1"/>
    <col min="11" max="11" width="15.44140625" style="2" customWidth="1"/>
    <col min="12" max="12" width="17.88671875" style="2" customWidth="1"/>
    <col min="13" max="13" width="17.44140625" style="2" customWidth="1"/>
    <col min="14" max="14" width="16.33203125" style="2" customWidth="1"/>
    <col min="15" max="15" width="14.6640625" style="2" customWidth="1"/>
    <col min="16" max="16" width="19.88671875" style="2" customWidth="1"/>
    <col min="17" max="17" width="20.44140625" style="4" customWidth="1"/>
    <col min="18" max="18" width="24.33203125" style="4" customWidth="1"/>
    <col min="19" max="19" width="25" style="4" customWidth="1"/>
    <col min="20" max="20" width="16" style="4" customWidth="1"/>
    <col min="21" max="21" width="14.5546875" style="4" customWidth="1"/>
    <col min="22" max="22" width="15.33203125" style="4" customWidth="1"/>
    <col min="23" max="23" width="17.6640625" customWidth="1"/>
    <col min="24" max="24" width="14" style="5" customWidth="1"/>
    <col min="25" max="25" width="25.44140625" style="2" customWidth="1"/>
    <col min="26" max="26" width="19.6640625" style="2" hidden="1" customWidth="1"/>
    <col min="27" max="27" width="59" style="4" hidden="1" customWidth="1"/>
    <col min="28" max="30" width="0" hidden="1" customWidth="1"/>
    <col min="31" max="16384" width="9.109375" hidden="1"/>
  </cols>
  <sheetData>
    <row r="1" spans="1:26" ht="75" customHeight="1" x14ac:dyDescent="0.3">
      <c r="A1" s="27" t="s">
        <v>46</v>
      </c>
      <c r="B1" s="28"/>
      <c r="C1" s="28"/>
      <c r="D1" s="28"/>
      <c r="E1" s="28"/>
      <c r="F1" s="28"/>
      <c r="G1" s="28"/>
      <c r="H1" s="11"/>
      <c r="I1" s="30" t="s">
        <v>0</v>
      </c>
      <c r="J1" s="31"/>
      <c r="K1" s="31"/>
      <c r="L1" s="31"/>
      <c r="M1" s="31"/>
      <c r="N1" s="31"/>
      <c r="O1" s="31"/>
      <c r="P1" s="31"/>
      <c r="Q1" s="29"/>
      <c r="R1" s="29"/>
      <c r="S1" s="29"/>
      <c r="T1" s="29"/>
      <c r="U1" s="29"/>
      <c r="V1" s="29"/>
      <c r="W1" s="29"/>
      <c r="X1" s="29"/>
      <c r="Y1" s="29"/>
    </row>
    <row r="2" spans="1:26" s="13" customFormat="1" ht="102" x14ac:dyDescent="0.3">
      <c r="A2" s="12" t="s">
        <v>1</v>
      </c>
      <c r="B2" s="12" t="s">
        <v>11</v>
      </c>
      <c r="C2" s="12" t="s">
        <v>25</v>
      </c>
      <c r="D2" s="12" t="s">
        <v>2</v>
      </c>
      <c r="E2" s="12" t="s">
        <v>13</v>
      </c>
      <c r="F2" s="12" t="s">
        <v>12</v>
      </c>
      <c r="G2" s="12" t="s">
        <v>14</v>
      </c>
      <c r="H2" s="12" t="s">
        <v>3</v>
      </c>
      <c r="I2" s="12" t="s">
        <v>15</v>
      </c>
      <c r="J2" s="12" t="s">
        <v>16</v>
      </c>
      <c r="K2" s="12" t="s">
        <v>4</v>
      </c>
      <c r="L2" s="12" t="s">
        <v>5</v>
      </c>
      <c r="M2" s="12" t="s">
        <v>6</v>
      </c>
      <c r="N2" s="12" t="s">
        <v>18</v>
      </c>
      <c r="O2" s="12" t="s">
        <v>17</v>
      </c>
      <c r="P2" s="12" t="s">
        <v>30</v>
      </c>
      <c r="Q2" s="12" t="s">
        <v>24</v>
      </c>
      <c r="R2" s="12" t="s">
        <v>19</v>
      </c>
      <c r="S2" s="12" t="s">
        <v>20</v>
      </c>
      <c r="T2" s="12" t="s">
        <v>21</v>
      </c>
      <c r="U2" s="12" t="s">
        <v>22</v>
      </c>
      <c r="V2" s="12" t="s">
        <v>23</v>
      </c>
      <c r="W2" s="12" t="s">
        <v>7</v>
      </c>
      <c r="X2" s="12" t="s">
        <v>8</v>
      </c>
      <c r="Y2" s="12" t="s">
        <v>9</v>
      </c>
      <c r="Z2" s="12" t="s">
        <v>10</v>
      </c>
    </row>
    <row r="3" spans="1:26" s="2" customFormat="1" ht="166.2" customHeight="1" x14ac:dyDescent="0.3">
      <c r="A3" s="6" t="s">
        <v>74</v>
      </c>
      <c r="B3" s="7">
        <v>46038</v>
      </c>
      <c r="C3" s="6" t="s">
        <v>75</v>
      </c>
      <c r="D3" s="6" t="s">
        <v>75</v>
      </c>
      <c r="E3" s="6" t="s">
        <v>76</v>
      </c>
      <c r="F3" s="6" t="s">
        <v>57</v>
      </c>
      <c r="G3" s="6" t="s">
        <v>79</v>
      </c>
      <c r="H3" s="6" t="s">
        <v>77</v>
      </c>
      <c r="I3" s="6">
        <v>28</v>
      </c>
      <c r="J3" s="6" t="s">
        <v>78</v>
      </c>
      <c r="K3" s="3">
        <f>Table2[[#This Row],[Date Complaint Raised]]+7</f>
        <v>46045</v>
      </c>
      <c r="L3" s="7">
        <v>46043</v>
      </c>
      <c r="M3" s="1">
        <f>Table2[[#This Row],[Part 1 Completion Date]]-Table2[[#This Row],[Date Complaint Raised]]</f>
        <v>5</v>
      </c>
      <c r="N3" s="6" t="s">
        <v>75</v>
      </c>
      <c r="O3" s="7">
        <v>46045</v>
      </c>
      <c r="P3" s="7">
        <v>46043</v>
      </c>
      <c r="Q3" s="1">
        <f>Table2[[#This Row],[Investigation Closed Date]]-Table2[[#This Row],[Date Complaint Raised]]</f>
        <v>5</v>
      </c>
      <c r="R3" s="6" t="s">
        <v>85</v>
      </c>
      <c r="S3" s="6" t="s">
        <v>80</v>
      </c>
      <c r="T3" s="6" t="s">
        <v>78</v>
      </c>
      <c r="U3" s="6" t="s">
        <v>81</v>
      </c>
      <c r="V3" s="7">
        <v>46043</v>
      </c>
      <c r="W3" s="10" t="s">
        <v>82</v>
      </c>
      <c r="X3" s="8" t="s">
        <v>83</v>
      </c>
      <c r="Y3" s="6" t="s">
        <v>84</v>
      </c>
      <c r="Z3" s="9"/>
    </row>
    <row r="4" spans="1:26" s="2" customFormat="1" ht="90" x14ac:dyDescent="0.3">
      <c r="A4" s="6" t="s">
        <v>86</v>
      </c>
      <c r="B4" s="7">
        <v>46044</v>
      </c>
      <c r="C4" s="6" t="s">
        <v>87</v>
      </c>
      <c r="D4" s="6" t="s">
        <v>87</v>
      </c>
      <c r="E4" s="6" t="s">
        <v>88</v>
      </c>
      <c r="F4" s="6" t="s">
        <v>59</v>
      </c>
      <c r="G4" s="6" t="s">
        <v>91</v>
      </c>
      <c r="H4" s="6" t="s">
        <v>90</v>
      </c>
      <c r="I4" s="6">
        <v>144</v>
      </c>
      <c r="J4" s="6" t="s">
        <v>89</v>
      </c>
      <c r="K4" s="3">
        <f>Table2[[#This Row],[Date Complaint Raised]]+7</f>
        <v>46051</v>
      </c>
      <c r="L4" s="7">
        <v>46050</v>
      </c>
      <c r="M4" s="1">
        <f>Table2[[#This Row],[Part 1 Completion Date]]-Table2[[#This Row],[Date Complaint Raised]]</f>
        <v>6</v>
      </c>
      <c r="N4" s="6" t="s">
        <v>87</v>
      </c>
      <c r="O4" s="7">
        <v>46081</v>
      </c>
      <c r="P4" s="7">
        <v>46081</v>
      </c>
      <c r="Q4" s="1">
        <f>Table2[[#This Row],[Investigation Closed Date]]-Table2[[#This Row],[Date Complaint Raised]]</f>
        <v>37</v>
      </c>
      <c r="R4" s="6" t="s">
        <v>105</v>
      </c>
      <c r="S4" s="6" t="s">
        <v>80</v>
      </c>
      <c r="T4" s="6" t="s">
        <v>78</v>
      </c>
      <c r="U4" s="6" t="s">
        <v>81</v>
      </c>
      <c r="V4" s="7">
        <v>46081</v>
      </c>
      <c r="W4" s="10" t="s">
        <v>82</v>
      </c>
      <c r="X4" s="8" t="s">
        <v>83</v>
      </c>
      <c r="Y4" s="6" t="s">
        <v>84</v>
      </c>
      <c r="Z4" s="9"/>
    </row>
    <row r="5" spans="1:26" s="2" customFormat="1" ht="390" x14ac:dyDescent="0.3">
      <c r="A5" s="6" t="s">
        <v>92</v>
      </c>
      <c r="B5" s="7">
        <v>46069</v>
      </c>
      <c r="C5" s="6" t="s">
        <v>81</v>
      </c>
      <c r="D5" s="6" t="s">
        <v>75</v>
      </c>
      <c r="E5" s="6" t="s">
        <v>93</v>
      </c>
      <c r="F5" s="6" t="s">
        <v>54</v>
      </c>
      <c r="G5" s="6" t="s">
        <v>96</v>
      </c>
      <c r="H5" s="6" t="s">
        <v>97</v>
      </c>
      <c r="I5" s="6">
        <v>8</v>
      </c>
      <c r="J5" s="6" t="s">
        <v>78</v>
      </c>
      <c r="K5" s="3">
        <f>Table2[[#This Row],[Date Complaint Raised]]+7</f>
        <v>46076</v>
      </c>
      <c r="L5" s="7">
        <v>46073</v>
      </c>
      <c r="M5" s="1">
        <f>Table2[[#This Row],[Part 1 Completion Date]]-Table2[[#This Row],[Date Complaint Raised]]</f>
        <v>4</v>
      </c>
      <c r="N5" s="6" t="s">
        <v>75</v>
      </c>
      <c r="O5" s="7">
        <v>46132</v>
      </c>
      <c r="P5" s="7">
        <v>46129</v>
      </c>
      <c r="Q5" s="1">
        <f>Table2[[#This Row],[Investigation Closed Date]]-Table2[[#This Row],[Date Complaint Raised]]</f>
        <v>60</v>
      </c>
      <c r="R5" s="6" t="s">
        <v>106</v>
      </c>
      <c r="S5" s="6" t="s">
        <v>80</v>
      </c>
      <c r="T5" s="6" t="s">
        <v>78</v>
      </c>
      <c r="U5" s="6" t="s">
        <v>81</v>
      </c>
      <c r="V5" s="7">
        <v>46129</v>
      </c>
      <c r="W5" s="10" t="s">
        <v>82</v>
      </c>
      <c r="X5" s="8" t="s">
        <v>83</v>
      </c>
      <c r="Y5" s="6" t="s">
        <v>84</v>
      </c>
      <c r="Z5" s="9"/>
    </row>
    <row r="6" spans="1:26" s="2" customFormat="1" ht="405" x14ac:dyDescent="0.3">
      <c r="A6" s="6" t="s">
        <v>94</v>
      </c>
      <c r="B6" s="7">
        <v>46070</v>
      </c>
      <c r="C6" s="6" t="s">
        <v>75</v>
      </c>
      <c r="D6" s="6" t="s">
        <v>75</v>
      </c>
      <c r="E6" s="6" t="s">
        <v>98</v>
      </c>
      <c r="F6" s="6" t="s">
        <v>52</v>
      </c>
      <c r="G6" s="6" t="s">
        <v>95</v>
      </c>
      <c r="H6" s="6" t="s">
        <v>99</v>
      </c>
      <c r="I6" s="6">
        <v>84</v>
      </c>
      <c r="J6" s="6" t="s">
        <v>78</v>
      </c>
      <c r="K6" s="3">
        <f>Table2[[#This Row],[Date Complaint Raised]]+7</f>
        <v>46077</v>
      </c>
      <c r="L6" s="7">
        <v>46073</v>
      </c>
      <c r="M6" s="1">
        <f>Table2[[#This Row],[Part 1 Completion Date]]-Table2[[#This Row],[Date Complaint Raised]]</f>
        <v>3</v>
      </c>
      <c r="N6" s="6" t="s">
        <v>75</v>
      </c>
      <c r="O6" s="7">
        <v>46132</v>
      </c>
      <c r="P6" s="7">
        <v>46129</v>
      </c>
      <c r="Q6" s="1">
        <f>Table2[[#This Row],[Investigation Closed Date]]-Table2[[#This Row],[Date Complaint Raised]]</f>
        <v>59</v>
      </c>
      <c r="R6" s="6" t="s">
        <v>107</v>
      </c>
      <c r="S6" s="6" t="s">
        <v>108</v>
      </c>
      <c r="T6" s="6" t="s">
        <v>78</v>
      </c>
      <c r="U6" s="6" t="s">
        <v>81</v>
      </c>
      <c r="V6" s="7">
        <v>46129</v>
      </c>
      <c r="W6" s="10" t="s">
        <v>82</v>
      </c>
      <c r="X6" s="8" t="s">
        <v>83</v>
      </c>
      <c r="Y6" s="6" t="s">
        <v>84</v>
      </c>
      <c r="Z6" s="9"/>
    </row>
    <row r="7" spans="1:26" s="2" customFormat="1" ht="180" x14ac:dyDescent="0.3">
      <c r="A7" s="6" t="s">
        <v>100</v>
      </c>
      <c r="B7" s="7">
        <v>46078</v>
      </c>
      <c r="C7" s="6" t="s">
        <v>101</v>
      </c>
      <c r="D7" s="6" t="s">
        <v>101</v>
      </c>
      <c r="E7" s="6" t="s">
        <v>102</v>
      </c>
      <c r="F7" s="6" t="s">
        <v>49</v>
      </c>
      <c r="G7" s="6" t="s">
        <v>103</v>
      </c>
      <c r="H7" s="6" t="s">
        <v>104</v>
      </c>
      <c r="I7" s="6">
        <v>100</v>
      </c>
      <c r="J7" s="6" t="s">
        <v>78</v>
      </c>
      <c r="K7" s="3">
        <f>Table2[[#This Row],[Date Complaint Raised]]+7</f>
        <v>46085</v>
      </c>
      <c r="L7" s="7">
        <v>46085</v>
      </c>
      <c r="M7" s="1">
        <f>Table2[[#This Row],[Part 1 Completion Date]]-Table2[[#This Row],[Date Complaint Raised]]</f>
        <v>7</v>
      </c>
      <c r="N7" s="6" t="s">
        <v>101</v>
      </c>
      <c r="O7" s="7">
        <v>46146</v>
      </c>
      <c r="P7" s="7">
        <v>46128</v>
      </c>
      <c r="Q7" s="1">
        <f>Table2[[#This Row],[Investigation Closed Date]]-Table2[[#This Row],[Date Complaint Raised]]</f>
        <v>50</v>
      </c>
      <c r="R7" s="6" t="s">
        <v>85</v>
      </c>
      <c r="S7" s="6" t="s">
        <v>108</v>
      </c>
      <c r="T7" s="6" t="s">
        <v>78</v>
      </c>
      <c r="U7" s="6" t="s">
        <v>81</v>
      </c>
      <c r="V7" s="7">
        <v>46128</v>
      </c>
      <c r="W7" s="10" t="s">
        <v>82</v>
      </c>
      <c r="X7" s="8" t="s">
        <v>83</v>
      </c>
      <c r="Y7" s="6" t="s">
        <v>84</v>
      </c>
      <c r="Z7" s="9"/>
    </row>
    <row r="8" spans="1:26" s="2" customFormat="1" ht="345" x14ac:dyDescent="0.3">
      <c r="A8" s="6" t="s">
        <v>109</v>
      </c>
      <c r="B8" s="7">
        <v>46177</v>
      </c>
      <c r="C8" s="6" t="s">
        <v>75</v>
      </c>
      <c r="D8" s="6" t="s">
        <v>75</v>
      </c>
      <c r="E8" s="6" t="s">
        <v>110</v>
      </c>
      <c r="F8" s="6" t="s">
        <v>52</v>
      </c>
      <c r="G8" s="6" t="s">
        <v>111</v>
      </c>
      <c r="H8" s="6" t="s">
        <v>112</v>
      </c>
      <c r="I8" s="6">
        <v>72</v>
      </c>
      <c r="J8" s="6" t="s">
        <v>78</v>
      </c>
      <c r="K8" s="3">
        <f>Table2[[#This Row],[Date Complaint Raised]]+7</f>
        <v>46184</v>
      </c>
      <c r="L8" s="7">
        <v>46182</v>
      </c>
      <c r="M8" s="1">
        <f>Table2[[#This Row],[Part 1 Completion Date]]-Table2[[#This Row],[Date Complaint Raised]]</f>
        <v>5</v>
      </c>
      <c r="N8" s="6" t="s">
        <v>75</v>
      </c>
      <c r="O8" s="7">
        <v>46243</v>
      </c>
      <c r="P8" s="7">
        <v>46244</v>
      </c>
      <c r="Q8" s="1">
        <f>Table2[[#This Row],[Investigation Closed Date]]-Table2[[#This Row],[Date Complaint Raised]]</f>
        <v>67</v>
      </c>
      <c r="R8" s="6" t="s">
        <v>113</v>
      </c>
      <c r="S8" s="6" t="s">
        <v>80</v>
      </c>
      <c r="T8" s="6" t="s">
        <v>78</v>
      </c>
      <c r="U8" s="6" t="s">
        <v>81</v>
      </c>
      <c r="V8" s="7">
        <v>46244</v>
      </c>
      <c r="W8" s="10" t="s">
        <v>82</v>
      </c>
      <c r="X8" s="8" t="s">
        <v>83</v>
      </c>
      <c r="Y8" s="6" t="s">
        <v>84</v>
      </c>
      <c r="Z8" s="9"/>
    </row>
    <row r="9" spans="1:26" s="2" customFormat="1" ht="150" x14ac:dyDescent="0.3">
      <c r="A9" s="6" t="s">
        <v>114</v>
      </c>
      <c r="B9" s="7">
        <v>46253</v>
      </c>
      <c r="C9" s="6" t="s">
        <v>101</v>
      </c>
      <c r="D9" s="6" t="s">
        <v>101</v>
      </c>
      <c r="E9" s="6" t="s">
        <v>115</v>
      </c>
      <c r="F9" s="6" t="s">
        <v>52</v>
      </c>
      <c r="G9" s="6" t="s">
        <v>116</v>
      </c>
      <c r="H9" s="6" t="s">
        <v>117</v>
      </c>
      <c r="I9" s="6"/>
      <c r="J9" s="6" t="s">
        <v>78</v>
      </c>
      <c r="K9" s="3">
        <f>Table2[[#This Row],[Date Complaint Raised]]+7</f>
        <v>46260</v>
      </c>
      <c r="L9" s="7">
        <v>46253</v>
      </c>
      <c r="M9" s="1">
        <f>Table2[[#This Row],[Part 1 Completion Date]]-Table2[[#This Row],[Date Complaint Raised]]</f>
        <v>0</v>
      </c>
      <c r="N9" s="6" t="s">
        <v>101</v>
      </c>
      <c r="O9" s="7">
        <v>46284</v>
      </c>
      <c r="P9" s="7"/>
      <c r="Q9" s="1">
        <f>Table2[[#This Row],[Investigation Closed Date]]-Table2[[#This Row],[Date Complaint Raised]]</f>
        <v>-46253</v>
      </c>
      <c r="R9" s="6"/>
      <c r="S9" s="6"/>
      <c r="T9" s="6"/>
      <c r="U9" s="6"/>
      <c r="V9" s="7"/>
      <c r="W9" s="10"/>
      <c r="X9" s="8"/>
      <c r="Y9" s="6" t="s">
        <v>118</v>
      </c>
      <c r="Z9" s="9"/>
    </row>
    <row r="10" spans="1:26" s="2" customFormat="1" x14ac:dyDescent="0.3">
      <c r="A10" s="6"/>
      <c r="B10" s="7"/>
      <c r="C10" s="6"/>
      <c r="D10" s="6"/>
      <c r="E10" s="6"/>
      <c r="F10" s="6"/>
      <c r="G10" s="6"/>
      <c r="H10" s="6"/>
      <c r="I10" s="6"/>
      <c r="J10" s="6"/>
      <c r="K10" s="3">
        <f>Table2[[#This Row],[Date Complaint Raised]]+7</f>
        <v>7</v>
      </c>
      <c r="L10" s="7"/>
      <c r="M10" s="1">
        <f>Table2[[#This Row],[Part 1 Completion Date]]-Table2[[#This Row],[Date Complaint Raised]]</f>
        <v>0</v>
      </c>
      <c r="N10" s="6"/>
      <c r="O10" s="7"/>
      <c r="P10" s="7"/>
      <c r="Q10" s="1">
        <f>Table2[[#This Row],[Investigation Closed Date]]-Table2[[#This Row],[Date Complaint Raised]]</f>
        <v>0</v>
      </c>
      <c r="R10" s="6"/>
      <c r="S10" s="6"/>
      <c r="T10" s="6"/>
      <c r="U10" s="6"/>
      <c r="V10" s="6"/>
      <c r="W10" s="10"/>
      <c r="X10" s="8"/>
      <c r="Y10" s="6"/>
      <c r="Z10" s="9"/>
    </row>
    <row r="11" spans="1:26" s="2" customFormat="1" x14ac:dyDescent="0.3">
      <c r="A11" s="6"/>
      <c r="B11" s="7"/>
      <c r="C11" s="6"/>
      <c r="D11" s="6"/>
      <c r="E11" s="6"/>
      <c r="F11" s="6"/>
      <c r="G11" s="6"/>
      <c r="H11" s="6"/>
      <c r="I11" s="6"/>
      <c r="J11" s="6"/>
      <c r="K11" s="3">
        <f>Table2[[#This Row],[Date Complaint Raised]]+7</f>
        <v>7</v>
      </c>
      <c r="L11" s="7"/>
      <c r="M11" s="1">
        <f>Table2[[#This Row],[Part 1 Completion Date]]-Table2[[#This Row],[Date Complaint Raised]]</f>
        <v>0</v>
      </c>
      <c r="N11" s="6"/>
      <c r="O11" s="7"/>
      <c r="P11" s="6"/>
      <c r="Q11" s="1">
        <f>Table2[[#This Row],[Investigation Closed Date]]-Table2[[#This Row],[Date Complaint Raised]]</f>
        <v>0</v>
      </c>
      <c r="R11" s="6"/>
      <c r="S11" s="6"/>
      <c r="T11" s="6"/>
      <c r="U11" s="6"/>
      <c r="V11" s="6"/>
      <c r="W11" s="10"/>
      <c r="X11" s="8"/>
      <c r="Y11" s="6"/>
      <c r="Z11" s="9"/>
    </row>
    <row r="12" spans="1:26" s="2" customFormat="1" x14ac:dyDescent="0.3">
      <c r="A12" s="6"/>
      <c r="B12" s="7"/>
      <c r="C12" s="6"/>
      <c r="D12" s="6"/>
      <c r="E12" s="6"/>
      <c r="F12" s="6"/>
      <c r="G12" s="6"/>
      <c r="H12" s="6"/>
      <c r="I12" s="6"/>
      <c r="J12" s="6"/>
      <c r="K12" s="3">
        <f>Table2[[#This Row],[Date Complaint Raised]]+7</f>
        <v>7</v>
      </c>
      <c r="L12" s="7"/>
      <c r="M12" s="1">
        <f>Table2[[#This Row],[Part 1 Completion Date]]-Table2[[#This Row],[Date Complaint Raised]]</f>
        <v>0</v>
      </c>
      <c r="N12" s="6"/>
      <c r="O12" s="7"/>
      <c r="P12" s="7"/>
      <c r="Q12" s="1">
        <f>Table2[[#This Row],[Investigation Closed Date]]-Table2[[#This Row],[Date Complaint Raised]]</f>
        <v>0</v>
      </c>
      <c r="R12" s="6"/>
      <c r="S12" s="6"/>
      <c r="T12" s="6"/>
      <c r="U12" s="6"/>
      <c r="V12" s="6"/>
      <c r="W12" s="10"/>
      <c r="X12" s="8"/>
      <c r="Y12" s="6"/>
      <c r="Z12" s="9"/>
    </row>
    <row r="13" spans="1:26" s="2" customFormat="1" x14ac:dyDescent="0.3">
      <c r="A13" s="6"/>
      <c r="B13" s="7"/>
      <c r="C13" s="6"/>
      <c r="D13" s="6"/>
      <c r="E13" s="6"/>
      <c r="F13" s="6"/>
      <c r="G13" s="6"/>
      <c r="H13" s="6"/>
      <c r="I13" s="6"/>
      <c r="J13" s="6"/>
      <c r="K13" s="3">
        <f>Table2[[#This Row],[Date Complaint Raised]]+7</f>
        <v>7</v>
      </c>
      <c r="L13" s="7"/>
      <c r="M13" s="1">
        <f>Table2[[#This Row],[Part 1 Completion Date]]-Table2[[#This Row],[Date Complaint Raised]]</f>
        <v>0</v>
      </c>
      <c r="N13" s="6"/>
      <c r="O13" s="7"/>
      <c r="P13" s="7"/>
      <c r="Q13" s="1">
        <f>Table2[[#This Row],[Investigation Closed Date]]-Table2[[#This Row],[Date Complaint Raised]]</f>
        <v>0</v>
      </c>
      <c r="R13" s="6"/>
      <c r="S13" s="6"/>
      <c r="T13" s="6"/>
      <c r="U13" s="6"/>
      <c r="V13" s="6"/>
      <c r="W13" s="10"/>
      <c r="X13" s="8"/>
      <c r="Y13" s="6"/>
      <c r="Z13" s="9"/>
    </row>
    <row r="14" spans="1:26" s="2" customFormat="1" x14ac:dyDescent="0.3">
      <c r="A14" s="6"/>
      <c r="B14" s="7"/>
      <c r="C14" s="6"/>
      <c r="D14" s="6"/>
      <c r="E14" s="6"/>
      <c r="F14" s="6"/>
      <c r="G14" s="6"/>
      <c r="H14" s="6"/>
      <c r="I14" s="6"/>
      <c r="J14" s="6"/>
      <c r="K14" s="3">
        <f>Table2[[#This Row],[Date Complaint Raised]]+7</f>
        <v>7</v>
      </c>
      <c r="L14" s="7"/>
      <c r="M14" s="1">
        <f>Table2[[#This Row],[Part 1 Completion Date]]-Table2[[#This Row],[Date Complaint Raised]]</f>
        <v>0</v>
      </c>
      <c r="N14" s="6"/>
      <c r="O14" s="7"/>
      <c r="P14" s="7"/>
      <c r="Q14" s="1">
        <f>Table2[[#This Row],[Investigation Closed Date]]-Table2[[#This Row],[Date Complaint Raised]]</f>
        <v>0</v>
      </c>
      <c r="R14" s="6"/>
      <c r="S14" s="6"/>
      <c r="T14" s="6"/>
      <c r="U14" s="6"/>
      <c r="V14" s="6"/>
      <c r="W14" s="10"/>
      <c r="X14" s="8"/>
      <c r="Y14" s="6"/>
      <c r="Z14" s="9"/>
    </row>
    <row r="15" spans="1:26" s="2" customFormat="1" x14ac:dyDescent="0.3">
      <c r="A15" s="6"/>
      <c r="B15" s="7"/>
      <c r="C15" s="6"/>
      <c r="D15" s="6"/>
      <c r="E15" s="6"/>
      <c r="F15" s="6"/>
      <c r="G15" s="6"/>
      <c r="H15" s="6"/>
      <c r="I15" s="6"/>
      <c r="J15" s="6"/>
      <c r="K15" s="3">
        <f>Table2[[#This Row],[Date Complaint Raised]]+7</f>
        <v>7</v>
      </c>
      <c r="L15" s="7"/>
      <c r="M15" s="1">
        <f>Table2[[#This Row],[Part 1 Completion Date]]-Table2[[#This Row],[Date Complaint Raised]]</f>
        <v>0</v>
      </c>
      <c r="N15" s="6"/>
      <c r="O15" s="7"/>
      <c r="P15" s="7"/>
      <c r="Q15" s="1">
        <f>Table2[[#This Row],[Investigation Closed Date]]-Table2[[#This Row],[Date Complaint Raised]]</f>
        <v>0</v>
      </c>
      <c r="R15" s="6"/>
      <c r="S15" s="6"/>
      <c r="T15" s="6"/>
      <c r="U15" s="6"/>
      <c r="V15" s="6"/>
      <c r="W15" s="10"/>
      <c r="X15" s="8"/>
      <c r="Y15" s="6"/>
      <c r="Z15" s="9"/>
    </row>
    <row r="16" spans="1:26" s="2" customFormat="1" x14ac:dyDescent="0.3">
      <c r="A16" s="6"/>
      <c r="B16" s="7"/>
      <c r="C16" s="6"/>
      <c r="D16" s="6"/>
      <c r="E16" s="6"/>
      <c r="F16" s="6"/>
      <c r="G16" s="6"/>
      <c r="H16" s="6"/>
      <c r="I16" s="6"/>
      <c r="J16" s="6"/>
      <c r="K16" s="3">
        <f>Table2[[#This Row],[Date Complaint Raised]]+7</f>
        <v>7</v>
      </c>
      <c r="L16" s="7"/>
      <c r="M16" s="1">
        <f>Table2[[#This Row],[Part 1 Completion Date]]-Table2[[#This Row],[Date Complaint Raised]]</f>
        <v>0</v>
      </c>
      <c r="N16" s="6"/>
      <c r="O16" s="7"/>
      <c r="P16" s="7"/>
      <c r="Q16" s="1">
        <f>Table2[[#This Row],[Investigation Closed Date]]-Table2[[#This Row],[Date Complaint Raised]]</f>
        <v>0</v>
      </c>
      <c r="R16" s="6"/>
      <c r="S16" s="6"/>
      <c r="T16" s="6"/>
      <c r="U16" s="6"/>
      <c r="V16" s="6"/>
      <c r="W16" s="10"/>
      <c r="X16" s="8"/>
      <c r="Y16" s="6"/>
      <c r="Z16" s="9"/>
    </row>
    <row r="17" spans="1:26" s="2" customFormat="1" x14ac:dyDescent="0.3">
      <c r="A17" s="6"/>
      <c r="B17" s="7"/>
      <c r="C17" s="6"/>
      <c r="D17" s="6"/>
      <c r="E17" s="6"/>
      <c r="F17" s="6"/>
      <c r="G17" s="6"/>
      <c r="H17" s="6"/>
      <c r="I17" s="6"/>
      <c r="J17" s="6"/>
      <c r="K17" s="3">
        <f>Table2[[#This Row],[Date Complaint Raised]]+7</f>
        <v>7</v>
      </c>
      <c r="L17" s="7"/>
      <c r="M17" s="1">
        <f>Table2[[#This Row],[Part 1 Completion Date]]-Table2[[#This Row],[Date Complaint Raised]]</f>
        <v>0</v>
      </c>
      <c r="N17" s="6"/>
      <c r="O17" s="7"/>
      <c r="P17" s="7"/>
      <c r="Q17" s="1">
        <f>Table2[[#This Row],[Investigation Closed Date]]-Table2[[#This Row],[Date Complaint Raised]]</f>
        <v>0</v>
      </c>
      <c r="R17" s="6"/>
      <c r="S17" s="6"/>
      <c r="T17" s="6"/>
      <c r="U17" s="6"/>
      <c r="V17" s="6"/>
      <c r="W17" s="10"/>
      <c r="X17" s="8"/>
      <c r="Y17" s="6"/>
      <c r="Z17" s="9"/>
    </row>
    <row r="18" spans="1:26" s="2" customFormat="1" x14ac:dyDescent="0.3">
      <c r="A18" s="6"/>
      <c r="B18" s="7"/>
      <c r="C18" s="6"/>
      <c r="D18" s="6"/>
      <c r="E18" s="6"/>
      <c r="F18" s="6"/>
      <c r="G18" s="6"/>
      <c r="H18" s="6"/>
      <c r="I18" s="6"/>
      <c r="J18" s="6"/>
      <c r="K18" s="3">
        <f>Table2[[#This Row],[Date Complaint Raised]]+7</f>
        <v>7</v>
      </c>
      <c r="L18" s="7"/>
      <c r="M18" s="1">
        <f>Table2[[#This Row],[Part 1 Completion Date]]-Table2[[#This Row],[Date Complaint Raised]]</f>
        <v>0</v>
      </c>
      <c r="N18" s="6"/>
      <c r="O18" s="7"/>
      <c r="P18" s="7"/>
      <c r="Q18" s="1">
        <f>Table2[[#This Row],[Investigation Closed Date]]-Table2[[#This Row],[Date Complaint Raised]]</f>
        <v>0</v>
      </c>
      <c r="R18" s="6"/>
      <c r="S18" s="6"/>
      <c r="T18" s="6"/>
      <c r="U18" s="6"/>
      <c r="V18" s="6"/>
      <c r="W18" s="10"/>
      <c r="X18" s="8"/>
      <c r="Y18" s="6"/>
      <c r="Z18" s="9"/>
    </row>
    <row r="19" spans="1:26" s="2" customFormat="1" x14ac:dyDescent="0.3">
      <c r="A19" s="6"/>
      <c r="B19" s="7"/>
      <c r="C19" s="6"/>
      <c r="D19" s="6"/>
      <c r="E19" s="6"/>
      <c r="F19" s="6"/>
      <c r="G19" s="6"/>
      <c r="H19" s="6"/>
      <c r="I19" s="6"/>
      <c r="J19" s="6"/>
      <c r="K19" s="3">
        <f>Table2[[#This Row],[Date Complaint Raised]]+7</f>
        <v>7</v>
      </c>
      <c r="L19" s="7"/>
      <c r="M19" s="1">
        <f>Table2[[#This Row],[Part 1 Completion Date]]-Table2[[#This Row],[Date Complaint Raised]]</f>
        <v>0</v>
      </c>
      <c r="N19" s="6"/>
      <c r="O19" s="7"/>
      <c r="P19" s="7"/>
      <c r="Q19" s="1">
        <f>Table2[[#This Row],[Investigation Closed Date]]-Table2[[#This Row],[Date Complaint Raised]]</f>
        <v>0</v>
      </c>
      <c r="R19" s="6"/>
      <c r="S19" s="6"/>
      <c r="T19" s="6"/>
      <c r="U19" s="6"/>
      <c r="V19" s="6"/>
      <c r="W19" s="10"/>
      <c r="X19" s="8"/>
      <c r="Y19" s="6"/>
      <c r="Z19" s="9"/>
    </row>
    <row r="20" spans="1:26" s="2" customFormat="1" x14ac:dyDescent="0.3">
      <c r="A20" s="6"/>
      <c r="B20" s="7"/>
      <c r="C20" s="6"/>
      <c r="D20" s="6"/>
      <c r="E20" s="6"/>
      <c r="F20" s="6"/>
      <c r="G20" s="6"/>
      <c r="H20" s="6"/>
      <c r="I20" s="6"/>
      <c r="J20" s="6"/>
      <c r="K20" s="3">
        <f>Table2[[#This Row],[Date Complaint Raised]]+7</f>
        <v>7</v>
      </c>
      <c r="L20" s="7"/>
      <c r="M20" s="1">
        <f>Table2[[#This Row],[Part 1 Completion Date]]-Table2[[#This Row],[Date Complaint Raised]]</f>
        <v>0</v>
      </c>
      <c r="N20" s="6"/>
      <c r="O20" s="7"/>
      <c r="P20" s="7"/>
      <c r="Q20" s="1">
        <f>Table2[[#This Row],[Investigation Closed Date]]-Table2[[#This Row],[Date Complaint Raised]]</f>
        <v>0</v>
      </c>
      <c r="R20" s="6"/>
      <c r="S20" s="6"/>
      <c r="T20" s="6"/>
      <c r="U20" s="6"/>
      <c r="V20" s="6"/>
      <c r="W20" s="10"/>
      <c r="X20" s="8"/>
      <c r="Y20" s="6"/>
      <c r="Z20" s="9"/>
    </row>
    <row r="21" spans="1:26" s="2" customFormat="1" x14ac:dyDescent="0.3">
      <c r="A21" s="6"/>
      <c r="B21" s="7"/>
      <c r="C21" s="6"/>
      <c r="D21" s="6"/>
      <c r="E21" s="6"/>
      <c r="F21" s="6"/>
      <c r="G21" s="6"/>
      <c r="H21" s="6"/>
      <c r="I21" s="6"/>
      <c r="J21" s="6"/>
      <c r="K21" s="3">
        <f>Table2[[#This Row],[Date Complaint Raised]]+7</f>
        <v>7</v>
      </c>
      <c r="L21" s="7"/>
      <c r="M21" s="1">
        <f>Table2[[#This Row],[Part 1 Completion Date]]-Table2[[#This Row],[Date Complaint Raised]]</f>
        <v>0</v>
      </c>
      <c r="N21" s="6"/>
      <c r="O21" s="7"/>
      <c r="P21" s="7"/>
      <c r="Q21" s="1">
        <f>Table2[[#This Row],[Investigation Closed Date]]-Table2[[#This Row],[Date Complaint Raised]]</f>
        <v>0</v>
      </c>
      <c r="R21" s="6"/>
      <c r="S21" s="6"/>
      <c r="T21" s="6"/>
      <c r="U21" s="6"/>
      <c r="V21" s="6"/>
      <c r="W21" s="10"/>
      <c r="X21" s="8"/>
      <c r="Y21" s="6"/>
      <c r="Z21" s="9"/>
    </row>
    <row r="22" spans="1:26" s="2" customFormat="1" x14ac:dyDescent="0.3">
      <c r="A22" s="6"/>
      <c r="B22" s="7"/>
      <c r="C22" s="6"/>
      <c r="D22" s="6"/>
      <c r="E22" s="6"/>
      <c r="F22" s="6"/>
      <c r="G22" s="6"/>
      <c r="H22" s="6"/>
      <c r="I22" s="6"/>
      <c r="J22" s="6"/>
      <c r="K22" s="3">
        <f>Table2[[#This Row],[Date Complaint Raised]]+7</f>
        <v>7</v>
      </c>
      <c r="L22" s="7"/>
      <c r="M22" s="1">
        <f>Table2[[#This Row],[Part 1 Completion Date]]-Table2[[#This Row],[Date Complaint Raised]]</f>
        <v>0</v>
      </c>
      <c r="N22" s="6"/>
      <c r="O22" s="7"/>
      <c r="P22" s="7"/>
      <c r="Q22" s="1">
        <f>Table2[[#This Row],[Investigation Closed Date]]-Table2[[#This Row],[Date Complaint Raised]]</f>
        <v>0</v>
      </c>
      <c r="R22" s="6"/>
      <c r="S22" s="6"/>
      <c r="T22" s="6"/>
      <c r="U22" s="6"/>
      <c r="V22" s="6"/>
      <c r="W22" s="10"/>
      <c r="X22" s="8"/>
      <c r="Y22" s="6"/>
      <c r="Z22" s="9"/>
    </row>
    <row r="23" spans="1:26" s="2" customFormat="1" x14ac:dyDescent="0.3">
      <c r="A23" s="6"/>
      <c r="B23" s="7"/>
      <c r="C23" s="6"/>
      <c r="D23" s="6"/>
      <c r="E23" s="6"/>
      <c r="F23" s="6"/>
      <c r="G23" s="6"/>
      <c r="H23" s="6"/>
      <c r="I23" s="6"/>
      <c r="J23" s="6"/>
      <c r="K23" s="3">
        <f>Table2[[#This Row],[Date Complaint Raised]]+7</f>
        <v>7</v>
      </c>
      <c r="L23" s="7"/>
      <c r="M23" s="1">
        <f>Table2[[#This Row],[Part 1 Completion Date]]-Table2[[#This Row],[Date Complaint Raised]]</f>
        <v>0</v>
      </c>
      <c r="N23" s="6"/>
      <c r="O23" s="7"/>
      <c r="P23" s="7"/>
      <c r="Q23" s="1">
        <f>Table2[[#This Row],[Investigation Closed Date]]-Table2[[#This Row],[Date Complaint Raised]]</f>
        <v>0</v>
      </c>
      <c r="R23" s="6"/>
      <c r="S23" s="6"/>
      <c r="T23" s="6"/>
      <c r="U23" s="6"/>
      <c r="V23" s="6"/>
      <c r="W23" s="10"/>
      <c r="X23" s="8"/>
      <c r="Y23" s="6"/>
      <c r="Z23" s="9"/>
    </row>
    <row r="24" spans="1:26" s="2" customFormat="1" x14ac:dyDescent="0.3">
      <c r="A24" s="6"/>
      <c r="B24" s="7"/>
      <c r="C24" s="6"/>
      <c r="D24" s="6"/>
      <c r="E24" s="6"/>
      <c r="F24" s="6"/>
      <c r="G24" s="6"/>
      <c r="H24" s="6"/>
      <c r="I24" s="6"/>
      <c r="J24" s="6"/>
      <c r="K24" s="3">
        <f>Table2[[#This Row],[Date Complaint Raised]]+7</f>
        <v>7</v>
      </c>
      <c r="L24" s="7"/>
      <c r="M24" s="1">
        <f>Table2[[#This Row],[Part 1 Completion Date]]-Table2[[#This Row],[Date Complaint Raised]]</f>
        <v>0</v>
      </c>
      <c r="N24" s="6"/>
      <c r="O24" s="7"/>
      <c r="P24" s="7"/>
      <c r="Q24" s="1">
        <f>Table2[[#This Row],[Investigation Closed Date]]-Table2[[#This Row],[Date Complaint Raised]]</f>
        <v>0</v>
      </c>
      <c r="R24" s="6"/>
      <c r="S24" s="6"/>
      <c r="T24" s="6"/>
      <c r="U24" s="6"/>
      <c r="V24" s="6"/>
      <c r="W24" s="10"/>
      <c r="X24" s="8"/>
      <c r="Y24" s="6"/>
      <c r="Z24" s="9"/>
    </row>
    <row r="25" spans="1:26" s="2" customFormat="1" x14ac:dyDescent="0.3">
      <c r="A25" s="6"/>
      <c r="B25" s="7"/>
      <c r="C25" s="6"/>
      <c r="D25" s="6"/>
      <c r="E25" s="6"/>
      <c r="F25" s="6"/>
      <c r="G25" s="6"/>
      <c r="H25" s="6"/>
      <c r="I25" s="6"/>
      <c r="J25" s="6"/>
      <c r="K25" s="3">
        <f>Table2[[#This Row],[Date Complaint Raised]]+7</f>
        <v>7</v>
      </c>
      <c r="L25" s="7"/>
      <c r="M25" s="1">
        <f>Table2[[#This Row],[Part 1 Completion Date]]-Table2[[#This Row],[Date Complaint Raised]]</f>
        <v>0</v>
      </c>
      <c r="N25" s="6"/>
      <c r="O25" s="7"/>
      <c r="P25" s="7"/>
      <c r="Q25" s="1">
        <f>Table2[[#This Row],[Investigation Closed Date]]-Table2[[#This Row],[Date Complaint Raised]]</f>
        <v>0</v>
      </c>
      <c r="R25" s="6"/>
      <c r="S25" s="6"/>
      <c r="T25" s="6"/>
      <c r="U25" s="6"/>
      <c r="V25" s="6"/>
      <c r="W25" s="10"/>
      <c r="X25" s="8"/>
      <c r="Y25" s="6"/>
      <c r="Z25" s="9"/>
    </row>
    <row r="26" spans="1:26" s="2" customFormat="1" x14ac:dyDescent="0.3">
      <c r="A26" s="6"/>
      <c r="B26" s="7"/>
      <c r="C26" s="6"/>
      <c r="D26" s="6"/>
      <c r="E26" s="6"/>
      <c r="F26" s="6"/>
      <c r="G26" s="6"/>
      <c r="H26" s="6"/>
      <c r="I26" s="6"/>
      <c r="J26" s="6"/>
      <c r="K26" s="3">
        <f>Table2[[#This Row],[Date Complaint Raised]]+7</f>
        <v>7</v>
      </c>
      <c r="L26" s="7"/>
      <c r="M26" s="1">
        <f>Table2[[#This Row],[Part 1 Completion Date]]-Table2[[#This Row],[Date Complaint Raised]]</f>
        <v>0</v>
      </c>
      <c r="N26" s="6"/>
      <c r="O26" s="7"/>
      <c r="P26" s="7"/>
      <c r="Q26" s="1">
        <f>Table2[[#This Row],[Investigation Closed Date]]-Table2[[#This Row],[Date Complaint Raised]]</f>
        <v>0</v>
      </c>
      <c r="R26" s="6"/>
      <c r="S26" s="6"/>
      <c r="T26" s="6"/>
      <c r="U26" s="6"/>
      <c r="V26" s="6"/>
      <c r="W26" s="10"/>
      <c r="X26" s="8"/>
      <c r="Y26" s="6"/>
      <c r="Z26" s="9"/>
    </row>
    <row r="27" spans="1:26" s="2" customFormat="1" x14ac:dyDescent="0.3">
      <c r="A27" s="6"/>
      <c r="B27" s="7"/>
      <c r="C27" s="6"/>
      <c r="D27" s="6"/>
      <c r="E27" s="6"/>
      <c r="F27" s="6"/>
      <c r="G27" s="6"/>
      <c r="H27" s="6"/>
      <c r="I27" s="6"/>
      <c r="J27" s="6"/>
      <c r="K27" s="3">
        <f>Table2[[#This Row],[Date Complaint Raised]]+7</f>
        <v>7</v>
      </c>
      <c r="L27" s="7"/>
      <c r="M27" s="1">
        <f>Table2[[#This Row],[Part 1 Completion Date]]-Table2[[#This Row],[Date Complaint Raised]]</f>
        <v>0</v>
      </c>
      <c r="N27" s="6"/>
      <c r="O27" s="7"/>
      <c r="P27" s="7"/>
      <c r="Q27" s="1">
        <f>Table2[[#This Row],[Investigation Closed Date]]-Table2[[#This Row],[Date Complaint Raised]]</f>
        <v>0</v>
      </c>
      <c r="R27" s="6"/>
      <c r="S27" s="6"/>
      <c r="T27" s="6"/>
      <c r="U27" s="6"/>
      <c r="V27" s="6"/>
      <c r="W27" s="10"/>
      <c r="X27" s="8"/>
      <c r="Y27" s="6"/>
      <c r="Z27" s="9"/>
    </row>
    <row r="28" spans="1:26" s="2" customFormat="1" x14ac:dyDescent="0.3">
      <c r="A28" s="6"/>
      <c r="B28" s="7"/>
      <c r="C28" s="6"/>
      <c r="D28" s="6"/>
      <c r="E28" s="6"/>
      <c r="F28" s="6"/>
      <c r="G28" s="6"/>
      <c r="H28" s="6"/>
      <c r="I28" s="6"/>
      <c r="J28" s="6"/>
      <c r="K28" s="3">
        <f>Table2[[#This Row],[Date Complaint Raised]]+7</f>
        <v>7</v>
      </c>
      <c r="L28" s="7"/>
      <c r="M28" s="1">
        <f>Table2[[#This Row],[Part 1 Completion Date]]-Table2[[#This Row],[Date Complaint Raised]]</f>
        <v>0</v>
      </c>
      <c r="N28" s="6"/>
      <c r="O28" s="7"/>
      <c r="P28" s="7"/>
      <c r="Q28" s="1">
        <f>Table2[[#This Row],[Investigation Closed Date]]-Table2[[#This Row],[Date Complaint Raised]]</f>
        <v>0</v>
      </c>
      <c r="R28" s="6"/>
      <c r="S28" s="6"/>
      <c r="T28" s="6"/>
      <c r="U28" s="6"/>
      <c r="V28" s="6"/>
      <c r="W28" s="10"/>
      <c r="X28" s="8"/>
      <c r="Y28" s="6"/>
      <c r="Z28" s="9"/>
    </row>
    <row r="29" spans="1:26" s="2" customFormat="1" x14ac:dyDescent="0.3">
      <c r="A29" s="6"/>
      <c r="B29" s="7"/>
      <c r="C29" s="6"/>
      <c r="D29" s="6"/>
      <c r="E29" s="6"/>
      <c r="F29" s="6"/>
      <c r="G29" s="6"/>
      <c r="H29" s="6"/>
      <c r="I29" s="6"/>
      <c r="J29" s="6"/>
      <c r="K29" s="3">
        <f>Table2[[#This Row],[Date Complaint Raised]]+7</f>
        <v>7</v>
      </c>
      <c r="L29" s="7"/>
      <c r="M29" s="1">
        <f>Table2[[#This Row],[Part 1 Completion Date]]-Table2[[#This Row],[Date Complaint Raised]]</f>
        <v>0</v>
      </c>
      <c r="N29" s="6"/>
      <c r="O29" s="7"/>
      <c r="P29" s="7"/>
      <c r="Q29" s="1">
        <f>Table2[[#This Row],[Investigation Closed Date]]-Table2[[#This Row],[Date Complaint Raised]]</f>
        <v>0</v>
      </c>
      <c r="R29" s="6"/>
      <c r="S29" s="6"/>
      <c r="T29" s="6"/>
      <c r="U29" s="6"/>
      <c r="V29" s="6"/>
      <c r="W29" s="10"/>
      <c r="X29" s="8"/>
      <c r="Y29" s="6"/>
      <c r="Z29" s="9"/>
    </row>
    <row r="30" spans="1:26" s="2" customFormat="1" x14ac:dyDescent="0.3">
      <c r="A30" s="6"/>
      <c r="B30" s="7"/>
      <c r="C30" s="6"/>
      <c r="D30" s="6"/>
      <c r="E30" s="6"/>
      <c r="F30" s="6"/>
      <c r="G30" s="6"/>
      <c r="H30" s="6"/>
      <c r="I30" s="6"/>
      <c r="J30" s="6"/>
      <c r="K30" s="3">
        <f>Table2[[#This Row],[Date Complaint Raised]]+7</f>
        <v>7</v>
      </c>
      <c r="L30" s="7"/>
      <c r="M30" s="1">
        <f>Table2[[#This Row],[Part 1 Completion Date]]-Table2[[#This Row],[Date Complaint Raised]]</f>
        <v>0</v>
      </c>
      <c r="N30" s="6"/>
      <c r="O30" s="7"/>
      <c r="P30" s="7"/>
      <c r="Q30" s="1">
        <f>Table2[[#This Row],[Investigation Closed Date]]-Table2[[#This Row],[Date Complaint Raised]]</f>
        <v>0</v>
      </c>
      <c r="R30" s="6"/>
      <c r="S30" s="6"/>
      <c r="T30" s="6"/>
      <c r="U30" s="6"/>
      <c r="V30" s="6"/>
      <c r="W30" s="10"/>
      <c r="X30" s="8"/>
      <c r="Y30" s="6"/>
      <c r="Z30" s="9"/>
    </row>
    <row r="31" spans="1:26" s="2" customFormat="1" x14ac:dyDescent="0.3">
      <c r="A31" s="6"/>
      <c r="B31" s="7"/>
      <c r="C31" s="6"/>
      <c r="D31" s="6"/>
      <c r="E31" s="6"/>
      <c r="F31" s="6"/>
      <c r="G31" s="6"/>
      <c r="H31" s="6"/>
      <c r="I31" s="6"/>
      <c r="J31" s="6"/>
      <c r="K31" s="3">
        <f>Table2[[#This Row],[Date Complaint Raised]]+7</f>
        <v>7</v>
      </c>
      <c r="L31" s="7"/>
      <c r="M31" s="1">
        <f>Table2[[#This Row],[Part 1 Completion Date]]-Table2[[#This Row],[Date Complaint Raised]]</f>
        <v>0</v>
      </c>
      <c r="N31" s="6"/>
      <c r="O31" s="7"/>
      <c r="P31" s="7"/>
      <c r="Q31" s="1">
        <f>Table2[[#This Row],[Investigation Closed Date]]-Table2[[#This Row],[Date Complaint Raised]]</f>
        <v>0</v>
      </c>
      <c r="R31" s="6"/>
      <c r="S31" s="6"/>
      <c r="T31" s="6"/>
      <c r="U31" s="6"/>
      <c r="V31" s="6"/>
      <c r="W31" s="10"/>
      <c r="X31" s="8"/>
      <c r="Y31" s="6"/>
      <c r="Z31" s="9"/>
    </row>
    <row r="32" spans="1:26" s="2" customFormat="1" x14ac:dyDescent="0.3">
      <c r="A32" s="6"/>
      <c r="B32" s="7"/>
      <c r="C32" s="6"/>
      <c r="D32" s="6"/>
      <c r="E32" s="6"/>
      <c r="F32" s="6"/>
      <c r="G32" s="6"/>
      <c r="H32" s="6"/>
      <c r="I32" s="6"/>
      <c r="J32" s="6"/>
      <c r="K32" s="3">
        <f>Table2[[#This Row],[Date Complaint Raised]]+7</f>
        <v>7</v>
      </c>
      <c r="L32" s="7"/>
      <c r="M32" s="1">
        <f>Table2[[#This Row],[Part 1 Completion Date]]-Table2[[#This Row],[Date Complaint Raised]]</f>
        <v>0</v>
      </c>
      <c r="N32" s="6"/>
      <c r="O32" s="7"/>
      <c r="P32" s="7"/>
      <c r="Q32" s="1">
        <f>Table2[[#This Row],[Investigation Closed Date]]-Table2[[#This Row],[Date Complaint Raised]]</f>
        <v>0</v>
      </c>
      <c r="R32" s="6"/>
      <c r="S32" s="6"/>
      <c r="T32" s="6"/>
      <c r="U32" s="6"/>
      <c r="V32" s="6"/>
      <c r="W32" s="10"/>
      <c r="X32" s="8"/>
      <c r="Y32" s="6"/>
      <c r="Z32" s="9"/>
    </row>
    <row r="33" spans="1:26" s="2" customFormat="1" x14ac:dyDescent="0.3">
      <c r="A33" s="6"/>
      <c r="B33" s="7"/>
      <c r="C33" s="6"/>
      <c r="D33" s="6"/>
      <c r="E33" s="6"/>
      <c r="F33" s="6"/>
      <c r="G33" s="6"/>
      <c r="H33" s="6"/>
      <c r="I33" s="6"/>
      <c r="J33" s="6"/>
      <c r="K33" s="3">
        <f>Table2[[#This Row],[Date Complaint Raised]]+7</f>
        <v>7</v>
      </c>
      <c r="L33" s="7"/>
      <c r="M33" s="1">
        <f>Table2[[#This Row],[Part 1 Completion Date]]-Table2[[#This Row],[Date Complaint Raised]]</f>
        <v>0</v>
      </c>
      <c r="N33" s="6"/>
      <c r="O33" s="7"/>
      <c r="P33" s="7"/>
      <c r="Q33" s="1">
        <f>Table2[[#This Row],[Investigation Closed Date]]-Table2[[#This Row],[Date Complaint Raised]]</f>
        <v>0</v>
      </c>
      <c r="R33" s="6"/>
      <c r="S33" s="6"/>
      <c r="T33" s="6"/>
      <c r="U33" s="6"/>
      <c r="V33" s="6"/>
      <c r="W33" s="10"/>
      <c r="X33" s="8"/>
      <c r="Y33" s="6"/>
      <c r="Z33" s="9"/>
    </row>
    <row r="34" spans="1:26" s="2" customFormat="1" x14ac:dyDescent="0.3">
      <c r="A34" s="6"/>
      <c r="B34" s="7"/>
      <c r="C34" s="6"/>
      <c r="D34" s="6"/>
      <c r="E34" s="6"/>
      <c r="F34" s="6"/>
      <c r="G34" s="6"/>
      <c r="H34" s="6"/>
      <c r="I34" s="6"/>
      <c r="J34" s="6"/>
      <c r="K34" s="3">
        <f>Table2[[#This Row],[Date Complaint Raised]]+7</f>
        <v>7</v>
      </c>
      <c r="L34" s="7"/>
      <c r="M34" s="1">
        <f>Table2[[#This Row],[Part 1 Completion Date]]-Table2[[#This Row],[Date Complaint Raised]]</f>
        <v>0</v>
      </c>
      <c r="N34" s="6"/>
      <c r="O34" s="7"/>
      <c r="P34" s="7"/>
      <c r="Q34" s="1">
        <f>Table2[[#This Row],[Investigation Closed Date]]-Table2[[#This Row],[Date Complaint Raised]]</f>
        <v>0</v>
      </c>
      <c r="R34" s="6"/>
      <c r="S34" s="6"/>
      <c r="T34" s="6"/>
      <c r="U34" s="6"/>
      <c r="V34" s="6"/>
      <c r="W34" s="10"/>
      <c r="X34" s="8"/>
      <c r="Y34" s="6"/>
      <c r="Z34" s="9"/>
    </row>
    <row r="35" spans="1:26" s="2" customFormat="1" x14ac:dyDescent="0.3">
      <c r="A35" s="6"/>
      <c r="B35" s="7"/>
      <c r="C35" s="6"/>
      <c r="D35" s="6"/>
      <c r="E35" s="6"/>
      <c r="F35" s="6"/>
      <c r="G35" s="6"/>
      <c r="H35" s="6"/>
      <c r="I35" s="6"/>
      <c r="J35" s="6"/>
      <c r="K35" s="3">
        <f>Table2[[#This Row],[Date Complaint Raised]]+7</f>
        <v>7</v>
      </c>
      <c r="L35" s="7"/>
      <c r="M35" s="1">
        <f>Table2[[#This Row],[Part 1 Completion Date]]-Table2[[#This Row],[Date Complaint Raised]]</f>
        <v>0</v>
      </c>
      <c r="N35" s="6"/>
      <c r="O35" s="7"/>
      <c r="P35" s="7"/>
      <c r="Q35" s="1">
        <f>Table2[[#This Row],[Investigation Closed Date]]-Table2[[#This Row],[Date Complaint Raised]]</f>
        <v>0</v>
      </c>
      <c r="R35" s="6"/>
      <c r="S35" s="6"/>
      <c r="T35" s="6"/>
      <c r="U35" s="6"/>
      <c r="V35" s="6"/>
      <c r="W35" s="10"/>
      <c r="X35" s="8"/>
      <c r="Y35" s="6"/>
      <c r="Z35" s="9"/>
    </row>
    <row r="36" spans="1:26" s="2" customFormat="1" x14ac:dyDescent="0.3">
      <c r="A36" s="6"/>
      <c r="B36" s="7"/>
      <c r="C36" s="6"/>
      <c r="D36" s="6"/>
      <c r="E36" s="6"/>
      <c r="F36" s="6"/>
      <c r="G36" s="6"/>
      <c r="H36" s="6"/>
      <c r="I36" s="6"/>
      <c r="J36" s="6"/>
      <c r="K36" s="3">
        <f>Table2[[#This Row],[Date Complaint Raised]]+7</f>
        <v>7</v>
      </c>
      <c r="L36" s="7"/>
      <c r="M36" s="1">
        <f>Table2[[#This Row],[Part 1 Completion Date]]-Table2[[#This Row],[Date Complaint Raised]]</f>
        <v>0</v>
      </c>
      <c r="N36" s="6"/>
      <c r="O36" s="7"/>
      <c r="P36" s="7"/>
      <c r="Q36" s="1">
        <f>Table2[[#This Row],[Investigation Closed Date]]-Table2[[#This Row],[Date Complaint Raised]]</f>
        <v>0</v>
      </c>
      <c r="R36" s="6"/>
      <c r="S36" s="6"/>
      <c r="T36" s="6"/>
      <c r="U36" s="6"/>
      <c r="V36" s="6"/>
      <c r="W36" s="10"/>
      <c r="X36" s="8"/>
      <c r="Y36" s="6"/>
      <c r="Z36" s="9"/>
    </row>
    <row r="37" spans="1:26" s="2" customFormat="1" x14ac:dyDescent="0.3">
      <c r="A37" s="6"/>
      <c r="B37" s="7"/>
      <c r="C37" s="6"/>
      <c r="D37" s="6"/>
      <c r="E37" s="6"/>
      <c r="F37" s="6"/>
      <c r="G37" s="6"/>
      <c r="H37" s="6"/>
      <c r="I37" s="6"/>
      <c r="J37" s="6"/>
      <c r="K37" s="3">
        <f>Table2[[#This Row],[Date Complaint Raised]]+7</f>
        <v>7</v>
      </c>
      <c r="L37" s="7"/>
      <c r="M37" s="1">
        <f>Table2[[#This Row],[Part 1 Completion Date]]-Table2[[#This Row],[Date Complaint Raised]]</f>
        <v>0</v>
      </c>
      <c r="N37" s="6"/>
      <c r="O37" s="7"/>
      <c r="P37" s="7"/>
      <c r="Q37" s="1">
        <f>Table2[[#This Row],[Investigation Closed Date]]-Table2[[#This Row],[Date Complaint Raised]]</f>
        <v>0</v>
      </c>
      <c r="R37" s="6"/>
      <c r="S37" s="6"/>
      <c r="T37" s="6"/>
      <c r="U37" s="6"/>
      <c r="V37" s="6"/>
      <c r="W37" s="10"/>
      <c r="X37" s="8"/>
      <c r="Y37" s="6"/>
      <c r="Z37" s="9"/>
    </row>
    <row r="38" spans="1:26" s="2" customFormat="1" x14ac:dyDescent="0.3">
      <c r="A38" s="6"/>
      <c r="B38" s="7"/>
      <c r="C38" s="6"/>
      <c r="D38" s="6"/>
      <c r="E38" s="6"/>
      <c r="F38" s="6"/>
      <c r="G38" s="6"/>
      <c r="H38" s="6"/>
      <c r="I38" s="6"/>
      <c r="J38" s="6"/>
      <c r="K38" s="3">
        <f>Table2[[#This Row],[Date Complaint Raised]]+7</f>
        <v>7</v>
      </c>
      <c r="L38" s="7"/>
      <c r="M38" s="1">
        <f>Table2[[#This Row],[Part 1 Completion Date]]-Table2[[#This Row],[Date Complaint Raised]]</f>
        <v>0</v>
      </c>
      <c r="N38" s="6"/>
      <c r="O38" s="7"/>
      <c r="P38" s="7"/>
      <c r="Q38" s="1">
        <f>Table2[[#This Row],[Investigation Closed Date]]-Table2[[#This Row],[Date Complaint Raised]]</f>
        <v>0</v>
      </c>
      <c r="R38" s="6"/>
      <c r="S38" s="6"/>
      <c r="T38" s="6"/>
      <c r="U38" s="6"/>
      <c r="V38" s="6"/>
      <c r="W38" s="10"/>
      <c r="X38" s="8"/>
      <c r="Y38" s="6"/>
      <c r="Z38" s="9"/>
    </row>
    <row r="39" spans="1:26" s="2" customFormat="1" x14ac:dyDescent="0.3">
      <c r="A39" s="6"/>
      <c r="B39" s="7"/>
      <c r="C39" s="6"/>
      <c r="D39" s="6"/>
      <c r="E39" s="6"/>
      <c r="F39" s="6"/>
      <c r="G39" s="6"/>
      <c r="H39" s="6"/>
      <c r="I39" s="6"/>
      <c r="J39" s="6"/>
      <c r="K39" s="3">
        <f>Table2[[#This Row],[Date Complaint Raised]]+7</f>
        <v>7</v>
      </c>
      <c r="L39" s="7"/>
      <c r="M39" s="1">
        <f>Table2[[#This Row],[Part 1 Completion Date]]-Table2[[#This Row],[Date Complaint Raised]]</f>
        <v>0</v>
      </c>
      <c r="N39" s="6"/>
      <c r="O39" s="7"/>
      <c r="P39" s="7"/>
      <c r="Q39" s="1">
        <f>Table2[[#This Row],[Investigation Closed Date]]-Table2[[#This Row],[Date Complaint Raised]]</f>
        <v>0</v>
      </c>
      <c r="R39" s="6"/>
      <c r="S39" s="6"/>
      <c r="T39" s="6"/>
      <c r="U39" s="6"/>
      <c r="V39" s="6"/>
      <c r="W39" s="10"/>
      <c r="X39" s="8"/>
      <c r="Y39" s="6"/>
      <c r="Z39" s="9"/>
    </row>
    <row r="40" spans="1:26" s="2" customFormat="1" x14ac:dyDescent="0.3">
      <c r="A40" s="6"/>
      <c r="B40" s="7"/>
      <c r="C40" s="6"/>
      <c r="D40" s="6"/>
      <c r="E40" s="6"/>
      <c r="F40" s="6"/>
      <c r="G40" s="6"/>
      <c r="H40" s="6"/>
      <c r="I40" s="6"/>
      <c r="J40" s="6"/>
      <c r="K40" s="3">
        <f>Table2[[#This Row],[Date Complaint Raised]]+7</f>
        <v>7</v>
      </c>
      <c r="L40" s="7"/>
      <c r="M40" s="1">
        <f>Table2[[#This Row],[Part 1 Completion Date]]-Table2[[#This Row],[Date Complaint Raised]]</f>
        <v>0</v>
      </c>
      <c r="N40" s="6"/>
      <c r="O40" s="7"/>
      <c r="P40" s="7"/>
      <c r="Q40" s="1">
        <f>Table2[[#This Row],[Investigation Closed Date]]-Table2[[#This Row],[Date Complaint Raised]]</f>
        <v>0</v>
      </c>
      <c r="R40" s="6"/>
      <c r="S40" s="6"/>
      <c r="T40" s="6"/>
      <c r="U40" s="6"/>
      <c r="V40" s="6"/>
      <c r="W40" s="10"/>
      <c r="X40" s="8"/>
      <c r="Y40" s="6"/>
      <c r="Z40" s="9"/>
    </row>
    <row r="41" spans="1:26" s="2" customFormat="1" x14ac:dyDescent="0.3">
      <c r="A41" s="6"/>
      <c r="B41" s="7"/>
      <c r="C41" s="6"/>
      <c r="D41" s="6"/>
      <c r="E41" s="6"/>
      <c r="F41" s="6"/>
      <c r="G41" s="6"/>
      <c r="H41" s="6"/>
      <c r="I41" s="6"/>
      <c r="J41" s="6"/>
      <c r="K41" s="3">
        <f>Table2[[#This Row],[Date Complaint Raised]]+7</f>
        <v>7</v>
      </c>
      <c r="L41" s="7"/>
      <c r="M41" s="1">
        <f>Table2[[#This Row],[Part 1 Completion Date]]-Table2[[#This Row],[Date Complaint Raised]]</f>
        <v>0</v>
      </c>
      <c r="N41" s="6"/>
      <c r="O41" s="7"/>
      <c r="P41" s="7"/>
      <c r="Q41" s="1">
        <f>Table2[[#This Row],[Investigation Closed Date]]-Table2[[#This Row],[Date Complaint Raised]]</f>
        <v>0</v>
      </c>
      <c r="R41" s="6"/>
      <c r="S41" s="6"/>
      <c r="T41" s="6"/>
      <c r="U41" s="6"/>
      <c r="V41" s="6"/>
      <c r="W41" s="10"/>
      <c r="X41" s="8"/>
      <c r="Y41" s="6"/>
      <c r="Z41" s="9"/>
    </row>
    <row r="42" spans="1:26" s="2" customFormat="1" x14ac:dyDescent="0.3">
      <c r="A42" s="6"/>
      <c r="B42" s="7"/>
      <c r="C42" s="6"/>
      <c r="D42" s="6"/>
      <c r="E42" s="6"/>
      <c r="F42" s="6"/>
      <c r="G42" s="6"/>
      <c r="H42" s="6"/>
      <c r="I42" s="6"/>
      <c r="J42" s="6"/>
      <c r="K42" s="3">
        <f>Table2[[#This Row],[Date Complaint Raised]]+7</f>
        <v>7</v>
      </c>
      <c r="L42" s="7"/>
      <c r="M42" s="1">
        <f>Table2[[#This Row],[Part 1 Completion Date]]-Table2[[#This Row],[Date Complaint Raised]]</f>
        <v>0</v>
      </c>
      <c r="N42" s="6"/>
      <c r="O42" s="7"/>
      <c r="P42" s="7"/>
      <c r="Q42" s="1">
        <f>Table2[[#This Row],[Investigation Closed Date]]-Table2[[#This Row],[Date Complaint Raised]]</f>
        <v>0</v>
      </c>
      <c r="R42" s="6"/>
      <c r="S42" s="6"/>
      <c r="T42" s="6"/>
      <c r="U42" s="6"/>
      <c r="V42" s="6"/>
      <c r="W42" s="10"/>
      <c r="X42" s="8"/>
      <c r="Y42" s="6"/>
      <c r="Z42" s="9"/>
    </row>
    <row r="43" spans="1:26" s="2" customFormat="1" x14ac:dyDescent="0.3">
      <c r="A43" s="6"/>
      <c r="B43" s="7"/>
      <c r="C43" s="6"/>
      <c r="D43" s="6"/>
      <c r="E43" s="6"/>
      <c r="F43" s="6"/>
      <c r="G43" s="6"/>
      <c r="H43" s="6"/>
      <c r="I43" s="6"/>
      <c r="J43" s="6"/>
      <c r="K43" s="3">
        <f>Table2[[#This Row],[Date Complaint Raised]]+7</f>
        <v>7</v>
      </c>
      <c r="L43" s="7"/>
      <c r="M43" s="1">
        <f>Table2[[#This Row],[Part 1 Completion Date]]-Table2[[#This Row],[Date Complaint Raised]]</f>
        <v>0</v>
      </c>
      <c r="N43" s="6"/>
      <c r="O43" s="7"/>
      <c r="P43" s="7"/>
      <c r="Q43" s="1">
        <f>Table2[[#This Row],[Investigation Closed Date]]-Table2[[#This Row],[Date Complaint Raised]]</f>
        <v>0</v>
      </c>
      <c r="R43" s="6"/>
      <c r="S43" s="6"/>
      <c r="T43" s="6"/>
      <c r="U43" s="6"/>
      <c r="V43" s="6"/>
      <c r="W43" s="10"/>
      <c r="X43" s="8"/>
      <c r="Y43" s="6"/>
      <c r="Z43" s="9"/>
    </row>
    <row r="44" spans="1:26" s="2" customFormat="1" x14ac:dyDescent="0.3">
      <c r="A44" s="6"/>
      <c r="B44" s="7"/>
      <c r="C44" s="6"/>
      <c r="D44" s="6"/>
      <c r="E44" s="6"/>
      <c r="F44" s="6"/>
      <c r="G44" s="6"/>
      <c r="H44" s="6"/>
      <c r="I44" s="6"/>
      <c r="J44" s="6"/>
      <c r="K44" s="3">
        <f>Table2[[#This Row],[Date Complaint Raised]]+7</f>
        <v>7</v>
      </c>
      <c r="L44" s="7"/>
      <c r="M44" s="1">
        <f>Table2[[#This Row],[Part 1 Completion Date]]-Table2[[#This Row],[Date Complaint Raised]]</f>
        <v>0</v>
      </c>
      <c r="N44" s="6"/>
      <c r="O44" s="7"/>
      <c r="P44" s="7"/>
      <c r="Q44" s="1">
        <f>Table2[[#This Row],[Investigation Closed Date]]-Table2[[#This Row],[Date Complaint Raised]]</f>
        <v>0</v>
      </c>
      <c r="R44" s="6"/>
      <c r="S44" s="6"/>
      <c r="T44" s="6"/>
      <c r="U44" s="6"/>
      <c r="V44" s="6"/>
      <c r="W44" s="10"/>
      <c r="X44" s="8"/>
      <c r="Y44" s="6"/>
      <c r="Z44" s="9"/>
    </row>
    <row r="45" spans="1:26" s="2" customFormat="1" x14ac:dyDescent="0.3">
      <c r="A45" s="6"/>
      <c r="B45" s="7"/>
      <c r="C45" s="6"/>
      <c r="D45" s="6"/>
      <c r="E45" s="6"/>
      <c r="F45" s="6"/>
      <c r="G45" s="6"/>
      <c r="H45" s="6"/>
      <c r="I45" s="6"/>
      <c r="J45" s="6"/>
      <c r="K45" s="3">
        <f>Table2[[#This Row],[Date Complaint Raised]]+7</f>
        <v>7</v>
      </c>
      <c r="L45" s="7"/>
      <c r="M45" s="1">
        <f>Table2[[#This Row],[Part 1 Completion Date]]-Table2[[#This Row],[Date Complaint Raised]]</f>
        <v>0</v>
      </c>
      <c r="N45" s="6"/>
      <c r="O45" s="7"/>
      <c r="P45" s="7"/>
      <c r="Q45" s="1">
        <f>Table2[[#This Row],[Investigation Closed Date]]-Table2[[#This Row],[Date Complaint Raised]]</f>
        <v>0</v>
      </c>
      <c r="R45" s="6"/>
      <c r="S45" s="6"/>
      <c r="T45" s="6"/>
      <c r="U45" s="6"/>
      <c r="V45" s="6"/>
      <c r="W45" s="10"/>
      <c r="X45" s="8"/>
      <c r="Y45" s="6"/>
      <c r="Z45" s="9"/>
    </row>
    <row r="46" spans="1:26" s="2" customFormat="1" x14ac:dyDescent="0.3">
      <c r="A46" s="6"/>
      <c r="B46" s="7"/>
      <c r="C46" s="6"/>
      <c r="D46" s="6"/>
      <c r="E46" s="6"/>
      <c r="F46" s="6"/>
      <c r="G46" s="6"/>
      <c r="H46" s="6"/>
      <c r="I46" s="6"/>
      <c r="J46" s="6"/>
      <c r="K46" s="3">
        <f>Table2[[#This Row],[Date Complaint Raised]]+7</f>
        <v>7</v>
      </c>
      <c r="L46" s="7"/>
      <c r="M46" s="1">
        <f>Table2[[#This Row],[Part 1 Completion Date]]-Table2[[#This Row],[Date Complaint Raised]]</f>
        <v>0</v>
      </c>
      <c r="N46" s="6"/>
      <c r="O46" s="7"/>
      <c r="P46" s="7"/>
      <c r="Q46" s="1">
        <f>Table2[[#This Row],[Investigation Closed Date]]-Table2[[#This Row],[Date Complaint Raised]]</f>
        <v>0</v>
      </c>
      <c r="R46" s="6"/>
      <c r="S46" s="6"/>
      <c r="T46" s="6"/>
      <c r="U46" s="6"/>
      <c r="V46" s="6"/>
      <c r="W46" s="10"/>
      <c r="X46" s="8"/>
      <c r="Y46" s="6"/>
      <c r="Z46" s="9"/>
    </row>
    <row r="47" spans="1:26" s="2" customFormat="1" x14ac:dyDescent="0.3">
      <c r="A47" s="6"/>
      <c r="B47" s="7"/>
      <c r="C47" s="6"/>
      <c r="D47" s="6"/>
      <c r="E47" s="6"/>
      <c r="F47" s="6"/>
      <c r="G47" s="6"/>
      <c r="H47" s="6"/>
      <c r="I47" s="6"/>
      <c r="J47" s="6"/>
      <c r="K47" s="3">
        <f>Table2[[#This Row],[Date Complaint Raised]]+7</f>
        <v>7</v>
      </c>
      <c r="L47" s="7"/>
      <c r="M47" s="1">
        <f>Table2[[#This Row],[Part 1 Completion Date]]-Table2[[#This Row],[Date Complaint Raised]]</f>
        <v>0</v>
      </c>
      <c r="N47" s="6"/>
      <c r="O47" s="7"/>
      <c r="P47" s="7"/>
      <c r="Q47" s="1">
        <f>Table2[[#This Row],[Investigation Closed Date]]-Table2[[#This Row],[Date Complaint Raised]]</f>
        <v>0</v>
      </c>
      <c r="R47" s="6"/>
      <c r="S47" s="6"/>
      <c r="T47" s="6"/>
      <c r="U47" s="6"/>
      <c r="V47" s="6"/>
      <c r="W47" s="10"/>
      <c r="X47" s="8"/>
      <c r="Y47" s="6"/>
      <c r="Z47" s="9"/>
    </row>
    <row r="48" spans="1:26" s="2" customFormat="1" x14ac:dyDescent="0.3">
      <c r="A48" s="6"/>
      <c r="B48" s="7"/>
      <c r="C48" s="6"/>
      <c r="D48" s="6"/>
      <c r="E48" s="6"/>
      <c r="F48" s="6"/>
      <c r="G48" s="6"/>
      <c r="H48" s="6"/>
      <c r="I48" s="6"/>
      <c r="J48" s="6"/>
      <c r="K48" s="3">
        <f>Table2[[#This Row],[Date Complaint Raised]]+7</f>
        <v>7</v>
      </c>
      <c r="L48" s="7"/>
      <c r="M48" s="1">
        <f>Table2[[#This Row],[Part 1 Completion Date]]-Table2[[#This Row],[Date Complaint Raised]]</f>
        <v>0</v>
      </c>
      <c r="N48" s="6"/>
      <c r="O48" s="7"/>
      <c r="P48" s="7"/>
      <c r="Q48" s="1">
        <f>Table2[[#This Row],[Investigation Closed Date]]-Table2[[#This Row],[Date Complaint Raised]]</f>
        <v>0</v>
      </c>
      <c r="R48" s="6"/>
      <c r="S48" s="6"/>
      <c r="T48" s="6"/>
      <c r="U48" s="6"/>
      <c r="V48" s="6"/>
      <c r="W48" s="10"/>
      <c r="X48" s="8"/>
      <c r="Y48" s="6"/>
      <c r="Z48" s="9"/>
    </row>
    <row r="49" spans="1:26" s="2" customFormat="1" x14ac:dyDescent="0.3">
      <c r="A49" s="6"/>
      <c r="B49" s="7"/>
      <c r="C49" s="6"/>
      <c r="D49" s="6"/>
      <c r="E49" s="6"/>
      <c r="F49" s="6"/>
      <c r="G49" s="6"/>
      <c r="H49" s="6"/>
      <c r="I49" s="6"/>
      <c r="J49" s="6"/>
      <c r="K49" s="3">
        <f>Table2[[#This Row],[Date Complaint Raised]]+7</f>
        <v>7</v>
      </c>
      <c r="L49" s="7"/>
      <c r="M49" s="1">
        <f>Table2[[#This Row],[Part 1 Completion Date]]-Table2[[#This Row],[Date Complaint Raised]]</f>
        <v>0</v>
      </c>
      <c r="N49" s="6"/>
      <c r="O49" s="7"/>
      <c r="P49" s="7"/>
      <c r="Q49" s="1">
        <f>Table2[[#This Row],[Investigation Closed Date]]-Table2[[#This Row],[Date Complaint Raised]]</f>
        <v>0</v>
      </c>
      <c r="R49" s="6"/>
      <c r="S49" s="6"/>
      <c r="T49" s="6"/>
      <c r="U49" s="6"/>
      <c r="V49" s="6"/>
      <c r="W49" s="10"/>
      <c r="X49" s="8"/>
      <c r="Y49" s="6"/>
      <c r="Z49" s="9"/>
    </row>
    <row r="50" spans="1:26" s="2" customFormat="1" x14ac:dyDescent="0.3">
      <c r="A50" s="6"/>
      <c r="B50" s="7"/>
      <c r="C50" s="6"/>
      <c r="D50" s="6"/>
      <c r="E50" s="6"/>
      <c r="F50" s="6"/>
      <c r="G50" s="6"/>
      <c r="H50" s="6"/>
      <c r="I50" s="6"/>
      <c r="J50" s="6"/>
      <c r="K50" s="3">
        <f>Table2[[#This Row],[Date Complaint Raised]]+7</f>
        <v>7</v>
      </c>
      <c r="L50" s="7"/>
      <c r="M50" s="1">
        <f>Table2[[#This Row],[Part 1 Completion Date]]-Table2[[#This Row],[Date Complaint Raised]]</f>
        <v>0</v>
      </c>
      <c r="N50" s="6"/>
      <c r="O50" s="7"/>
      <c r="P50" s="7"/>
      <c r="Q50" s="1">
        <f>Table2[[#This Row],[Investigation Closed Date]]-Table2[[#This Row],[Date Complaint Raised]]</f>
        <v>0</v>
      </c>
      <c r="R50" s="6"/>
      <c r="S50" s="6"/>
      <c r="T50" s="6"/>
      <c r="U50" s="6"/>
      <c r="V50" s="6"/>
      <c r="W50" s="10"/>
      <c r="X50" s="8"/>
      <c r="Y50" s="6"/>
      <c r="Z50" s="9"/>
    </row>
    <row r="51" spans="1:26" s="2" customFormat="1" x14ac:dyDescent="0.3">
      <c r="A51" s="6"/>
      <c r="B51" s="7"/>
      <c r="C51" s="6"/>
      <c r="D51" s="6"/>
      <c r="E51" s="6"/>
      <c r="F51" s="6"/>
      <c r="G51" s="6"/>
      <c r="H51" s="6"/>
      <c r="I51" s="6"/>
      <c r="J51" s="6"/>
      <c r="K51" s="3">
        <f>Table2[[#This Row],[Date Complaint Raised]]+7</f>
        <v>7</v>
      </c>
      <c r="L51" s="7"/>
      <c r="M51" s="1">
        <f>Table2[[#This Row],[Part 1 Completion Date]]-Table2[[#This Row],[Date Complaint Raised]]</f>
        <v>0</v>
      </c>
      <c r="N51" s="6"/>
      <c r="O51" s="7"/>
      <c r="P51" s="7"/>
      <c r="Q51" s="1">
        <f>Table2[[#This Row],[Investigation Closed Date]]-Table2[[#This Row],[Date Complaint Raised]]</f>
        <v>0</v>
      </c>
      <c r="R51" s="6"/>
      <c r="S51" s="6"/>
      <c r="T51" s="6"/>
      <c r="U51" s="6"/>
      <c r="V51" s="6"/>
      <c r="W51" s="10"/>
      <c r="X51" s="8"/>
      <c r="Y51" s="6"/>
      <c r="Z51" s="9"/>
    </row>
    <row r="52" spans="1:26" s="2" customFormat="1" x14ac:dyDescent="0.3">
      <c r="A52" s="6"/>
      <c r="B52" s="7"/>
      <c r="C52" s="6"/>
      <c r="D52" s="6"/>
      <c r="E52" s="6"/>
      <c r="F52" s="6"/>
      <c r="G52" s="6"/>
      <c r="H52" s="6"/>
      <c r="I52" s="6"/>
      <c r="J52" s="6"/>
      <c r="K52" s="3">
        <f>Table2[[#This Row],[Date Complaint Raised]]+7</f>
        <v>7</v>
      </c>
      <c r="L52" s="7"/>
      <c r="M52" s="1">
        <f>Table2[[#This Row],[Part 1 Completion Date]]-Table2[[#This Row],[Date Complaint Raised]]</f>
        <v>0</v>
      </c>
      <c r="N52" s="6"/>
      <c r="O52" s="7"/>
      <c r="P52" s="7"/>
      <c r="Q52" s="1">
        <f>Table2[[#This Row],[Investigation Closed Date]]-Table2[[#This Row],[Date Complaint Raised]]</f>
        <v>0</v>
      </c>
      <c r="R52" s="6"/>
      <c r="S52" s="6"/>
      <c r="T52" s="6"/>
      <c r="U52" s="6"/>
      <c r="V52" s="6"/>
      <c r="W52" s="10"/>
      <c r="X52" s="8"/>
      <c r="Y52" s="6"/>
      <c r="Z52" s="9"/>
    </row>
    <row r="53" spans="1:26" s="2" customFormat="1" x14ac:dyDescent="0.3">
      <c r="A53" s="6"/>
      <c r="B53" s="7"/>
      <c r="C53" s="6"/>
      <c r="D53" s="6"/>
      <c r="E53" s="6"/>
      <c r="F53" s="6"/>
      <c r="G53" s="6"/>
      <c r="H53" s="6"/>
      <c r="I53" s="6"/>
      <c r="J53" s="6"/>
      <c r="K53" s="3">
        <f>Table2[[#This Row],[Date Complaint Raised]]+7</f>
        <v>7</v>
      </c>
      <c r="L53" s="7"/>
      <c r="M53" s="1">
        <f>Table2[[#This Row],[Part 1 Completion Date]]-Table2[[#This Row],[Date Complaint Raised]]</f>
        <v>0</v>
      </c>
      <c r="N53" s="6"/>
      <c r="O53" s="7"/>
      <c r="P53" s="7"/>
      <c r="Q53" s="1">
        <f>Table2[[#This Row],[Investigation Closed Date]]-Table2[[#This Row],[Date Complaint Raised]]</f>
        <v>0</v>
      </c>
      <c r="R53" s="6"/>
      <c r="S53" s="6"/>
      <c r="T53" s="6"/>
      <c r="U53" s="6"/>
      <c r="V53" s="6"/>
      <c r="W53" s="10"/>
      <c r="X53" s="8"/>
      <c r="Y53" s="6"/>
      <c r="Z53" s="9"/>
    </row>
    <row r="54" spans="1:26" s="2" customFormat="1" x14ac:dyDescent="0.3">
      <c r="A54" s="6"/>
      <c r="B54" s="7"/>
      <c r="C54" s="6"/>
      <c r="D54" s="6"/>
      <c r="E54" s="6"/>
      <c r="F54" s="6"/>
      <c r="G54" s="6"/>
      <c r="H54" s="6"/>
      <c r="I54" s="6"/>
      <c r="J54" s="6"/>
      <c r="K54" s="3">
        <f>Table2[[#This Row],[Date Complaint Raised]]+7</f>
        <v>7</v>
      </c>
      <c r="L54" s="7"/>
      <c r="M54" s="1">
        <f>Table2[[#This Row],[Part 1 Completion Date]]-Table2[[#This Row],[Date Complaint Raised]]</f>
        <v>0</v>
      </c>
      <c r="N54" s="6"/>
      <c r="O54" s="7"/>
      <c r="P54" s="7"/>
      <c r="Q54" s="1">
        <f>Table2[[#This Row],[Investigation Closed Date]]-Table2[[#This Row],[Date Complaint Raised]]</f>
        <v>0</v>
      </c>
      <c r="R54" s="6"/>
      <c r="S54" s="6"/>
      <c r="T54" s="6"/>
      <c r="U54" s="6"/>
      <c r="V54" s="6"/>
      <c r="W54" s="10"/>
      <c r="X54" s="8"/>
      <c r="Y54" s="6"/>
      <c r="Z54" s="9"/>
    </row>
    <row r="55" spans="1:26" s="2" customFormat="1" x14ac:dyDescent="0.3">
      <c r="A55" s="6"/>
      <c r="B55" s="7"/>
      <c r="C55" s="6"/>
      <c r="D55" s="6"/>
      <c r="E55" s="6"/>
      <c r="F55" s="6"/>
      <c r="G55" s="6"/>
      <c r="H55" s="6"/>
      <c r="I55" s="6"/>
      <c r="J55" s="6"/>
      <c r="K55" s="3">
        <f>Table2[[#This Row],[Date Complaint Raised]]+7</f>
        <v>7</v>
      </c>
      <c r="L55" s="7"/>
      <c r="M55" s="1">
        <f>Table2[[#This Row],[Part 1 Completion Date]]-Table2[[#This Row],[Date Complaint Raised]]</f>
        <v>0</v>
      </c>
      <c r="N55" s="6"/>
      <c r="O55" s="7"/>
      <c r="P55" s="7"/>
      <c r="Q55" s="1">
        <f>Table2[[#This Row],[Investigation Closed Date]]-Table2[[#This Row],[Date Complaint Raised]]</f>
        <v>0</v>
      </c>
      <c r="R55" s="6"/>
      <c r="S55" s="6"/>
      <c r="T55" s="6"/>
      <c r="U55" s="6"/>
      <c r="V55" s="6"/>
      <c r="W55" s="10"/>
      <c r="X55" s="8"/>
      <c r="Y55" s="6"/>
      <c r="Z55" s="9"/>
    </row>
    <row r="56" spans="1:26" s="2" customFormat="1" x14ac:dyDescent="0.3">
      <c r="A56" s="6"/>
      <c r="B56" s="7"/>
      <c r="C56" s="6"/>
      <c r="D56" s="6"/>
      <c r="E56" s="6"/>
      <c r="F56" s="6"/>
      <c r="G56" s="6"/>
      <c r="H56" s="6"/>
      <c r="I56" s="6"/>
      <c r="J56" s="6"/>
      <c r="K56" s="3">
        <f>Table2[[#This Row],[Date Complaint Raised]]+7</f>
        <v>7</v>
      </c>
      <c r="L56" s="7"/>
      <c r="M56" s="1">
        <f>Table2[[#This Row],[Part 1 Completion Date]]-Table2[[#This Row],[Date Complaint Raised]]</f>
        <v>0</v>
      </c>
      <c r="N56" s="6"/>
      <c r="O56" s="7"/>
      <c r="P56" s="7"/>
      <c r="Q56" s="1">
        <f>Table2[[#This Row],[Investigation Closed Date]]-Table2[[#This Row],[Date Complaint Raised]]</f>
        <v>0</v>
      </c>
      <c r="R56" s="6"/>
      <c r="S56" s="6"/>
      <c r="T56" s="6"/>
      <c r="U56" s="6"/>
      <c r="V56" s="6"/>
      <c r="W56" s="10"/>
      <c r="X56" s="8"/>
      <c r="Y56" s="6"/>
      <c r="Z56" s="9"/>
    </row>
    <row r="57" spans="1:26" s="2" customFormat="1" x14ac:dyDescent="0.3">
      <c r="A57" s="6"/>
      <c r="B57" s="7"/>
      <c r="C57" s="6"/>
      <c r="D57" s="6"/>
      <c r="E57" s="6"/>
      <c r="F57" s="6"/>
      <c r="G57" s="6"/>
      <c r="H57" s="6"/>
      <c r="I57" s="6"/>
      <c r="J57" s="6"/>
      <c r="K57" s="3">
        <f>Table2[[#This Row],[Date Complaint Raised]]+7</f>
        <v>7</v>
      </c>
      <c r="L57" s="7"/>
      <c r="M57" s="1">
        <f>Table2[[#This Row],[Part 1 Completion Date]]-Table2[[#This Row],[Date Complaint Raised]]</f>
        <v>0</v>
      </c>
      <c r="N57" s="6"/>
      <c r="O57" s="7"/>
      <c r="P57" s="7"/>
      <c r="Q57" s="1">
        <f>Table2[[#This Row],[Investigation Closed Date]]-Table2[[#This Row],[Date Complaint Raised]]</f>
        <v>0</v>
      </c>
      <c r="R57" s="6"/>
      <c r="S57" s="6"/>
      <c r="T57" s="6"/>
      <c r="U57" s="6"/>
      <c r="V57" s="6"/>
      <c r="W57" s="10"/>
      <c r="X57" s="8"/>
      <c r="Y57" s="6"/>
      <c r="Z57" s="9"/>
    </row>
    <row r="58" spans="1:26" s="2" customFormat="1" x14ac:dyDescent="0.3">
      <c r="A58" s="6"/>
      <c r="B58" s="7"/>
      <c r="C58" s="6"/>
      <c r="D58" s="6"/>
      <c r="E58" s="6"/>
      <c r="F58" s="6"/>
      <c r="G58" s="6"/>
      <c r="H58" s="6"/>
      <c r="I58" s="6"/>
      <c r="J58" s="6"/>
      <c r="K58" s="3">
        <f>Table2[[#This Row],[Date Complaint Raised]]+7</f>
        <v>7</v>
      </c>
      <c r="L58" s="7"/>
      <c r="M58" s="1">
        <f>Table2[[#This Row],[Part 1 Completion Date]]-Table2[[#This Row],[Date Complaint Raised]]</f>
        <v>0</v>
      </c>
      <c r="N58" s="6"/>
      <c r="O58" s="7"/>
      <c r="P58" s="7"/>
      <c r="Q58" s="1">
        <f>Table2[[#This Row],[Investigation Closed Date]]-Table2[[#This Row],[Date Complaint Raised]]</f>
        <v>0</v>
      </c>
      <c r="R58" s="6"/>
      <c r="S58" s="6"/>
      <c r="T58" s="6"/>
      <c r="U58" s="6"/>
      <c r="V58" s="6"/>
      <c r="W58" s="10"/>
      <c r="X58" s="8"/>
      <c r="Y58" s="6"/>
      <c r="Z58" s="9"/>
    </row>
    <row r="59" spans="1:26" s="2" customFormat="1" x14ac:dyDescent="0.3">
      <c r="A59" s="6"/>
      <c r="B59" s="7"/>
      <c r="C59" s="6"/>
      <c r="D59" s="6"/>
      <c r="E59" s="6"/>
      <c r="F59" s="6"/>
      <c r="G59" s="6"/>
      <c r="H59" s="6"/>
      <c r="I59" s="6"/>
      <c r="J59" s="6"/>
      <c r="K59" s="3">
        <f>Table2[[#This Row],[Date Complaint Raised]]+7</f>
        <v>7</v>
      </c>
      <c r="L59" s="7"/>
      <c r="M59" s="1">
        <f>Table2[[#This Row],[Part 1 Completion Date]]-Table2[[#This Row],[Date Complaint Raised]]</f>
        <v>0</v>
      </c>
      <c r="N59" s="6"/>
      <c r="O59" s="7"/>
      <c r="P59" s="7"/>
      <c r="Q59" s="1">
        <f>Table2[[#This Row],[Investigation Closed Date]]-Table2[[#This Row],[Date Complaint Raised]]</f>
        <v>0</v>
      </c>
      <c r="R59" s="6"/>
      <c r="S59" s="6"/>
      <c r="T59" s="6"/>
      <c r="U59" s="6"/>
      <c r="V59" s="6"/>
      <c r="W59" s="10"/>
      <c r="X59" s="8"/>
      <c r="Y59" s="6"/>
      <c r="Z59" s="9"/>
    </row>
    <row r="60" spans="1:26" s="2" customFormat="1" x14ac:dyDescent="0.3">
      <c r="A60" s="6"/>
      <c r="B60" s="7"/>
      <c r="C60" s="6"/>
      <c r="D60" s="6"/>
      <c r="E60" s="6"/>
      <c r="F60" s="6"/>
      <c r="G60" s="6"/>
      <c r="H60" s="6"/>
      <c r="I60" s="6"/>
      <c r="J60" s="6"/>
      <c r="K60" s="3">
        <f>Table2[[#This Row],[Date Complaint Raised]]+7</f>
        <v>7</v>
      </c>
      <c r="L60" s="7"/>
      <c r="M60" s="1">
        <f>Table2[[#This Row],[Part 1 Completion Date]]-Table2[[#This Row],[Date Complaint Raised]]</f>
        <v>0</v>
      </c>
      <c r="N60" s="6"/>
      <c r="O60" s="7"/>
      <c r="P60" s="7"/>
      <c r="Q60" s="1">
        <f>Table2[[#This Row],[Investigation Closed Date]]-Table2[[#This Row],[Date Complaint Raised]]</f>
        <v>0</v>
      </c>
      <c r="R60" s="6"/>
      <c r="S60" s="6"/>
      <c r="T60" s="6"/>
      <c r="U60" s="6"/>
      <c r="V60" s="6"/>
      <c r="W60" s="10"/>
      <c r="X60" s="8"/>
      <c r="Y60" s="6"/>
      <c r="Z60" s="9"/>
    </row>
    <row r="61" spans="1:26" s="2" customFormat="1" x14ac:dyDescent="0.3">
      <c r="A61" s="6"/>
      <c r="B61" s="7"/>
      <c r="C61" s="6"/>
      <c r="D61" s="6"/>
      <c r="E61" s="6"/>
      <c r="F61" s="6"/>
      <c r="G61" s="6"/>
      <c r="H61" s="6"/>
      <c r="I61" s="6"/>
      <c r="J61" s="6"/>
      <c r="K61" s="3">
        <f>Table2[[#This Row],[Date Complaint Raised]]+7</f>
        <v>7</v>
      </c>
      <c r="L61" s="7"/>
      <c r="M61" s="1">
        <f>Table2[[#This Row],[Part 1 Completion Date]]-Table2[[#This Row],[Date Complaint Raised]]</f>
        <v>0</v>
      </c>
      <c r="N61" s="6"/>
      <c r="O61" s="7"/>
      <c r="P61" s="7"/>
      <c r="Q61" s="1">
        <f>Table2[[#This Row],[Investigation Closed Date]]-Table2[[#This Row],[Date Complaint Raised]]</f>
        <v>0</v>
      </c>
      <c r="R61" s="6"/>
      <c r="S61" s="6"/>
      <c r="T61" s="6"/>
      <c r="U61" s="6"/>
      <c r="V61" s="6"/>
      <c r="W61" s="10"/>
      <c r="X61" s="8"/>
      <c r="Y61" s="6"/>
      <c r="Z61" s="9"/>
    </row>
    <row r="62" spans="1:26" s="2" customFormat="1" x14ac:dyDescent="0.3">
      <c r="A62" s="6"/>
      <c r="B62" s="7"/>
      <c r="C62" s="6"/>
      <c r="D62" s="6"/>
      <c r="E62" s="6"/>
      <c r="F62" s="6"/>
      <c r="G62" s="6"/>
      <c r="H62" s="6"/>
      <c r="I62" s="6"/>
      <c r="J62" s="6"/>
      <c r="K62" s="3">
        <f>Table2[[#This Row],[Date Complaint Raised]]+7</f>
        <v>7</v>
      </c>
      <c r="L62" s="7"/>
      <c r="M62" s="1">
        <f>Table2[[#This Row],[Part 1 Completion Date]]-Table2[[#This Row],[Date Complaint Raised]]</f>
        <v>0</v>
      </c>
      <c r="N62" s="6"/>
      <c r="O62" s="7"/>
      <c r="P62" s="7"/>
      <c r="Q62" s="1">
        <f>Table2[[#This Row],[Investigation Closed Date]]-Table2[[#This Row],[Date Complaint Raised]]</f>
        <v>0</v>
      </c>
      <c r="R62" s="6"/>
      <c r="S62" s="6"/>
      <c r="T62" s="6"/>
      <c r="U62" s="6"/>
      <c r="V62" s="6"/>
      <c r="W62" s="10"/>
      <c r="X62" s="8"/>
      <c r="Y62" s="6"/>
      <c r="Z62" s="9"/>
    </row>
    <row r="63" spans="1:26" s="2" customFormat="1" x14ac:dyDescent="0.3">
      <c r="A63" s="6"/>
      <c r="B63" s="7"/>
      <c r="C63" s="6"/>
      <c r="D63" s="6"/>
      <c r="E63" s="6"/>
      <c r="F63" s="6"/>
      <c r="G63" s="6"/>
      <c r="H63" s="6"/>
      <c r="I63" s="6"/>
      <c r="J63" s="6"/>
      <c r="K63" s="3">
        <f>Table2[[#This Row],[Date Complaint Raised]]+7</f>
        <v>7</v>
      </c>
      <c r="L63" s="7"/>
      <c r="M63" s="1">
        <f>Table2[[#This Row],[Part 1 Completion Date]]-Table2[[#This Row],[Date Complaint Raised]]</f>
        <v>0</v>
      </c>
      <c r="N63" s="6"/>
      <c r="O63" s="7"/>
      <c r="P63" s="7"/>
      <c r="Q63" s="1">
        <f>Table2[[#This Row],[Investigation Closed Date]]-Table2[[#This Row],[Date Complaint Raised]]</f>
        <v>0</v>
      </c>
      <c r="R63" s="6"/>
      <c r="S63" s="6"/>
      <c r="T63" s="6"/>
      <c r="U63" s="6"/>
      <c r="V63" s="6"/>
      <c r="W63" s="10"/>
      <c r="X63" s="8"/>
      <c r="Y63" s="6"/>
      <c r="Z63" s="9"/>
    </row>
    <row r="64" spans="1:26" s="2" customFormat="1" x14ac:dyDescent="0.3">
      <c r="A64" s="6"/>
      <c r="B64" s="7"/>
      <c r="C64" s="6"/>
      <c r="D64" s="6"/>
      <c r="E64" s="6"/>
      <c r="F64" s="6"/>
      <c r="G64" s="6"/>
      <c r="H64" s="6"/>
      <c r="I64" s="6"/>
      <c r="J64" s="6"/>
      <c r="K64" s="3">
        <f>Table2[[#This Row],[Date Complaint Raised]]+7</f>
        <v>7</v>
      </c>
      <c r="L64" s="7"/>
      <c r="M64" s="1">
        <f>Table2[[#This Row],[Part 1 Completion Date]]-Table2[[#This Row],[Date Complaint Raised]]</f>
        <v>0</v>
      </c>
      <c r="N64" s="6"/>
      <c r="O64" s="7"/>
      <c r="P64" s="7"/>
      <c r="Q64" s="1">
        <f>Table2[[#This Row],[Investigation Closed Date]]-Table2[[#This Row],[Date Complaint Raised]]</f>
        <v>0</v>
      </c>
      <c r="R64" s="6"/>
      <c r="S64" s="6"/>
      <c r="T64" s="6"/>
      <c r="U64" s="6"/>
      <c r="V64" s="6"/>
      <c r="W64" s="10"/>
      <c r="X64" s="8"/>
      <c r="Y64" s="6"/>
      <c r="Z64" s="9"/>
    </row>
    <row r="65" spans="1:26" s="2" customFormat="1" x14ac:dyDescent="0.3">
      <c r="A65" s="6"/>
      <c r="B65" s="7"/>
      <c r="C65" s="6"/>
      <c r="D65" s="6"/>
      <c r="E65" s="6"/>
      <c r="F65" s="6"/>
      <c r="G65" s="6"/>
      <c r="H65" s="6"/>
      <c r="I65" s="6"/>
      <c r="J65" s="6"/>
      <c r="K65" s="3">
        <f>Table2[[#This Row],[Date Complaint Raised]]+7</f>
        <v>7</v>
      </c>
      <c r="L65" s="7"/>
      <c r="M65" s="1">
        <f>Table2[[#This Row],[Part 1 Completion Date]]-Table2[[#This Row],[Date Complaint Raised]]</f>
        <v>0</v>
      </c>
      <c r="N65" s="6"/>
      <c r="O65" s="7"/>
      <c r="P65" s="7"/>
      <c r="Q65" s="1">
        <f>Table2[[#This Row],[Investigation Closed Date]]-Table2[[#This Row],[Date Complaint Raised]]</f>
        <v>0</v>
      </c>
      <c r="R65" s="6"/>
      <c r="S65" s="6"/>
      <c r="T65" s="6"/>
      <c r="U65" s="6"/>
      <c r="V65" s="6"/>
      <c r="W65" s="10"/>
      <c r="X65" s="8"/>
      <c r="Y65" s="6"/>
      <c r="Z65" s="9"/>
    </row>
    <row r="66" spans="1:26" s="2" customFormat="1" x14ac:dyDescent="0.3">
      <c r="A66" s="6"/>
      <c r="B66" s="7"/>
      <c r="C66" s="6"/>
      <c r="D66" s="6"/>
      <c r="E66" s="6"/>
      <c r="F66" s="6"/>
      <c r="G66" s="6"/>
      <c r="H66" s="6"/>
      <c r="I66" s="6"/>
      <c r="J66" s="6"/>
      <c r="K66" s="3">
        <f>Table2[[#This Row],[Date Complaint Raised]]+7</f>
        <v>7</v>
      </c>
      <c r="L66" s="7"/>
      <c r="M66" s="1">
        <f>Table2[[#This Row],[Part 1 Completion Date]]-Table2[[#This Row],[Date Complaint Raised]]</f>
        <v>0</v>
      </c>
      <c r="N66" s="6"/>
      <c r="O66" s="7"/>
      <c r="P66" s="7"/>
      <c r="Q66" s="1">
        <f>Table2[[#This Row],[Investigation Closed Date]]-Table2[[#This Row],[Date Complaint Raised]]</f>
        <v>0</v>
      </c>
      <c r="R66" s="6"/>
      <c r="S66" s="6"/>
      <c r="T66" s="6"/>
      <c r="U66" s="6"/>
      <c r="V66" s="6"/>
      <c r="W66" s="10"/>
      <c r="X66" s="8"/>
      <c r="Y66" s="6"/>
      <c r="Z66" s="9"/>
    </row>
    <row r="67" spans="1:26" s="2" customFormat="1" x14ac:dyDescent="0.3">
      <c r="A67" s="6"/>
      <c r="B67" s="7"/>
      <c r="C67" s="6"/>
      <c r="D67" s="6"/>
      <c r="E67" s="6"/>
      <c r="F67" s="6"/>
      <c r="G67" s="6"/>
      <c r="H67" s="6"/>
      <c r="I67" s="6"/>
      <c r="J67" s="6"/>
      <c r="K67" s="3">
        <f>Table2[[#This Row],[Date Complaint Raised]]+7</f>
        <v>7</v>
      </c>
      <c r="L67" s="7"/>
      <c r="M67" s="1">
        <f>Table2[[#This Row],[Part 1 Completion Date]]-Table2[[#This Row],[Date Complaint Raised]]</f>
        <v>0</v>
      </c>
      <c r="N67" s="6"/>
      <c r="O67" s="7"/>
      <c r="P67" s="7"/>
      <c r="Q67" s="1">
        <f>Table2[[#This Row],[Investigation Closed Date]]-Table2[[#This Row],[Date Complaint Raised]]</f>
        <v>0</v>
      </c>
      <c r="R67" s="6"/>
      <c r="S67" s="6"/>
      <c r="T67" s="6"/>
      <c r="U67" s="6"/>
      <c r="V67" s="6"/>
      <c r="W67" s="10"/>
      <c r="X67" s="8"/>
      <c r="Y67" s="6"/>
      <c r="Z67" s="9"/>
    </row>
    <row r="68" spans="1:26" s="2" customFormat="1" x14ac:dyDescent="0.3">
      <c r="A68" s="6"/>
      <c r="B68" s="7"/>
      <c r="C68" s="6"/>
      <c r="D68" s="6"/>
      <c r="E68" s="6"/>
      <c r="F68" s="6"/>
      <c r="G68" s="6"/>
      <c r="H68" s="6"/>
      <c r="I68" s="6"/>
      <c r="J68" s="6"/>
      <c r="K68" s="3">
        <f>Table2[[#This Row],[Date Complaint Raised]]+7</f>
        <v>7</v>
      </c>
      <c r="L68" s="7"/>
      <c r="M68" s="1">
        <f>Table2[[#This Row],[Part 1 Completion Date]]-Table2[[#This Row],[Date Complaint Raised]]</f>
        <v>0</v>
      </c>
      <c r="N68" s="6"/>
      <c r="O68" s="7"/>
      <c r="P68" s="7"/>
      <c r="Q68" s="1">
        <f>Table2[[#This Row],[Investigation Closed Date]]-Table2[[#This Row],[Date Complaint Raised]]</f>
        <v>0</v>
      </c>
      <c r="R68" s="6"/>
      <c r="S68" s="6"/>
      <c r="T68" s="6"/>
      <c r="U68" s="6"/>
      <c r="V68" s="6"/>
      <c r="W68" s="10"/>
      <c r="X68" s="8"/>
      <c r="Y68" s="6"/>
      <c r="Z68" s="9"/>
    </row>
    <row r="69" spans="1:26" s="2" customFormat="1" x14ac:dyDescent="0.3">
      <c r="A69" s="6"/>
      <c r="B69" s="7"/>
      <c r="C69" s="6"/>
      <c r="D69" s="6"/>
      <c r="E69" s="6"/>
      <c r="F69" s="6"/>
      <c r="G69" s="6"/>
      <c r="H69" s="6"/>
      <c r="I69" s="6"/>
      <c r="J69" s="6"/>
      <c r="K69" s="3">
        <f>Table2[[#This Row],[Date Complaint Raised]]+7</f>
        <v>7</v>
      </c>
      <c r="L69" s="7"/>
      <c r="M69" s="1">
        <f>Table2[[#This Row],[Part 1 Completion Date]]-Table2[[#This Row],[Date Complaint Raised]]</f>
        <v>0</v>
      </c>
      <c r="N69" s="6"/>
      <c r="O69" s="7"/>
      <c r="P69" s="7"/>
      <c r="Q69" s="1">
        <f>Table2[[#This Row],[Investigation Closed Date]]-Table2[[#This Row],[Date Complaint Raised]]</f>
        <v>0</v>
      </c>
      <c r="R69" s="6"/>
      <c r="S69" s="6"/>
      <c r="T69" s="6"/>
      <c r="U69" s="6"/>
      <c r="V69" s="6"/>
      <c r="W69" s="10"/>
      <c r="X69" s="8"/>
      <c r="Y69" s="6"/>
      <c r="Z69" s="9"/>
    </row>
    <row r="70" spans="1:26" s="2" customFormat="1" x14ac:dyDescent="0.3">
      <c r="A70" s="6"/>
      <c r="B70" s="7"/>
      <c r="C70" s="6"/>
      <c r="D70" s="6"/>
      <c r="E70" s="6"/>
      <c r="F70" s="6"/>
      <c r="G70" s="6"/>
      <c r="H70" s="6"/>
      <c r="I70" s="6"/>
      <c r="J70" s="6"/>
      <c r="K70" s="3">
        <f>Table2[[#This Row],[Date Complaint Raised]]+7</f>
        <v>7</v>
      </c>
      <c r="L70" s="7"/>
      <c r="M70" s="1">
        <f>Table2[[#This Row],[Part 1 Completion Date]]-Table2[[#This Row],[Date Complaint Raised]]</f>
        <v>0</v>
      </c>
      <c r="N70" s="6"/>
      <c r="O70" s="7"/>
      <c r="P70" s="7"/>
      <c r="Q70" s="1">
        <f>Table2[[#This Row],[Investigation Closed Date]]-Table2[[#This Row],[Date Complaint Raised]]</f>
        <v>0</v>
      </c>
      <c r="R70" s="6"/>
      <c r="S70" s="6"/>
      <c r="T70" s="6"/>
      <c r="U70" s="6"/>
      <c r="V70" s="6"/>
      <c r="W70" s="10"/>
      <c r="X70" s="8"/>
      <c r="Y70" s="6"/>
      <c r="Z70" s="9"/>
    </row>
    <row r="71" spans="1:26" s="2" customFormat="1" x14ac:dyDescent="0.3">
      <c r="A71" s="6"/>
      <c r="B71" s="7"/>
      <c r="C71" s="6"/>
      <c r="D71" s="6"/>
      <c r="E71" s="6"/>
      <c r="F71" s="6"/>
      <c r="G71" s="6"/>
      <c r="H71" s="6"/>
      <c r="I71" s="6"/>
      <c r="J71" s="6"/>
      <c r="K71" s="3">
        <f>Table2[[#This Row],[Date Complaint Raised]]+7</f>
        <v>7</v>
      </c>
      <c r="L71" s="7"/>
      <c r="M71" s="1">
        <f>Table2[[#This Row],[Part 1 Completion Date]]-Table2[[#This Row],[Date Complaint Raised]]</f>
        <v>0</v>
      </c>
      <c r="N71" s="6"/>
      <c r="O71" s="7"/>
      <c r="P71" s="7"/>
      <c r="Q71" s="1">
        <f>Table2[[#This Row],[Investigation Closed Date]]-Table2[[#This Row],[Date Complaint Raised]]</f>
        <v>0</v>
      </c>
      <c r="R71" s="6"/>
      <c r="S71" s="6"/>
      <c r="T71" s="6"/>
      <c r="U71" s="6"/>
      <c r="V71" s="6"/>
      <c r="W71" s="10"/>
      <c r="X71" s="8"/>
      <c r="Y71" s="6"/>
      <c r="Z71" s="9"/>
    </row>
    <row r="72" spans="1:26" s="2" customFormat="1" x14ac:dyDescent="0.3">
      <c r="A72" s="6"/>
      <c r="B72" s="7"/>
      <c r="C72" s="6"/>
      <c r="D72" s="6"/>
      <c r="E72" s="6"/>
      <c r="F72" s="6"/>
      <c r="G72" s="6"/>
      <c r="H72" s="6"/>
      <c r="I72" s="6"/>
      <c r="J72" s="6"/>
      <c r="K72" s="3">
        <f>Table2[[#This Row],[Date Complaint Raised]]+7</f>
        <v>7</v>
      </c>
      <c r="L72" s="7"/>
      <c r="M72" s="1">
        <f>Table2[[#This Row],[Part 1 Completion Date]]-Table2[[#This Row],[Date Complaint Raised]]</f>
        <v>0</v>
      </c>
      <c r="N72" s="6"/>
      <c r="O72" s="7"/>
      <c r="P72" s="7"/>
      <c r="Q72" s="1">
        <f>Table2[[#This Row],[Investigation Closed Date]]-Table2[[#This Row],[Date Complaint Raised]]</f>
        <v>0</v>
      </c>
      <c r="R72" s="6"/>
      <c r="S72" s="6"/>
      <c r="T72" s="6"/>
      <c r="U72" s="6"/>
      <c r="V72" s="6"/>
      <c r="W72" s="10"/>
      <c r="X72" s="8"/>
      <c r="Y72" s="6"/>
      <c r="Z72" s="9"/>
    </row>
    <row r="73" spans="1:26" s="2" customFormat="1" x14ac:dyDescent="0.3">
      <c r="A73" s="6"/>
      <c r="B73" s="7"/>
      <c r="C73" s="6"/>
      <c r="D73" s="6"/>
      <c r="E73" s="6"/>
      <c r="F73" s="6"/>
      <c r="G73" s="6"/>
      <c r="H73" s="6"/>
      <c r="I73" s="6"/>
      <c r="J73" s="6"/>
      <c r="K73" s="3">
        <f>Table2[[#This Row],[Date Complaint Raised]]+7</f>
        <v>7</v>
      </c>
      <c r="L73" s="7"/>
      <c r="M73" s="1">
        <f>Table2[[#This Row],[Part 1 Completion Date]]-Table2[[#This Row],[Date Complaint Raised]]</f>
        <v>0</v>
      </c>
      <c r="N73" s="6"/>
      <c r="O73" s="7"/>
      <c r="P73" s="7"/>
      <c r="Q73" s="1">
        <f>Table2[[#This Row],[Investigation Closed Date]]-Table2[[#This Row],[Date Complaint Raised]]</f>
        <v>0</v>
      </c>
      <c r="R73" s="6"/>
      <c r="S73" s="6"/>
      <c r="T73" s="6"/>
      <c r="U73" s="6"/>
      <c r="V73" s="6"/>
      <c r="W73" s="10"/>
      <c r="X73" s="8"/>
      <c r="Y73" s="6"/>
      <c r="Z73" s="9"/>
    </row>
    <row r="74" spans="1:26" s="2" customFormat="1" x14ac:dyDescent="0.3">
      <c r="A74" s="6"/>
      <c r="B74" s="7"/>
      <c r="C74" s="6"/>
      <c r="D74" s="6"/>
      <c r="E74" s="6"/>
      <c r="F74" s="6"/>
      <c r="G74" s="6"/>
      <c r="H74" s="6"/>
      <c r="I74" s="6"/>
      <c r="J74" s="6"/>
      <c r="K74" s="3">
        <f>Table2[[#This Row],[Date Complaint Raised]]+7</f>
        <v>7</v>
      </c>
      <c r="L74" s="7"/>
      <c r="M74" s="1">
        <f>Table2[[#This Row],[Part 1 Completion Date]]-Table2[[#This Row],[Date Complaint Raised]]</f>
        <v>0</v>
      </c>
      <c r="N74" s="6"/>
      <c r="O74" s="7"/>
      <c r="P74" s="7"/>
      <c r="Q74" s="1">
        <f>Table2[[#This Row],[Investigation Closed Date]]-Table2[[#This Row],[Date Complaint Raised]]</f>
        <v>0</v>
      </c>
      <c r="R74" s="6"/>
      <c r="S74" s="6"/>
      <c r="T74" s="6"/>
      <c r="U74" s="6"/>
      <c r="V74" s="6"/>
      <c r="W74" s="10"/>
      <c r="X74" s="8"/>
      <c r="Y74" s="6"/>
      <c r="Z74" s="9"/>
    </row>
    <row r="75" spans="1:26" s="2" customFormat="1" x14ac:dyDescent="0.3">
      <c r="A75" s="6"/>
      <c r="B75" s="7"/>
      <c r="C75" s="6"/>
      <c r="D75" s="6"/>
      <c r="E75" s="6"/>
      <c r="F75" s="6"/>
      <c r="G75" s="6"/>
      <c r="H75" s="6"/>
      <c r="I75" s="6"/>
      <c r="J75" s="6"/>
      <c r="K75" s="3">
        <f>Table2[[#This Row],[Date Complaint Raised]]+7</f>
        <v>7</v>
      </c>
      <c r="L75" s="7"/>
      <c r="M75" s="1">
        <f>Table2[[#This Row],[Part 1 Completion Date]]-Table2[[#This Row],[Date Complaint Raised]]</f>
        <v>0</v>
      </c>
      <c r="N75" s="6"/>
      <c r="O75" s="7"/>
      <c r="P75" s="7"/>
      <c r="Q75" s="1">
        <f>Table2[[#This Row],[Investigation Closed Date]]-Table2[[#This Row],[Date Complaint Raised]]</f>
        <v>0</v>
      </c>
      <c r="R75" s="6"/>
      <c r="S75" s="6"/>
      <c r="T75" s="6"/>
      <c r="U75" s="6"/>
      <c r="V75" s="6"/>
      <c r="W75" s="10"/>
      <c r="X75" s="8"/>
      <c r="Y75" s="6"/>
      <c r="Z75" s="9"/>
    </row>
    <row r="76" spans="1:26" s="2" customFormat="1" x14ac:dyDescent="0.3">
      <c r="A76" s="6"/>
      <c r="B76" s="7"/>
      <c r="C76" s="6"/>
      <c r="D76" s="6"/>
      <c r="E76" s="6"/>
      <c r="F76" s="6"/>
      <c r="G76" s="6"/>
      <c r="H76" s="6"/>
      <c r="I76" s="6"/>
      <c r="J76" s="6"/>
      <c r="K76" s="3">
        <f>Table2[[#This Row],[Date Complaint Raised]]+7</f>
        <v>7</v>
      </c>
      <c r="L76" s="7"/>
      <c r="M76" s="1">
        <f>Table2[[#This Row],[Part 1 Completion Date]]-Table2[[#This Row],[Date Complaint Raised]]</f>
        <v>0</v>
      </c>
      <c r="N76" s="6"/>
      <c r="O76" s="7"/>
      <c r="P76" s="7"/>
      <c r="Q76" s="1">
        <f>Table2[[#This Row],[Investigation Closed Date]]-Table2[[#This Row],[Date Complaint Raised]]</f>
        <v>0</v>
      </c>
      <c r="R76" s="6"/>
      <c r="S76" s="6"/>
      <c r="T76" s="6"/>
      <c r="U76" s="6"/>
      <c r="V76" s="6"/>
      <c r="W76" s="10"/>
      <c r="X76" s="8"/>
      <c r="Y76" s="6"/>
      <c r="Z76" s="9"/>
    </row>
    <row r="77" spans="1:26" s="2" customFormat="1" x14ac:dyDescent="0.3">
      <c r="A77" s="6"/>
      <c r="B77" s="7"/>
      <c r="C77" s="6"/>
      <c r="D77" s="6"/>
      <c r="E77" s="6"/>
      <c r="F77" s="6"/>
      <c r="G77" s="6"/>
      <c r="H77" s="6"/>
      <c r="I77" s="6"/>
      <c r="J77" s="6"/>
      <c r="K77" s="3">
        <f>Table2[[#This Row],[Date Complaint Raised]]+7</f>
        <v>7</v>
      </c>
      <c r="L77" s="7"/>
      <c r="M77" s="1">
        <f>Table2[[#This Row],[Part 1 Completion Date]]-Table2[[#This Row],[Date Complaint Raised]]</f>
        <v>0</v>
      </c>
      <c r="N77" s="6"/>
      <c r="O77" s="7"/>
      <c r="P77" s="7"/>
      <c r="Q77" s="1">
        <f>Table2[[#This Row],[Investigation Closed Date]]-Table2[[#This Row],[Date Complaint Raised]]</f>
        <v>0</v>
      </c>
      <c r="R77" s="6"/>
      <c r="S77" s="6"/>
      <c r="T77" s="6"/>
      <c r="U77" s="6"/>
      <c r="V77" s="6"/>
      <c r="W77" s="10"/>
      <c r="X77" s="8"/>
      <c r="Y77" s="6"/>
      <c r="Z77" s="9"/>
    </row>
    <row r="78" spans="1:26" s="2" customFormat="1" x14ac:dyDescent="0.3">
      <c r="A78" s="6"/>
      <c r="B78" s="7"/>
      <c r="C78" s="6"/>
      <c r="D78" s="6"/>
      <c r="E78" s="6"/>
      <c r="F78" s="6"/>
      <c r="G78" s="6"/>
      <c r="H78" s="6"/>
      <c r="I78" s="6"/>
      <c r="J78" s="6"/>
      <c r="K78" s="3">
        <f>Table2[[#This Row],[Date Complaint Raised]]+7</f>
        <v>7</v>
      </c>
      <c r="L78" s="7"/>
      <c r="M78" s="1">
        <f>Table2[[#This Row],[Part 1 Completion Date]]-Table2[[#This Row],[Date Complaint Raised]]</f>
        <v>0</v>
      </c>
      <c r="N78" s="6"/>
      <c r="O78" s="7"/>
      <c r="P78" s="7"/>
      <c r="Q78" s="1">
        <f>Table2[[#This Row],[Investigation Closed Date]]-Table2[[#This Row],[Date Complaint Raised]]</f>
        <v>0</v>
      </c>
      <c r="R78" s="6"/>
      <c r="S78" s="6"/>
      <c r="T78" s="6"/>
      <c r="U78" s="6"/>
      <c r="V78" s="6"/>
      <c r="W78" s="10"/>
      <c r="X78" s="8"/>
      <c r="Y78" s="6"/>
      <c r="Z78" s="9"/>
    </row>
    <row r="79" spans="1:26" s="2" customFormat="1" x14ac:dyDescent="0.3">
      <c r="A79" s="6"/>
      <c r="B79" s="7"/>
      <c r="C79" s="6"/>
      <c r="D79" s="6"/>
      <c r="E79" s="6"/>
      <c r="F79" s="6"/>
      <c r="G79" s="6"/>
      <c r="H79" s="6"/>
      <c r="I79" s="6"/>
      <c r="J79" s="6"/>
      <c r="K79" s="3">
        <f>Table2[[#This Row],[Date Complaint Raised]]+7</f>
        <v>7</v>
      </c>
      <c r="L79" s="7"/>
      <c r="M79" s="1">
        <f>Table2[[#This Row],[Part 1 Completion Date]]-Table2[[#This Row],[Date Complaint Raised]]</f>
        <v>0</v>
      </c>
      <c r="N79" s="6"/>
      <c r="O79" s="7"/>
      <c r="P79" s="7"/>
      <c r="Q79" s="1">
        <f>Table2[[#This Row],[Investigation Closed Date]]-Table2[[#This Row],[Date Complaint Raised]]</f>
        <v>0</v>
      </c>
      <c r="R79" s="6"/>
      <c r="S79" s="6"/>
      <c r="T79" s="6"/>
      <c r="U79" s="6"/>
      <c r="V79" s="6"/>
      <c r="W79" s="10"/>
      <c r="X79" s="8"/>
      <c r="Y79" s="6"/>
      <c r="Z79" s="9"/>
    </row>
    <row r="80" spans="1:26" s="2" customFormat="1" x14ac:dyDescent="0.3">
      <c r="A80" s="6"/>
      <c r="B80" s="7"/>
      <c r="C80" s="6"/>
      <c r="D80" s="6"/>
      <c r="E80" s="6"/>
      <c r="F80" s="6"/>
      <c r="G80" s="6"/>
      <c r="H80" s="6"/>
      <c r="I80" s="6"/>
      <c r="J80" s="6"/>
      <c r="K80" s="3">
        <f>Table2[[#This Row],[Date Complaint Raised]]+7</f>
        <v>7</v>
      </c>
      <c r="L80" s="7"/>
      <c r="M80" s="1">
        <f>Table2[[#This Row],[Part 1 Completion Date]]-Table2[[#This Row],[Date Complaint Raised]]</f>
        <v>0</v>
      </c>
      <c r="N80" s="6"/>
      <c r="O80" s="7"/>
      <c r="P80" s="7"/>
      <c r="Q80" s="1">
        <f>Table2[[#This Row],[Investigation Closed Date]]-Table2[[#This Row],[Date Complaint Raised]]</f>
        <v>0</v>
      </c>
      <c r="R80" s="6"/>
      <c r="S80" s="6"/>
      <c r="T80" s="6"/>
      <c r="U80" s="6"/>
      <c r="V80" s="6"/>
      <c r="W80" s="10"/>
      <c r="X80" s="8"/>
      <c r="Y80" s="6"/>
      <c r="Z80" s="9"/>
    </row>
    <row r="81" spans="1:26" s="2" customFormat="1" x14ac:dyDescent="0.3">
      <c r="A81" s="6"/>
      <c r="B81" s="7"/>
      <c r="C81" s="6"/>
      <c r="D81" s="6"/>
      <c r="E81" s="6"/>
      <c r="F81" s="6"/>
      <c r="G81" s="6"/>
      <c r="H81" s="6"/>
      <c r="I81" s="6"/>
      <c r="J81" s="6"/>
      <c r="K81" s="3">
        <f>Table2[[#This Row],[Date Complaint Raised]]+7</f>
        <v>7</v>
      </c>
      <c r="L81" s="7"/>
      <c r="M81" s="1">
        <f>Table2[[#This Row],[Part 1 Completion Date]]-Table2[[#This Row],[Date Complaint Raised]]</f>
        <v>0</v>
      </c>
      <c r="N81" s="6"/>
      <c r="O81" s="7"/>
      <c r="P81" s="7"/>
      <c r="Q81" s="1">
        <f>Table2[[#This Row],[Investigation Closed Date]]-Table2[[#This Row],[Date Complaint Raised]]</f>
        <v>0</v>
      </c>
      <c r="R81" s="6"/>
      <c r="S81" s="6"/>
      <c r="T81" s="6"/>
      <c r="U81" s="6"/>
      <c r="V81" s="6"/>
      <c r="W81" s="10"/>
      <c r="X81" s="8"/>
      <c r="Y81" s="6"/>
      <c r="Z81" s="9"/>
    </row>
    <row r="82" spans="1:26" s="2" customFormat="1" x14ac:dyDescent="0.3">
      <c r="A82" s="6"/>
      <c r="B82" s="7"/>
      <c r="C82" s="6"/>
      <c r="D82" s="6"/>
      <c r="E82" s="6"/>
      <c r="F82" s="6"/>
      <c r="G82" s="6"/>
      <c r="H82" s="6"/>
      <c r="I82" s="6"/>
      <c r="J82" s="6"/>
      <c r="K82" s="3">
        <f>Table2[[#This Row],[Date Complaint Raised]]+7</f>
        <v>7</v>
      </c>
      <c r="L82" s="7"/>
      <c r="M82" s="1">
        <f>Table2[[#This Row],[Part 1 Completion Date]]-Table2[[#This Row],[Date Complaint Raised]]</f>
        <v>0</v>
      </c>
      <c r="N82" s="6"/>
      <c r="O82" s="7"/>
      <c r="P82" s="7"/>
      <c r="Q82" s="1">
        <f>Table2[[#This Row],[Investigation Closed Date]]-Table2[[#This Row],[Date Complaint Raised]]</f>
        <v>0</v>
      </c>
      <c r="R82" s="6"/>
      <c r="S82" s="6"/>
      <c r="T82" s="6"/>
      <c r="U82" s="6"/>
      <c r="V82" s="6"/>
      <c r="W82" s="10"/>
      <c r="X82" s="8"/>
      <c r="Y82" s="6"/>
      <c r="Z82" s="9"/>
    </row>
    <row r="83" spans="1:26" s="2" customFormat="1" x14ac:dyDescent="0.3">
      <c r="A83" s="6"/>
      <c r="B83" s="7"/>
      <c r="C83" s="6"/>
      <c r="D83" s="6"/>
      <c r="E83" s="6"/>
      <c r="F83" s="6"/>
      <c r="G83" s="6"/>
      <c r="H83" s="6"/>
      <c r="I83" s="6"/>
      <c r="J83" s="6"/>
      <c r="K83" s="3">
        <f>Table2[[#This Row],[Date Complaint Raised]]+7</f>
        <v>7</v>
      </c>
      <c r="L83" s="7"/>
      <c r="M83" s="1">
        <f>Table2[[#This Row],[Part 1 Completion Date]]-Table2[[#This Row],[Date Complaint Raised]]</f>
        <v>0</v>
      </c>
      <c r="N83" s="6"/>
      <c r="O83" s="7"/>
      <c r="P83" s="7"/>
      <c r="Q83" s="1">
        <f>Table2[[#This Row],[Investigation Closed Date]]-Table2[[#This Row],[Date Complaint Raised]]</f>
        <v>0</v>
      </c>
      <c r="R83" s="6"/>
      <c r="S83" s="6"/>
      <c r="T83" s="6"/>
      <c r="U83" s="6"/>
      <c r="V83" s="6"/>
      <c r="W83" s="10"/>
      <c r="X83" s="8"/>
      <c r="Y83" s="6"/>
      <c r="Z83" s="9"/>
    </row>
    <row r="84" spans="1:26" s="2" customFormat="1" x14ac:dyDescent="0.3">
      <c r="A84" s="6"/>
      <c r="B84" s="7"/>
      <c r="C84" s="6"/>
      <c r="D84" s="6"/>
      <c r="E84" s="6"/>
      <c r="F84" s="6"/>
      <c r="G84" s="6"/>
      <c r="H84" s="6"/>
      <c r="I84" s="6"/>
      <c r="J84" s="6"/>
      <c r="K84" s="3">
        <f>Table2[[#This Row],[Date Complaint Raised]]+7</f>
        <v>7</v>
      </c>
      <c r="L84" s="7"/>
      <c r="M84" s="1">
        <f>Table2[[#This Row],[Part 1 Completion Date]]-Table2[[#This Row],[Date Complaint Raised]]</f>
        <v>0</v>
      </c>
      <c r="N84" s="6"/>
      <c r="O84" s="7"/>
      <c r="P84" s="7"/>
      <c r="Q84" s="1">
        <f>Table2[[#This Row],[Investigation Closed Date]]-Table2[[#This Row],[Date Complaint Raised]]</f>
        <v>0</v>
      </c>
      <c r="R84" s="6"/>
      <c r="S84" s="6"/>
      <c r="T84" s="6"/>
      <c r="U84" s="6"/>
      <c r="V84" s="6"/>
      <c r="W84" s="10"/>
      <c r="X84" s="8"/>
      <c r="Y84" s="6"/>
      <c r="Z84" s="9"/>
    </row>
    <row r="85" spans="1:26" s="2" customFormat="1" x14ac:dyDescent="0.3">
      <c r="A85" s="6"/>
      <c r="B85" s="7"/>
      <c r="C85" s="6"/>
      <c r="D85" s="6"/>
      <c r="E85" s="6"/>
      <c r="F85" s="6"/>
      <c r="G85" s="6"/>
      <c r="H85" s="6"/>
      <c r="I85" s="6"/>
      <c r="J85" s="6"/>
      <c r="K85" s="3">
        <f>Table2[[#This Row],[Date Complaint Raised]]+7</f>
        <v>7</v>
      </c>
      <c r="L85" s="7"/>
      <c r="M85" s="1">
        <f>Table2[[#This Row],[Part 1 Completion Date]]-Table2[[#This Row],[Date Complaint Raised]]</f>
        <v>0</v>
      </c>
      <c r="N85" s="6"/>
      <c r="O85" s="7"/>
      <c r="P85" s="7"/>
      <c r="Q85" s="1">
        <f>Table2[[#This Row],[Investigation Closed Date]]-Table2[[#This Row],[Date Complaint Raised]]</f>
        <v>0</v>
      </c>
      <c r="R85" s="6"/>
      <c r="S85" s="6"/>
      <c r="T85" s="6"/>
      <c r="U85" s="6"/>
      <c r="V85" s="6"/>
      <c r="W85" s="10"/>
      <c r="X85" s="8"/>
      <c r="Y85" s="6"/>
      <c r="Z85" s="9"/>
    </row>
    <row r="86" spans="1:26" s="2" customFormat="1" x14ac:dyDescent="0.3">
      <c r="A86" s="6"/>
      <c r="B86" s="7"/>
      <c r="C86" s="6"/>
      <c r="D86" s="6"/>
      <c r="E86" s="6"/>
      <c r="F86" s="6"/>
      <c r="G86" s="6"/>
      <c r="H86" s="6"/>
      <c r="I86" s="6"/>
      <c r="J86" s="6"/>
      <c r="K86" s="3">
        <f>Table2[[#This Row],[Date Complaint Raised]]+7</f>
        <v>7</v>
      </c>
      <c r="L86" s="7"/>
      <c r="M86" s="1">
        <f>Table2[[#This Row],[Part 1 Completion Date]]-Table2[[#This Row],[Date Complaint Raised]]</f>
        <v>0</v>
      </c>
      <c r="N86" s="6"/>
      <c r="O86" s="7"/>
      <c r="P86" s="7"/>
      <c r="Q86" s="1">
        <f>Table2[[#This Row],[Investigation Closed Date]]-Table2[[#This Row],[Date Complaint Raised]]</f>
        <v>0</v>
      </c>
      <c r="R86" s="6"/>
      <c r="S86" s="6"/>
      <c r="T86" s="6"/>
      <c r="U86" s="6"/>
      <c r="V86" s="6"/>
      <c r="W86" s="10"/>
      <c r="X86" s="8"/>
      <c r="Y86" s="6"/>
      <c r="Z86" s="9"/>
    </row>
    <row r="87" spans="1:26" s="2" customFormat="1" x14ac:dyDescent="0.3">
      <c r="A87" s="6"/>
      <c r="B87" s="7"/>
      <c r="C87" s="6"/>
      <c r="D87" s="6"/>
      <c r="E87" s="6"/>
      <c r="F87" s="6"/>
      <c r="G87" s="6"/>
      <c r="H87" s="6"/>
      <c r="I87" s="6"/>
      <c r="J87" s="6"/>
      <c r="K87" s="3">
        <f>Table2[[#This Row],[Date Complaint Raised]]+7</f>
        <v>7</v>
      </c>
      <c r="L87" s="7"/>
      <c r="M87" s="1">
        <f>Table2[[#This Row],[Part 1 Completion Date]]-Table2[[#This Row],[Date Complaint Raised]]</f>
        <v>0</v>
      </c>
      <c r="N87" s="6"/>
      <c r="O87" s="7"/>
      <c r="P87" s="7"/>
      <c r="Q87" s="1">
        <f>Table2[[#This Row],[Investigation Closed Date]]-Table2[[#This Row],[Date Complaint Raised]]</f>
        <v>0</v>
      </c>
      <c r="R87" s="6"/>
      <c r="S87" s="6"/>
      <c r="T87" s="6"/>
      <c r="U87" s="6"/>
      <c r="V87" s="6"/>
      <c r="W87" s="10"/>
      <c r="X87" s="8"/>
      <c r="Y87" s="6"/>
      <c r="Z87" s="9"/>
    </row>
    <row r="88" spans="1:26" s="2" customFormat="1" x14ac:dyDescent="0.3">
      <c r="A88" s="6"/>
      <c r="B88" s="7"/>
      <c r="C88" s="6"/>
      <c r="D88" s="6"/>
      <c r="E88" s="6"/>
      <c r="F88" s="6"/>
      <c r="G88" s="6"/>
      <c r="H88" s="6"/>
      <c r="I88" s="6"/>
      <c r="J88" s="6"/>
      <c r="K88" s="3">
        <f>Table2[[#This Row],[Date Complaint Raised]]+7</f>
        <v>7</v>
      </c>
      <c r="L88" s="7"/>
      <c r="M88" s="1">
        <f>Table2[[#This Row],[Part 1 Completion Date]]-Table2[[#This Row],[Date Complaint Raised]]</f>
        <v>0</v>
      </c>
      <c r="N88" s="6"/>
      <c r="O88" s="7"/>
      <c r="P88" s="7"/>
      <c r="Q88" s="1">
        <f>Table2[[#This Row],[Investigation Closed Date]]-Table2[[#This Row],[Date Complaint Raised]]</f>
        <v>0</v>
      </c>
      <c r="R88" s="6"/>
      <c r="S88" s="6"/>
      <c r="T88" s="6"/>
      <c r="U88" s="6"/>
      <c r="V88" s="6"/>
      <c r="W88" s="10"/>
      <c r="X88" s="8"/>
      <c r="Y88" s="6"/>
      <c r="Z88" s="9"/>
    </row>
    <row r="89" spans="1:26" s="2" customFormat="1" x14ac:dyDescent="0.3">
      <c r="A89" s="6"/>
      <c r="B89" s="7"/>
      <c r="C89" s="6"/>
      <c r="D89" s="6"/>
      <c r="E89" s="6"/>
      <c r="F89" s="6"/>
      <c r="G89" s="6"/>
      <c r="H89" s="6"/>
      <c r="I89" s="6"/>
      <c r="J89" s="6"/>
      <c r="K89" s="3">
        <f>Table2[[#This Row],[Date Complaint Raised]]+7</f>
        <v>7</v>
      </c>
      <c r="L89" s="7"/>
      <c r="M89" s="1">
        <f>Table2[[#This Row],[Part 1 Completion Date]]-Table2[[#This Row],[Date Complaint Raised]]</f>
        <v>0</v>
      </c>
      <c r="N89" s="6"/>
      <c r="O89" s="7"/>
      <c r="P89" s="7"/>
      <c r="Q89" s="1">
        <f>Table2[[#This Row],[Investigation Closed Date]]-Table2[[#This Row],[Date Complaint Raised]]</f>
        <v>0</v>
      </c>
      <c r="R89" s="6"/>
      <c r="S89" s="6"/>
      <c r="T89" s="6"/>
      <c r="U89" s="6"/>
      <c r="V89" s="6"/>
      <c r="W89" s="10"/>
      <c r="X89" s="8"/>
      <c r="Y89" s="6"/>
      <c r="Z89" s="9"/>
    </row>
    <row r="90" spans="1:26" s="2" customFormat="1" x14ac:dyDescent="0.3">
      <c r="A90" s="6"/>
      <c r="B90" s="7"/>
      <c r="C90" s="6"/>
      <c r="D90" s="6"/>
      <c r="E90" s="6"/>
      <c r="F90" s="6"/>
      <c r="G90" s="6"/>
      <c r="H90" s="6"/>
      <c r="I90" s="6"/>
      <c r="J90" s="6"/>
      <c r="K90" s="3">
        <f>Table2[[#This Row],[Date Complaint Raised]]+7</f>
        <v>7</v>
      </c>
      <c r="L90" s="7"/>
      <c r="M90" s="1">
        <f>Table2[[#This Row],[Part 1 Completion Date]]-Table2[[#This Row],[Date Complaint Raised]]</f>
        <v>0</v>
      </c>
      <c r="N90" s="6"/>
      <c r="O90" s="7"/>
      <c r="P90" s="7"/>
      <c r="Q90" s="1">
        <f>Table2[[#This Row],[Investigation Closed Date]]-Table2[[#This Row],[Date Complaint Raised]]</f>
        <v>0</v>
      </c>
      <c r="R90" s="6"/>
      <c r="S90" s="6"/>
      <c r="T90" s="6"/>
      <c r="U90" s="6"/>
      <c r="V90" s="6"/>
      <c r="W90" s="10"/>
      <c r="X90" s="8"/>
      <c r="Y90" s="6"/>
      <c r="Z90" s="9"/>
    </row>
    <row r="91" spans="1:26" s="2" customFormat="1" x14ac:dyDescent="0.3">
      <c r="A91" s="6"/>
      <c r="B91" s="7"/>
      <c r="C91" s="6"/>
      <c r="D91" s="6"/>
      <c r="E91" s="6"/>
      <c r="F91" s="6"/>
      <c r="G91" s="6"/>
      <c r="H91" s="6"/>
      <c r="I91" s="6"/>
      <c r="J91" s="6"/>
      <c r="K91" s="3">
        <f>Table2[[#This Row],[Date Complaint Raised]]+7</f>
        <v>7</v>
      </c>
      <c r="L91" s="7"/>
      <c r="M91" s="1">
        <f>Table2[[#This Row],[Part 1 Completion Date]]-Table2[[#This Row],[Date Complaint Raised]]</f>
        <v>0</v>
      </c>
      <c r="N91" s="6"/>
      <c r="O91" s="7"/>
      <c r="P91" s="7"/>
      <c r="Q91" s="1">
        <f>Table2[[#This Row],[Investigation Closed Date]]-Table2[[#This Row],[Date Complaint Raised]]</f>
        <v>0</v>
      </c>
      <c r="R91" s="6"/>
      <c r="S91" s="6"/>
      <c r="T91" s="6"/>
      <c r="U91" s="6"/>
      <c r="V91" s="6"/>
      <c r="W91" s="10"/>
      <c r="X91" s="8"/>
      <c r="Y91" s="6"/>
      <c r="Z91" s="9"/>
    </row>
    <row r="92" spans="1:26" s="2" customFormat="1" x14ac:dyDescent="0.3">
      <c r="A92" s="6"/>
      <c r="B92" s="7"/>
      <c r="C92" s="6"/>
      <c r="D92" s="6"/>
      <c r="E92" s="6"/>
      <c r="F92" s="6"/>
      <c r="G92" s="6"/>
      <c r="H92" s="6"/>
      <c r="I92" s="6"/>
      <c r="J92" s="6"/>
      <c r="K92" s="3">
        <f>Table2[[#This Row],[Date Complaint Raised]]+7</f>
        <v>7</v>
      </c>
      <c r="L92" s="7"/>
      <c r="M92" s="1">
        <f>Table2[[#This Row],[Part 1 Completion Date]]-Table2[[#This Row],[Date Complaint Raised]]</f>
        <v>0</v>
      </c>
      <c r="N92" s="6"/>
      <c r="O92" s="7"/>
      <c r="P92" s="7"/>
      <c r="Q92" s="1">
        <f>Table2[[#This Row],[Investigation Closed Date]]-Table2[[#This Row],[Date Complaint Raised]]</f>
        <v>0</v>
      </c>
      <c r="R92" s="6"/>
      <c r="S92" s="6"/>
      <c r="T92" s="6"/>
      <c r="U92" s="6"/>
      <c r="V92" s="6"/>
      <c r="W92" s="10"/>
      <c r="X92" s="8"/>
      <c r="Y92" s="6"/>
      <c r="Z92" s="9"/>
    </row>
    <row r="93" spans="1:26" s="2" customFormat="1" x14ac:dyDescent="0.3">
      <c r="A93" s="6"/>
      <c r="B93" s="7"/>
      <c r="C93" s="6"/>
      <c r="D93" s="6"/>
      <c r="E93" s="6"/>
      <c r="F93" s="6"/>
      <c r="G93" s="6"/>
      <c r="H93" s="6"/>
      <c r="I93" s="6"/>
      <c r="J93" s="6"/>
      <c r="K93" s="3">
        <f>Table2[[#This Row],[Date Complaint Raised]]+7</f>
        <v>7</v>
      </c>
      <c r="L93" s="7"/>
      <c r="M93" s="1">
        <f>Table2[[#This Row],[Part 1 Completion Date]]-Table2[[#This Row],[Date Complaint Raised]]</f>
        <v>0</v>
      </c>
      <c r="N93" s="6"/>
      <c r="O93" s="7"/>
      <c r="P93" s="7"/>
      <c r="Q93" s="1">
        <f>Table2[[#This Row],[Investigation Closed Date]]-Table2[[#This Row],[Date Complaint Raised]]</f>
        <v>0</v>
      </c>
      <c r="R93" s="6"/>
      <c r="S93" s="6"/>
      <c r="T93" s="6"/>
      <c r="U93" s="6"/>
      <c r="V93" s="6"/>
      <c r="W93" s="10"/>
      <c r="X93" s="8"/>
      <c r="Y93" s="6"/>
      <c r="Z93" s="9"/>
    </row>
    <row r="94" spans="1:26" s="2" customFormat="1" x14ac:dyDescent="0.3">
      <c r="A94" s="6"/>
      <c r="B94" s="7"/>
      <c r="C94" s="6"/>
      <c r="D94" s="6"/>
      <c r="E94" s="6"/>
      <c r="F94" s="6"/>
      <c r="G94" s="6"/>
      <c r="H94" s="6"/>
      <c r="I94" s="6"/>
      <c r="J94" s="6"/>
      <c r="K94" s="3">
        <f>Table2[[#This Row],[Date Complaint Raised]]+7</f>
        <v>7</v>
      </c>
      <c r="L94" s="7"/>
      <c r="M94" s="1">
        <f>Table2[[#This Row],[Part 1 Completion Date]]-Table2[[#This Row],[Date Complaint Raised]]</f>
        <v>0</v>
      </c>
      <c r="N94" s="6"/>
      <c r="O94" s="7"/>
      <c r="P94" s="7"/>
      <c r="Q94" s="1">
        <f>Table2[[#This Row],[Investigation Closed Date]]-Table2[[#This Row],[Date Complaint Raised]]</f>
        <v>0</v>
      </c>
      <c r="R94" s="6"/>
      <c r="S94" s="6"/>
      <c r="T94" s="6"/>
      <c r="U94" s="6"/>
      <c r="V94" s="6"/>
      <c r="W94" s="10"/>
      <c r="X94" s="8"/>
      <c r="Y94" s="6"/>
      <c r="Z94" s="9"/>
    </row>
    <row r="95" spans="1:26" s="2" customFormat="1" x14ac:dyDescent="0.3">
      <c r="A95" s="6"/>
      <c r="B95" s="7"/>
      <c r="C95" s="6"/>
      <c r="D95" s="6"/>
      <c r="E95" s="6"/>
      <c r="F95" s="6"/>
      <c r="G95" s="6"/>
      <c r="H95" s="6"/>
      <c r="I95" s="6"/>
      <c r="J95" s="6"/>
      <c r="K95" s="3">
        <f>Table2[[#This Row],[Date Complaint Raised]]+7</f>
        <v>7</v>
      </c>
      <c r="L95" s="7"/>
      <c r="M95" s="1">
        <f>Table2[[#This Row],[Part 1 Completion Date]]-Table2[[#This Row],[Date Complaint Raised]]</f>
        <v>0</v>
      </c>
      <c r="N95" s="6"/>
      <c r="O95" s="7"/>
      <c r="P95" s="7"/>
      <c r="Q95" s="1">
        <f>Table2[[#This Row],[Investigation Closed Date]]-Table2[[#This Row],[Date Complaint Raised]]</f>
        <v>0</v>
      </c>
      <c r="R95" s="6"/>
      <c r="S95" s="6"/>
      <c r="T95" s="6"/>
      <c r="U95" s="6"/>
      <c r="V95" s="6"/>
      <c r="W95" s="10"/>
      <c r="X95" s="8"/>
      <c r="Y95" s="6"/>
      <c r="Z95" s="9"/>
    </row>
    <row r="96" spans="1:26" s="2" customFormat="1" x14ac:dyDescent="0.3">
      <c r="A96" s="6"/>
      <c r="B96" s="7"/>
      <c r="C96" s="6"/>
      <c r="D96" s="6"/>
      <c r="E96" s="6"/>
      <c r="F96" s="6"/>
      <c r="G96" s="6"/>
      <c r="H96" s="6"/>
      <c r="I96" s="6"/>
      <c r="J96" s="6"/>
      <c r="K96" s="3">
        <f>Table2[[#This Row],[Date Complaint Raised]]+7</f>
        <v>7</v>
      </c>
      <c r="L96" s="7"/>
      <c r="M96" s="1">
        <f>Table2[[#This Row],[Part 1 Completion Date]]-Table2[[#This Row],[Date Complaint Raised]]</f>
        <v>0</v>
      </c>
      <c r="N96" s="6"/>
      <c r="O96" s="7"/>
      <c r="P96" s="7"/>
      <c r="Q96" s="1">
        <f>Table2[[#This Row],[Investigation Closed Date]]-Table2[[#This Row],[Date Complaint Raised]]</f>
        <v>0</v>
      </c>
      <c r="R96" s="6"/>
      <c r="S96" s="6"/>
      <c r="T96" s="6"/>
      <c r="U96" s="6"/>
      <c r="V96" s="6"/>
      <c r="W96" s="10"/>
      <c r="X96" s="8"/>
      <c r="Y96" s="6"/>
      <c r="Z96" s="9"/>
    </row>
    <row r="97" spans="1:26" s="2" customFormat="1" x14ac:dyDescent="0.3">
      <c r="A97" s="6"/>
      <c r="B97" s="7"/>
      <c r="C97" s="6"/>
      <c r="D97" s="6"/>
      <c r="E97" s="6"/>
      <c r="F97" s="6"/>
      <c r="G97" s="6"/>
      <c r="H97" s="6"/>
      <c r="I97" s="6"/>
      <c r="J97" s="6"/>
      <c r="K97" s="3">
        <f>Table2[[#This Row],[Date Complaint Raised]]+7</f>
        <v>7</v>
      </c>
      <c r="L97" s="7"/>
      <c r="M97" s="1">
        <f>Table2[[#This Row],[Part 1 Completion Date]]-Table2[[#This Row],[Date Complaint Raised]]</f>
        <v>0</v>
      </c>
      <c r="N97" s="6"/>
      <c r="O97" s="7"/>
      <c r="P97" s="7"/>
      <c r="Q97" s="1">
        <f>Table2[[#This Row],[Investigation Closed Date]]-Table2[[#This Row],[Date Complaint Raised]]</f>
        <v>0</v>
      </c>
      <c r="R97" s="6"/>
      <c r="S97" s="6"/>
      <c r="T97" s="6"/>
      <c r="U97" s="6"/>
      <c r="V97" s="6"/>
      <c r="W97" s="10"/>
      <c r="X97" s="8"/>
      <c r="Y97" s="6"/>
      <c r="Z97" s="9"/>
    </row>
    <row r="98" spans="1:26" s="2" customFormat="1" x14ac:dyDescent="0.3">
      <c r="A98" s="6"/>
      <c r="B98" s="7"/>
      <c r="C98" s="6"/>
      <c r="D98" s="6"/>
      <c r="E98" s="6"/>
      <c r="F98" s="6"/>
      <c r="G98" s="6"/>
      <c r="H98" s="6"/>
      <c r="I98" s="6"/>
      <c r="J98" s="6"/>
      <c r="K98" s="3">
        <f>Table2[[#This Row],[Date Complaint Raised]]+7</f>
        <v>7</v>
      </c>
      <c r="L98" s="7"/>
      <c r="M98" s="1">
        <f>Table2[[#This Row],[Part 1 Completion Date]]-Table2[[#This Row],[Date Complaint Raised]]</f>
        <v>0</v>
      </c>
      <c r="N98" s="6"/>
      <c r="O98" s="7"/>
      <c r="P98" s="7"/>
      <c r="Q98" s="1">
        <f>Table2[[#This Row],[Investigation Closed Date]]-Table2[[#This Row],[Date Complaint Raised]]</f>
        <v>0</v>
      </c>
      <c r="R98" s="6"/>
      <c r="S98" s="6"/>
      <c r="T98" s="6"/>
      <c r="U98" s="6"/>
      <c r="V98" s="6"/>
      <c r="W98" s="10"/>
      <c r="X98" s="8"/>
      <c r="Y98" s="6"/>
      <c r="Z98" s="9"/>
    </row>
    <row r="99" spans="1:26" s="2" customFormat="1" x14ac:dyDescent="0.3">
      <c r="A99" s="6"/>
      <c r="B99" s="7"/>
      <c r="C99" s="6"/>
      <c r="D99" s="6"/>
      <c r="E99" s="6"/>
      <c r="F99" s="6"/>
      <c r="G99" s="6"/>
      <c r="H99" s="6"/>
      <c r="I99" s="6"/>
      <c r="J99" s="6"/>
      <c r="K99" s="3">
        <f>Table2[[#This Row],[Date Complaint Raised]]+7</f>
        <v>7</v>
      </c>
      <c r="L99" s="7"/>
      <c r="M99" s="1">
        <f>Table2[[#This Row],[Part 1 Completion Date]]-Table2[[#This Row],[Date Complaint Raised]]</f>
        <v>0</v>
      </c>
      <c r="N99" s="6"/>
      <c r="O99" s="7"/>
      <c r="P99" s="7"/>
      <c r="Q99" s="1">
        <f>Table2[[#This Row],[Investigation Closed Date]]-Table2[[#This Row],[Date Complaint Raised]]</f>
        <v>0</v>
      </c>
      <c r="R99" s="6"/>
      <c r="S99" s="6"/>
      <c r="T99" s="6"/>
      <c r="U99" s="6"/>
      <c r="V99" s="6"/>
      <c r="W99" s="10"/>
      <c r="X99" s="8"/>
      <c r="Y99" s="6"/>
      <c r="Z99" s="9"/>
    </row>
    <row r="100" spans="1:26" s="2" customFormat="1" x14ac:dyDescent="0.3">
      <c r="A100" s="6"/>
      <c r="B100" s="7"/>
      <c r="C100" s="6"/>
      <c r="D100" s="6"/>
      <c r="E100" s="6"/>
      <c r="F100" s="6"/>
      <c r="G100" s="6"/>
      <c r="H100" s="6"/>
      <c r="I100" s="6"/>
      <c r="J100" s="6"/>
      <c r="K100" s="3">
        <f>Table2[[#This Row],[Date Complaint Raised]]+7</f>
        <v>7</v>
      </c>
      <c r="L100" s="7"/>
      <c r="M100" s="1">
        <f>Table2[[#This Row],[Part 1 Completion Date]]-Table2[[#This Row],[Date Complaint Raised]]</f>
        <v>0</v>
      </c>
      <c r="N100" s="6"/>
      <c r="O100" s="7"/>
      <c r="P100" s="7"/>
      <c r="Q100" s="1">
        <f>Table2[[#This Row],[Investigation Closed Date]]-Table2[[#This Row],[Date Complaint Raised]]</f>
        <v>0</v>
      </c>
      <c r="R100" s="6"/>
      <c r="S100" s="6"/>
      <c r="T100" s="6"/>
      <c r="U100" s="6"/>
      <c r="V100" s="6"/>
      <c r="W100" s="10"/>
      <c r="X100" s="8"/>
      <c r="Y100" s="6"/>
      <c r="Z100" s="9"/>
    </row>
    <row r="101" spans="1:26" s="2" customFormat="1" x14ac:dyDescent="0.3">
      <c r="A101" s="6"/>
      <c r="B101" s="7"/>
      <c r="C101" s="6"/>
      <c r="D101" s="6"/>
      <c r="E101" s="6"/>
      <c r="F101" s="6"/>
      <c r="G101" s="6"/>
      <c r="H101" s="6"/>
      <c r="I101" s="6"/>
      <c r="J101" s="6"/>
      <c r="K101" s="3">
        <f>Table2[[#This Row],[Date Complaint Raised]]+7</f>
        <v>7</v>
      </c>
      <c r="L101" s="7"/>
      <c r="M101" s="1">
        <f>Table2[[#This Row],[Part 1 Completion Date]]-Table2[[#This Row],[Date Complaint Raised]]</f>
        <v>0</v>
      </c>
      <c r="N101" s="6"/>
      <c r="O101" s="7"/>
      <c r="P101" s="7"/>
      <c r="Q101" s="1">
        <f>Table2[[#This Row],[Investigation Closed Date]]-Table2[[#This Row],[Date Complaint Raised]]</f>
        <v>0</v>
      </c>
      <c r="R101" s="6"/>
      <c r="S101" s="6"/>
      <c r="T101" s="6"/>
      <c r="U101" s="6"/>
      <c r="V101" s="6"/>
      <c r="W101" s="10"/>
      <c r="X101" s="8"/>
      <c r="Y101" s="6"/>
      <c r="Z101" s="9"/>
    </row>
    <row r="102" spans="1:26" s="2" customFormat="1" x14ac:dyDescent="0.3">
      <c r="A102" s="6"/>
      <c r="B102" s="7"/>
      <c r="C102" s="6"/>
      <c r="D102" s="6"/>
      <c r="E102" s="6"/>
      <c r="F102" s="6"/>
      <c r="G102" s="6"/>
      <c r="H102" s="6"/>
      <c r="I102" s="6"/>
      <c r="J102" s="6"/>
      <c r="K102" s="3">
        <f>Table2[[#This Row],[Date Complaint Raised]]+7</f>
        <v>7</v>
      </c>
      <c r="L102" s="7"/>
      <c r="M102" s="1">
        <f>Table2[[#This Row],[Part 1 Completion Date]]-Table2[[#This Row],[Date Complaint Raised]]</f>
        <v>0</v>
      </c>
      <c r="N102" s="6"/>
      <c r="O102" s="7"/>
      <c r="P102" s="7"/>
      <c r="Q102" s="1">
        <f>Table2[[#This Row],[Investigation Closed Date]]-Table2[[#This Row],[Date Complaint Raised]]</f>
        <v>0</v>
      </c>
      <c r="R102" s="6"/>
      <c r="S102" s="6"/>
      <c r="T102" s="6"/>
      <c r="U102" s="6"/>
      <c r="V102" s="6"/>
      <c r="W102" s="10"/>
      <c r="X102" s="8"/>
      <c r="Y102" s="6"/>
      <c r="Z102" s="9"/>
    </row>
    <row r="103" spans="1:26" s="2" customFormat="1" x14ac:dyDescent="0.3">
      <c r="A103" s="6"/>
      <c r="B103" s="7"/>
      <c r="C103" s="6"/>
      <c r="D103" s="6"/>
      <c r="E103" s="6"/>
      <c r="F103" s="6"/>
      <c r="G103" s="6"/>
      <c r="H103" s="6"/>
      <c r="I103" s="6"/>
      <c r="J103" s="6"/>
      <c r="K103" s="3">
        <f>Table2[[#This Row],[Date Complaint Raised]]+7</f>
        <v>7</v>
      </c>
      <c r="L103" s="7"/>
      <c r="M103" s="1">
        <f>Table2[[#This Row],[Part 1 Completion Date]]-Table2[[#This Row],[Date Complaint Raised]]</f>
        <v>0</v>
      </c>
      <c r="N103" s="6"/>
      <c r="O103" s="7"/>
      <c r="P103" s="7"/>
      <c r="Q103" s="1">
        <f>Table2[[#This Row],[Investigation Closed Date]]-Table2[[#This Row],[Date Complaint Raised]]</f>
        <v>0</v>
      </c>
      <c r="R103" s="6"/>
      <c r="S103" s="6"/>
      <c r="T103" s="6"/>
      <c r="U103" s="6"/>
      <c r="V103" s="6"/>
      <c r="W103" s="10"/>
      <c r="X103" s="8"/>
      <c r="Y103" s="6"/>
      <c r="Z103" s="9"/>
    </row>
    <row r="104" spans="1:26" s="2" customFormat="1" x14ac:dyDescent="0.3">
      <c r="A104" s="6"/>
      <c r="B104" s="7"/>
      <c r="C104" s="6"/>
      <c r="D104" s="6"/>
      <c r="E104" s="6"/>
      <c r="F104" s="6"/>
      <c r="G104" s="6"/>
      <c r="H104" s="6"/>
      <c r="I104" s="6"/>
      <c r="J104" s="6"/>
      <c r="K104" s="3">
        <f>Table2[[#This Row],[Date Complaint Raised]]+7</f>
        <v>7</v>
      </c>
      <c r="L104" s="7"/>
      <c r="M104" s="1">
        <f>Table2[[#This Row],[Part 1 Completion Date]]-Table2[[#This Row],[Date Complaint Raised]]</f>
        <v>0</v>
      </c>
      <c r="N104" s="6"/>
      <c r="O104" s="7"/>
      <c r="P104" s="7"/>
      <c r="Q104" s="1">
        <f>Table2[[#This Row],[Investigation Closed Date]]-Table2[[#This Row],[Date Complaint Raised]]</f>
        <v>0</v>
      </c>
      <c r="R104" s="6"/>
      <c r="S104" s="6"/>
      <c r="T104" s="6"/>
      <c r="U104" s="6"/>
      <c r="V104" s="6"/>
      <c r="W104" s="10"/>
      <c r="X104" s="8"/>
      <c r="Y104" s="6"/>
      <c r="Z104" s="9"/>
    </row>
    <row r="105" spans="1:26" s="2" customFormat="1" x14ac:dyDescent="0.3">
      <c r="A105" s="6"/>
      <c r="B105" s="7"/>
      <c r="C105" s="6"/>
      <c r="D105" s="6"/>
      <c r="E105" s="6"/>
      <c r="F105" s="6"/>
      <c r="G105" s="6"/>
      <c r="H105" s="6"/>
      <c r="I105" s="6"/>
      <c r="J105" s="6"/>
      <c r="K105" s="3">
        <f>Table2[[#This Row],[Date Complaint Raised]]+7</f>
        <v>7</v>
      </c>
      <c r="L105" s="7"/>
      <c r="M105" s="1">
        <f>Table2[[#This Row],[Part 1 Completion Date]]-Table2[[#This Row],[Date Complaint Raised]]</f>
        <v>0</v>
      </c>
      <c r="N105" s="6"/>
      <c r="O105" s="7"/>
      <c r="P105" s="7"/>
      <c r="Q105" s="1">
        <f>Table2[[#This Row],[Investigation Closed Date]]-Table2[[#This Row],[Date Complaint Raised]]</f>
        <v>0</v>
      </c>
      <c r="R105" s="6"/>
      <c r="S105" s="6"/>
      <c r="T105" s="6"/>
      <c r="U105" s="6"/>
      <c r="V105" s="6"/>
      <c r="W105" s="10"/>
      <c r="X105" s="8"/>
      <c r="Y105" s="6"/>
      <c r="Z105" s="9"/>
    </row>
    <row r="106" spans="1:26" s="2" customFormat="1" x14ac:dyDescent="0.3">
      <c r="A106" s="6"/>
      <c r="B106" s="7"/>
      <c r="C106" s="6"/>
      <c r="D106" s="6"/>
      <c r="E106" s="6"/>
      <c r="F106" s="6"/>
      <c r="G106" s="6"/>
      <c r="H106" s="6"/>
      <c r="I106" s="6"/>
      <c r="J106" s="6"/>
      <c r="K106" s="3">
        <f>Table2[[#This Row],[Date Complaint Raised]]+7</f>
        <v>7</v>
      </c>
      <c r="L106" s="7"/>
      <c r="M106" s="1">
        <f>Table2[[#This Row],[Part 1 Completion Date]]-Table2[[#This Row],[Date Complaint Raised]]</f>
        <v>0</v>
      </c>
      <c r="N106" s="6"/>
      <c r="O106" s="7"/>
      <c r="P106" s="7"/>
      <c r="Q106" s="1">
        <f>Table2[[#This Row],[Investigation Closed Date]]-Table2[[#This Row],[Date Complaint Raised]]</f>
        <v>0</v>
      </c>
      <c r="R106" s="6"/>
      <c r="S106" s="6"/>
      <c r="T106" s="6"/>
      <c r="U106" s="6"/>
      <c r="V106" s="6"/>
      <c r="W106" s="10"/>
      <c r="X106" s="8"/>
      <c r="Y106" s="6"/>
      <c r="Z106" s="9"/>
    </row>
    <row r="107" spans="1:26" s="2" customFormat="1" x14ac:dyDescent="0.3">
      <c r="A107" s="6"/>
      <c r="B107" s="7"/>
      <c r="C107" s="6"/>
      <c r="D107" s="6"/>
      <c r="E107" s="6"/>
      <c r="F107" s="6"/>
      <c r="G107" s="6"/>
      <c r="H107" s="6"/>
      <c r="I107" s="6"/>
      <c r="J107" s="6"/>
      <c r="K107" s="3">
        <f>Table2[[#This Row],[Date Complaint Raised]]+7</f>
        <v>7</v>
      </c>
      <c r="L107" s="7"/>
      <c r="M107" s="1">
        <f>Table2[[#This Row],[Part 1 Completion Date]]-Table2[[#This Row],[Date Complaint Raised]]</f>
        <v>0</v>
      </c>
      <c r="N107" s="6"/>
      <c r="O107" s="7"/>
      <c r="P107" s="7"/>
      <c r="Q107" s="1">
        <f>Table2[[#This Row],[Investigation Closed Date]]-Table2[[#This Row],[Date Complaint Raised]]</f>
        <v>0</v>
      </c>
      <c r="R107" s="6"/>
      <c r="S107" s="6"/>
      <c r="T107" s="6"/>
      <c r="U107" s="6"/>
      <c r="V107" s="6"/>
      <c r="W107" s="10"/>
      <c r="X107" s="8"/>
      <c r="Y107" s="6"/>
      <c r="Z107" s="9"/>
    </row>
    <row r="108" spans="1:26" s="2" customFormat="1" x14ac:dyDescent="0.3">
      <c r="A108" s="6"/>
      <c r="B108" s="7"/>
      <c r="C108" s="6"/>
      <c r="D108" s="6"/>
      <c r="E108" s="6"/>
      <c r="F108" s="6"/>
      <c r="G108" s="6"/>
      <c r="H108" s="6"/>
      <c r="I108" s="6"/>
      <c r="J108" s="6"/>
      <c r="K108" s="3">
        <f>Table2[[#This Row],[Date Complaint Raised]]+7</f>
        <v>7</v>
      </c>
      <c r="L108" s="7"/>
      <c r="M108" s="1">
        <f>Table2[[#This Row],[Part 1 Completion Date]]-Table2[[#This Row],[Date Complaint Raised]]</f>
        <v>0</v>
      </c>
      <c r="N108" s="6"/>
      <c r="O108" s="7"/>
      <c r="P108" s="7"/>
      <c r="Q108" s="1">
        <f>Table2[[#This Row],[Investigation Closed Date]]-Table2[[#This Row],[Date Complaint Raised]]</f>
        <v>0</v>
      </c>
      <c r="R108" s="6"/>
      <c r="S108" s="6"/>
      <c r="T108" s="6"/>
      <c r="U108" s="6"/>
      <c r="V108" s="6"/>
      <c r="W108" s="10"/>
      <c r="X108" s="8"/>
      <c r="Y108" s="6"/>
      <c r="Z108" s="9"/>
    </row>
    <row r="109" spans="1:26" s="2" customFormat="1" x14ac:dyDescent="0.3">
      <c r="A109" s="6"/>
      <c r="B109" s="7"/>
      <c r="C109" s="6"/>
      <c r="D109" s="6"/>
      <c r="E109" s="6"/>
      <c r="F109" s="6"/>
      <c r="G109" s="6"/>
      <c r="H109" s="6"/>
      <c r="I109" s="6"/>
      <c r="J109" s="6"/>
      <c r="K109" s="3">
        <f>Table2[[#This Row],[Date Complaint Raised]]+7</f>
        <v>7</v>
      </c>
      <c r="L109" s="7"/>
      <c r="M109" s="1">
        <f>Table2[[#This Row],[Part 1 Completion Date]]-Table2[[#This Row],[Date Complaint Raised]]</f>
        <v>0</v>
      </c>
      <c r="N109" s="6"/>
      <c r="O109" s="7"/>
      <c r="P109" s="7"/>
      <c r="Q109" s="1">
        <f>Table2[[#This Row],[Investigation Closed Date]]-Table2[[#This Row],[Date Complaint Raised]]</f>
        <v>0</v>
      </c>
      <c r="R109" s="6"/>
      <c r="S109" s="6"/>
      <c r="T109" s="6"/>
      <c r="U109" s="6"/>
      <c r="V109" s="6"/>
      <c r="W109" s="10"/>
      <c r="X109" s="8"/>
      <c r="Y109" s="6"/>
      <c r="Z109" s="9"/>
    </row>
    <row r="110" spans="1:26" s="2" customFormat="1" x14ac:dyDescent="0.3">
      <c r="A110" s="6"/>
      <c r="B110" s="7"/>
      <c r="C110" s="6"/>
      <c r="D110" s="6"/>
      <c r="E110" s="6"/>
      <c r="F110" s="6"/>
      <c r="G110" s="6"/>
      <c r="H110" s="6"/>
      <c r="I110" s="6"/>
      <c r="J110" s="6"/>
      <c r="K110" s="3">
        <f>Table2[[#This Row],[Date Complaint Raised]]+7</f>
        <v>7</v>
      </c>
      <c r="L110" s="7"/>
      <c r="M110" s="1">
        <f>Table2[[#This Row],[Part 1 Completion Date]]-Table2[[#This Row],[Date Complaint Raised]]</f>
        <v>0</v>
      </c>
      <c r="N110" s="6"/>
      <c r="O110" s="7"/>
      <c r="P110" s="7"/>
      <c r="Q110" s="1">
        <f>Table2[[#This Row],[Investigation Closed Date]]-Table2[[#This Row],[Date Complaint Raised]]</f>
        <v>0</v>
      </c>
      <c r="R110" s="6"/>
      <c r="S110" s="6"/>
      <c r="T110" s="6"/>
      <c r="U110" s="6"/>
      <c r="V110" s="6"/>
      <c r="W110" s="10"/>
      <c r="X110" s="8"/>
      <c r="Y110" s="6"/>
      <c r="Z110" s="9"/>
    </row>
    <row r="111" spans="1:26" s="2" customFormat="1" x14ac:dyDescent="0.3">
      <c r="A111" s="6"/>
      <c r="B111" s="7"/>
      <c r="C111" s="6"/>
      <c r="D111" s="6"/>
      <c r="E111" s="6"/>
      <c r="F111" s="6"/>
      <c r="G111" s="6"/>
      <c r="H111" s="6"/>
      <c r="I111" s="6"/>
      <c r="J111" s="6"/>
      <c r="K111" s="3">
        <f>Table2[[#This Row],[Date Complaint Raised]]+7</f>
        <v>7</v>
      </c>
      <c r="L111" s="7"/>
      <c r="M111" s="1">
        <f>Table2[[#This Row],[Part 1 Completion Date]]-Table2[[#This Row],[Date Complaint Raised]]</f>
        <v>0</v>
      </c>
      <c r="N111" s="6"/>
      <c r="O111" s="7"/>
      <c r="P111" s="7"/>
      <c r="Q111" s="1">
        <f>Table2[[#This Row],[Investigation Closed Date]]-Table2[[#This Row],[Date Complaint Raised]]</f>
        <v>0</v>
      </c>
      <c r="R111" s="6"/>
      <c r="S111" s="6"/>
      <c r="T111" s="6"/>
      <c r="U111" s="6"/>
      <c r="V111" s="6"/>
      <c r="W111" s="10"/>
      <c r="X111" s="8"/>
      <c r="Y111" s="6"/>
      <c r="Z111" s="9"/>
    </row>
    <row r="112" spans="1:26" s="2" customFormat="1" x14ac:dyDescent="0.3">
      <c r="A112" s="6"/>
      <c r="B112" s="7"/>
      <c r="C112" s="6"/>
      <c r="D112" s="6"/>
      <c r="E112" s="6"/>
      <c r="F112" s="6"/>
      <c r="G112" s="6"/>
      <c r="H112" s="6"/>
      <c r="I112" s="6"/>
      <c r="J112" s="6"/>
      <c r="K112" s="3">
        <f>Table2[[#This Row],[Date Complaint Raised]]+7</f>
        <v>7</v>
      </c>
      <c r="L112" s="7"/>
      <c r="M112" s="1">
        <f>Table2[[#This Row],[Part 1 Completion Date]]-Table2[[#This Row],[Date Complaint Raised]]</f>
        <v>0</v>
      </c>
      <c r="N112" s="6"/>
      <c r="O112" s="7"/>
      <c r="P112" s="7"/>
      <c r="Q112" s="1">
        <f>Table2[[#This Row],[Investigation Closed Date]]-Table2[[#This Row],[Date Complaint Raised]]</f>
        <v>0</v>
      </c>
      <c r="R112" s="6"/>
      <c r="S112" s="6"/>
      <c r="T112" s="6"/>
      <c r="U112" s="6"/>
      <c r="V112" s="6"/>
      <c r="W112" s="10"/>
      <c r="X112" s="8"/>
      <c r="Y112" s="6"/>
      <c r="Z112" s="9"/>
    </row>
    <row r="113" spans="1:26" s="2" customFormat="1" x14ac:dyDescent="0.3">
      <c r="A113" s="6"/>
      <c r="B113" s="7"/>
      <c r="C113" s="6"/>
      <c r="D113" s="6"/>
      <c r="E113" s="6"/>
      <c r="F113" s="6"/>
      <c r="G113" s="6"/>
      <c r="H113" s="6"/>
      <c r="I113" s="6"/>
      <c r="J113" s="6"/>
      <c r="K113" s="3">
        <f>Table2[[#This Row],[Date Complaint Raised]]+7</f>
        <v>7</v>
      </c>
      <c r="L113" s="7"/>
      <c r="M113" s="1">
        <f>Table2[[#This Row],[Part 1 Completion Date]]-Table2[[#This Row],[Date Complaint Raised]]</f>
        <v>0</v>
      </c>
      <c r="N113" s="6"/>
      <c r="O113" s="7"/>
      <c r="P113" s="7"/>
      <c r="Q113" s="1">
        <f>Table2[[#This Row],[Investigation Closed Date]]-Table2[[#This Row],[Date Complaint Raised]]</f>
        <v>0</v>
      </c>
      <c r="R113" s="6"/>
      <c r="S113" s="6"/>
      <c r="T113" s="6"/>
      <c r="U113" s="6"/>
      <c r="V113" s="6"/>
      <c r="W113" s="10"/>
      <c r="X113" s="8"/>
      <c r="Y113" s="6"/>
      <c r="Z113" s="9"/>
    </row>
    <row r="114" spans="1:26" s="2" customFormat="1" x14ac:dyDescent="0.3">
      <c r="A114" s="6"/>
      <c r="B114" s="7"/>
      <c r="C114" s="6"/>
      <c r="D114" s="6"/>
      <c r="E114" s="6"/>
      <c r="F114" s="6"/>
      <c r="G114" s="6"/>
      <c r="H114" s="6"/>
      <c r="I114" s="6"/>
      <c r="J114" s="6"/>
      <c r="K114" s="3">
        <f>Table2[[#This Row],[Date Complaint Raised]]+7</f>
        <v>7</v>
      </c>
      <c r="L114" s="7"/>
      <c r="M114" s="1">
        <f>Table2[[#This Row],[Part 1 Completion Date]]-Table2[[#This Row],[Date Complaint Raised]]</f>
        <v>0</v>
      </c>
      <c r="N114" s="6"/>
      <c r="O114" s="7"/>
      <c r="P114" s="7"/>
      <c r="Q114" s="1">
        <f>Table2[[#This Row],[Investigation Closed Date]]-Table2[[#This Row],[Date Complaint Raised]]</f>
        <v>0</v>
      </c>
      <c r="R114" s="6"/>
      <c r="S114" s="6"/>
      <c r="T114" s="6"/>
      <c r="U114" s="6"/>
      <c r="V114" s="6"/>
      <c r="W114" s="10"/>
      <c r="X114" s="8"/>
      <c r="Y114" s="6"/>
      <c r="Z114" s="9"/>
    </row>
    <row r="115" spans="1:26" s="2" customFormat="1" x14ac:dyDescent="0.3">
      <c r="A115" s="6"/>
      <c r="B115" s="7"/>
      <c r="C115" s="6"/>
      <c r="D115" s="6"/>
      <c r="E115" s="6"/>
      <c r="F115" s="6"/>
      <c r="G115" s="6"/>
      <c r="H115" s="6"/>
      <c r="I115" s="6"/>
      <c r="J115" s="6"/>
      <c r="K115" s="3">
        <f>Table2[[#This Row],[Date Complaint Raised]]+7</f>
        <v>7</v>
      </c>
      <c r="L115" s="7"/>
      <c r="M115" s="1">
        <f>Table2[[#This Row],[Part 1 Completion Date]]-Table2[[#This Row],[Date Complaint Raised]]</f>
        <v>0</v>
      </c>
      <c r="N115" s="6"/>
      <c r="O115" s="7"/>
      <c r="P115" s="7"/>
      <c r="Q115" s="1">
        <f>Table2[[#This Row],[Investigation Closed Date]]-Table2[[#This Row],[Date Complaint Raised]]</f>
        <v>0</v>
      </c>
      <c r="R115" s="6"/>
      <c r="S115" s="6"/>
      <c r="T115" s="6"/>
      <c r="U115" s="6"/>
      <c r="V115" s="6"/>
      <c r="W115" s="10"/>
      <c r="X115" s="8"/>
      <c r="Y115" s="6"/>
      <c r="Z115" s="9"/>
    </row>
    <row r="116" spans="1:26" s="2" customFormat="1" x14ac:dyDescent="0.3">
      <c r="A116" s="6"/>
      <c r="B116" s="7"/>
      <c r="C116" s="6"/>
      <c r="D116" s="6"/>
      <c r="E116" s="6"/>
      <c r="F116" s="6"/>
      <c r="G116" s="6"/>
      <c r="H116" s="6"/>
      <c r="I116" s="6"/>
      <c r="J116" s="6"/>
      <c r="K116" s="3">
        <f>Table2[[#This Row],[Date Complaint Raised]]+7</f>
        <v>7</v>
      </c>
      <c r="L116" s="7"/>
      <c r="M116" s="1">
        <f>Table2[[#This Row],[Part 1 Completion Date]]-Table2[[#This Row],[Date Complaint Raised]]</f>
        <v>0</v>
      </c>
      <c r="N116" s="6"/>
      <c r="O116" s="7"/>
      <c r="P116" s="7"/>
      <c r="Q116" s="1">
        <f>Table2[[#This Row],[Investigation Closed Date]]-Table2[[#This Row],[Date Complaint Raised]]</f>
        <v>0</v>
      </c>
      <c r="R116" s="6"/>
      <c r="S116" s="6"/>
      <c r="T116" s="6"/>
      <c r="U116" s="6"/>
      <c r="V116" s="6"/>
      <c r="W116" s="10"/>
      <c r="X116" s="8"/>
      <c r="Y116" s="6"/>
      <c r="Z116" s="9"/>
    </row>
    <row r="117" spans="1:26" s="2" customFormat="1" x14ac:dyDescent="0.3">
      <c r="A117" s="6"/>
      <c r="B117" s="7"/>
      <c r="C117" s="6"/>
      <c r="D117" s="6"/>
      <c r="E117" s="6"/>
      <c r="F117" s="6"/>
      <c r="G117" s="6"/>
      <c r="H117" s="6"/>
      <c r="I117" s="6"/>
      <c r="J117" s="6"/>
      <c r="K117" s="3">
        <f>Table2[[#This Row],[Date Complaint Raised]]+7</f>
        <v>7</v>
      </c>
      <c r="L117" s="7"/>
      <c r="M117" s="1">
        <f>Table2[[#This Row],[Part 1 Completion Date]]-Table2[[#This Row],[Date Complaint Raised]]</f>
        <v>0</v>
      </c>
      <c r="N117" s="6"/>
      <c r="O117" s="7"/>
      <c r="P117" s="7"/>
      <c r="Q117" s="1">
        <f>Table2[[#This Row],[Investigation Closed Date]]-Table2[[#This Row],[Date Complaint Raised]]</f>
        <v>0</v>
      </c>
      <c r="R117" s="6"/>
      <c r="S117" s="6"/>
      <c r="T117" s="6"/>
      <c r="U117" s="6"/>
      <c r="V117" s="6"/>
      <c r="W117" s="10"/>
      <c r="X117" s="8"/>
      <c r="Y117" s="6"/>
      <c r="Z117" s="9"/>
    </row>
    <row r="118" spans="1:26" s="2" customFormat="1" x14ac:dyDescent="0.3">
      <c r="A118" s="6"/>
      <c r="B118" s="7"/>
      <c r="C118" s="6"/>
      <c r="D118" s="6"/>
      <c r="E118" s="6"/>
      <c r="F118" s="6"/>
      <c r="G118" s="6"/>
      <c r="H118" s="6"/>
      <c r="I118" s="6"/>
      <c r="J118" s="6"/>
      <c r="K118" s="3">
        <f>Table2[[#This Row],[Date Complaint Raised]]+7</f>
        <v>7</v>
      </c>
      <c r="L118" s="7"/>
      <c r="M118" s="1">
        <f>Table2[[#This Row],[Part 1 Completion Date]]-Table2[[#This Row],[Date Complaint Raised]]</f>
        <v>0</v>
      </c>
      <c r="N118" s="6"/>
      <c r="O118" s="6"/>
      <c r="P118" s="6"/>
      <c r="Q118" s="1">
        <f>Table2[[#This Row],[Investigation Closed Date]]-Table2[[#This Row],[Date Complaint Raised]]</f>
        <v>0</v>
      </c>
      <c r="R118" s="6"/>
      <c r="S118" s="6"/>
      <c r="T118" s="6"/>
      <c r="U118" s="6"/>
      <c r="V118" s="6"/>
      <c r="W118" s="10"/>
      <c r="X118" s="8"/>
      <c r="Y118" s="6"/>
      <c r="Z118" s="9"/>
    </row>
    <row r="119" spans="1:26" x14ac:dyDescent="0.3">
      <c r="N119" s="8"/>
      <c r="R119" s="9"/>
      <c r="S119" s="9"/>
      <c r="T119" s="9"/>
      <c r="U119" s="9"/>
      <c r="V119" s="9"/>
      <c r="W119" s="23"/>
      <c r="X119" s="24"/>
      <c r="Y119" s="8"/>
    </row>
    <row r="120" spans="1:26" x14ac:dyDescent="0.3">
      <c r="N120" s="8"/>
      <c r="R120" s="9"/>
      <c r="S120" s="9"/>
      <c r="T120" s="9"/>
      <c r="U120" s="9"/>
      <c r="V120" s="9"/>
      <c r="W120" s="23"/>
      <c r="X120" s="24"/>
      <c r="Y120" s="8"/>
    </row>
    <row r="121" spans="1:26" x14ac:dyDescent="0.3">
      <c r="N121" s="8"/>
      <c r="R121" s="9"/>
      <c r="S121" s="9"/>
      <c r="T121" s="9"/>
      <c r="U121" s="9"/>
      <c r="V121" s="9"/>
      <c r="W121" s="23"/>
      <c r="X121" s="24"/>
      <c r="Y121" s="8"/>
    </row>
    <row r="122" spans="1:26" x14ac:dyDescent="0.3">
      <c r="N122" s="8"/>
      <c r="R122" s="9"/>
      <c r="S122" s="9"/>
      <c r="T122" s="9"/>
      <c r="U122" s="9"/>
      <c r="V122" s="9"/>
      <c r="W122" s="23"/>
      <c r="X122" s="24"/>
      <c r="Y122" s="8"/>
    </row>
    <row r="123" spans="1:26" x14ac:dyDescent="0.3">
      <c r="N123" s="8"/>
      <c r="R123" s="9"/>
      <c r="S123" s="9"/>
      <c r="T123" s="9"/>
      <c r="U123" s="9"/>
      <c r="V123" s="9"/>
      <c r="W123" s="23"/>
      <c r="X123" s="24"/>
      <c r="Y123" s="8"/>
    </row>
    <row r="124" spans="1:26" x14ac:dyDescent="0.3">
      <c r="N124" s="8"/>
      <c r="R124" s="9"/>
      <c r="S124" s="9"/>
      <c r="T124" s="9"/>
      <c r="U124" s="9"/>
      <c r="V124" s="9"/>
      <c r="W124" s="23"/>
      <c r="X124" s="24"/>
      <c r="Y124" s="8"/>
    </row>
    <row r="125" spans="1:26" x14ac:dyDescent="0.3">
      <c r="N125" s="8"/>
      <c r="R125" s="9"/>
      <c r="S125" s="9"/>
      <c r="T125" s="9"/>
      <c r="U125" s="9"/>
      <c r="V125" s="9"/>
      <c r="W125" s="23"/>
      <c r="X125" s="24"/>
      <c r="Y125" s="8"/>
    </row>
    <row r="126" spans="1:26" x14ac:dyDescent="0.3">
      <c r="N126" s="8"/>
      <c r="R126" s="9"/>
      <c r="S126" s="9"/>
      <c r="T126" s="9"/>
      <c r="U126" s="9"/>
      <c r="V126" s="9"/>
      <c r="W126" s="23"/>
      <c r="X126" s="24"/>
      <c r="Y126" s="8"/>
    </row>
    <row r="127" spans="1:26" x14ac:dyDescent="0.3">
      <c r="N127" s="8"/>
      <c r="R127" s="9"/>
      <c r="S127" s="9"/>
      <c r="T127" s="9"/>
      <c r="U127" s="9"/>
      <c r="V127" s="9"/>
      <c r="W127" s="23"/>
      <c r="X127" s="24"/>
      <c r="Y127" s="8"/>
    </row>
    <row r="128" spans="1:26" x14ac:dyDescent="0.3">
      <c r="N128" s="8"/>
      <c r="R128" s="9"/>
      <c r="S128" s="9"/>
      <c r="T128" s="9"/>
      <c r="U128" s="9"/>
      <c r="V128" s="9"/>
      <c r="W128" s="23"/>
      <c r="X128" s="24"/>
      <c r="Y128" s="8"/>
    </row>
    <row r="129" spans="14:25" x14ac:dyDescent="0.3">
      <c r="N129" s="8"/>
      <c r="R129" s="9"/>
      <c r="S129" s="9"/>
      <c r="T129" s="9"/>
      <c r="U129" s="9"/>
      <c r="V129" s="9"/>
      <c r="W129" s="23"/>
      <c r="X129" s="24"/>
      <c r="Y129" s="8"/>
    </row>
    <row r="130" spans="14:25" x14ac:dyDescent="0.3">
      <c r="N130" s="8"/>
      <c r="R130" s="9"/>
      <c r="S130" s="9"/>
      <c r="T130" s="9"/>
      <c r="U130" s="9"/>
      <c r="V130" s="9"/>
      <c r="W130" s="23"/>
      <c r="X130" s="24"/>
      <c r="Y130" s="8"/>
    </row>
    <row r="131" spans="14:25" x14ac:dyDescent="0.3">
      <c r="N131" s="8"/>
      <c r="R131" s="9"/>
      <c r="S131" s="9"/>
      <c r="T131" s="9"/>
      <c r="U131" s="9"/>
      <c r="V131" s="9"/>
      <c r="W131" s="23"/>
      <c r="X131" s="24"/>
      <c r="Y131" s="8"/>
    </row>
    <row r="132" spans="14:25" x14ac:dyDescent="0.3">
      <c r="N132" s="8"/>
      <c r="R132" s="9"/>
      <c r="S132" s="9"/>
      <c r="T132" s="9"/>
      <c r="U132" s="9"/>
      <c r="V132" s="9"/>
      <c r="W132" s="23"/>
      <c r="X132" s="24"/>
      <c r="Y132" s="8"/>
    </row>
    <row r="133" spans="14:25" x14ac:dyDescent="0.3">
      <c r="N133" s="8"/>
      <c r="R133" s="9"/>
      <c r="S133" s="9"/>
      <c r="T133" s="9"/>
      <c r="U133" s="9"/>
      <c r="V133" s="9"/>
      <c r="W133" s="23"/>
      <c r="X133" s="24"/>
      <c r="Y133" s="8"/>
    </row>
    <row r="134" spans="14:25" x14ac:dyDescent="0.3">
      <c r="N134" s="8"/>
      <c r="R134" s="9"/>
      <c r="S134" s="9"/>
      <c r="T134" s="9"/>
      <c r="U134" s="9"/>
      <c r="V134" s="9"/>
      <c r="W134" s="23"/>
      <c r="X134" s="24"/>
      <c r="Y134" s="8"/>
    </row>
    <row r="135" spans="14:25" x14ac:dyDescent="0.3">
      <c r="N135" s="8"/>
      <c r="R135" s="9"/>
      <c r="S135" s="9"/>
      <c r="T135" s="9"/>
      <c r="U135" s="9"/>
      <c r="V135" s="9"/>
      <c r="W135" s="23"/>
      <c r="X135" s="24"/>
      <c r="Y135" s="8"/>
    </row>
    <row r="136" spans="14:25" x14ac:dyDescent="0.3">
      <c r="N136" s="8"/>
      <c r="R136" s="9"/>
      <c r="S136" s="9"/>
      <c r="T136" s="9"/>
      <c r="U136" s="9"/>
      <c r="V136" s="9"/>
      <c r="W136" s="23"/>
      <c r="X136" s="24"/>
      <c r="Y136" s="8"/>
    </row>
    <row r="137" spans="14:25" x14ac:dyDescent="0.3">
      <c r="N137" s="8"/>
      <c r="R137" s="9"/>
      <c r="S137" s="9"/>
      <c r="T137" s="9"/>
      <c r="U137" s="9"/>
      <c r="V137" s="9"/>
      <c r="W137" s="23"/>
      <c r="X137" s="24"/>
      <c r="Y137" s="8"/>
    </row>
    <row r="138" spans="14:25" x14ac:dyDescent="0.3">
      <c r="N138" s="8"/>
      <c r="R138" s="9"/>
      <c r="S138" s="9"/>
      <c r="T138" s="9"/>
      <c r="U138" s="9"/>
      <c r="V138" s="9"/>
      <c r="W138" s="23"/>
      <c r="X138" s="24"/>
      <c r="Y138" s="8"/>
    </row>
    <row r="139" spans="14:25" x14ac:dyDescent="0.3">
      <c r="N139" s="8"/>
      <c r="R139" s="9"/>
      <c r="S139" s="9"/>
      <c r="T139" s="9"/>
      <c r="U139" s="9"/>
      <c r="V139" s="9"/>
      <c r="W139" s="23"/>
      <c r="X139" s="24"/>
      <c r="Y139" s="8"/>
    </row>
    <row r="140" spans="14:25" x14ac:dyDescent="0.3">
      <c r="N140" s="8"/>
      <c r="R140" s="9"/>
      <c r="S140" s="9"/>
      <c r="T140" s="9"/>
      <c r="U140" s="9"/>
      <c r="V140" s="9"/>
      <c r="W140" s="23"/>
      <c r="X140" s="24"/>
      <c r="Y140" s="8"/>
    </row>
    <row r="141" spans="14:25" x14ac:dyDescent="0.3">
      <c r="N141" s="8"/>
      <c r="R141" s="9"/>
      <c r="S141" s="9"/>
      <c r="T141" s="9"/>
      <c r="U141" s="9"/>
      <c r="V141" s="9"/>
      <c r="W141" s="23"/>
      <c r="X141" s="24"/>
      <c r="Y141" s="8"/>
    </row>
    <row r="142" spans="14:25" x14ac:dyDescent="0.3">
      <c r="N142" s="8"/>
      <c r="R142" s="9"/>
      <c r="S142" s="9"/>
      <c r="T142" s="9"/>
      <c r="U142" s="9"/>
      <c r="V142" s="9"/>
      <c r="W142" s="23"/>
      <c r="X142" s="24"/>
      <c r="Y142" s="8"/>
    </row>
    <row r="143" spans="14:25" x14ac:dyDescent="0.3">
      <c r="N143" s="8"/>
      <c r="R143" s="9"/>
      <c r="S143" s="9"/>
      <c r="T143" s="9"/>
      <c r="U143" s="9"/>
      <c r="V143" s="9"/>
      <c r="W143" s="23"/>
      <c r="X143" s="24"/>
      <c r="Y143" s="8"/>
    </row>
    <row r="144" spans="14:25" x14ac:dyDescent="0.3">
      <c r="N144" s="8"/>
      <c r="R144" s="9"/>
      <c r="S144" s="9"/>
      <c r="T144" s="9"/>
      <c r="U144" s="9"/>
      <c r="V144" s="9"/>
      <c r="W144" s="23"/>
      <c r="X144" s="24"/>
      <c r="Y144" s="8"/>
    </row>
    <row r="145" spans="14:25" x14ac:dyDescent="0.3">
      <c r="N145" s="8"/>
      <c r="R145" s="9"/>
      <c r="S145" s="9"/>
      <c r="T145" s="9"/>
      <c r="U145" s="9"/>
      <c r="V145" s="9"/>
      <c r="W145" s="23"/>
      <c r="X145" s="24"/>
      <c r="Y145" s="8"/>
    </row>
    <row r="146" spans="14:25" x14ac:dyDescent="0.3">
      <c r="N146" s="8"/>
      <c r="R146" s="9"/>
      <c r="S146" s="9"/>
      <c r="T146" s="9"/>
      <c r="U146" s="9"/>
      <c r="V146" s="9"/>
      <c r="W146" s="23"/>
      <c r="X146" s="24"/>
      <c r="Y146" s="8"/>
    </row>
    <row r="147" spans="14:25" x14ac:dyDescent="0.3">
      <c r="N147" s="8"/>
      <c r="R147" s="9"/>
      <c r="S147" s="9"/>
      <c r="T147" s="9"/>
      <c r="U147" s="9"/>
      <c r="V147" s="9"/>
      <c r="W147" s="23"/>
      <c r="X147" s="24"/>
      <c r="Y147" s="8"/>
    </row>
    <row r="148" spans="14:25" x14ac:dyDescent="0.3">
      <c r="N148" s="8"/>
      <c r="R148" s="9"/>
      <c r="S148" s="9"/>
      <c r="T148" s="9"/>
      <c r="U148" s="9"/>
      <c r="V148" s="9"/>
      <c r="W148" s="23"/>
      <c r="X148" s="24"/>
      <c r="Y148" s="8"/>
    </row>
    <row r="149" spans="14:25" x14ac:dyDescent="0.3">
      <c r="N149" s="8"/>
      <c r="R149" s="9"/>
      <c r="S149" s="9"/>
      <c r="T149" s="9"/>
      <c r="U149" s="9"/>
      <c r="V149" s="9"/>
      <c r="W149" s="23"/>
      <c r="X149" s="24"/>
      <c r="Y149" s="8"/>
    </row>
    <row r="150" spans="14:25" x14ac:dyDescent="0.3">
      <c r="N150" s="8"/>
      <c r="R150" s="9"/>
      <c r="S150" s="9"/>
      <c r="T150" s="9"/>
      <c r="U150" s="9"/>
      <c r="V150" s="9"/>
      <c r="W150" s="23"/>
      <c r="X150" s="24"/>
      <c r="Y150" s="8"/>
    </row>
    <row r="151" spans="14:25" x14ac:dyDescent="0.3">
      <c r="N151" s="8"/>
      <c r="R151" s="9"/>
      <c r="S151" s="9"/>
      <c r="T151" s="9"/>
      <c r="U151" s="9"/>
      <c r="V151" s="9"/>
      <c r="W151" s="23"/>
      <c r="X151" s="24"/>
      <c r="Y151" s="8"/>
    </row>
    <row r="152" spans="14:25" x14ac:dyDescent="0.3">
      <c r="N152" s="8"/>
      <c r="R152" s="9"/>
      <c r="S152" s="9"/>
      <c r="T152" s="9"/>
      <c r="U152" s="9"/>
      <c r="V152" s="9"/>
      <c r="W152" s="23"/>
      <c r="X152" s="24"/>
      <c r="Y152" s="8"/>
    </row>
    <row r="153" spans="14:25" x14ac:dyDescent="0.3">
      <c r="N153" s="8"/>
      <c r="R153" s="9"/>
      <c r="S153" s="9"/>
      <c r="T153" s="9"/>
      <c r="U153" s="9"/>
      <c r="V153" s="9"/>
      <c r="W153" s="23"/>
      <c r="X153" s="24"/>
      <c r="Y153" s="8"/>
    </row>
    <row r="154" spans="14:25" x14ac:dyDescent="0.3">
      <c r="N154" s="8"/>
      <c r="R154" s="9"/>
      <c r="S154" s="9"/>
      <c r="T154" s="9"/>
      <c r="U154" s="9"/>
      <c r="V154" s="9"/>
      <c r="W154" s="23"/>
      <c r="X154" s="24"/>
      <c r="Y154" s="8"/>
    </row>
    <row r="155" spans="14:25" x14ac:dyDescent="0.3">
      <c r="N155" s="8"/>
      <c r="R155" s="9"/>
      <c r="S155" s="9"/>
      <c r="T155" s="9"/>
      <c r="U155" s="9"/>
      <c r="V155" s="9"/>
      <c r="W155" s="23"/>
      <c r="X155" s="24"/>
      <c r="Y155" s="8"/>
    </row>
    <row r="156" spans="14:25" x14ac:dyDescent="0.3">
      <c r="N156" s="8"/>
      <c r="R156" s="9"/>
      <c r="S156" s="9"/>
      <c r="T156" s="9"/>
      <c r="U156" s="9"/>
      <c r="V156" s="9"/>
      <c r="W156" s="23"/>
      <c r="X156" s="24"/>
      <c r="Y156" s="8"/>
    </row>
    <row r="157" spans="14:25" x14ac:dyDescent="0.3">
      <c r="N157" s="8"/>
      <c r="R157" s="9"/>
      <c r="S157" s="9"/>
      <c r="T157" s="9"/>
      <c r="U157" s="9"/>
      <c r="V157" s="9"/>
      <c r="W157" s="23"/>
      <c r="X157" s="24"/>
      <c r="Y157" s="8"/>
    </row>
    <row r="158" spans="14:25" x14ac:dyDescent="0.3">
      <c r="N158" s="8"/>
      <c r="R158" s="9"/>
      <c r="S158" s="9"/>
      <c r="T158" s="9"/>
      <c r="U158" s="9"/>
      <c r="V158" s="9"/>
      <c r="W158" s="23"/>
      <c r="X158" s="24"/>
      <c r="Y158" s="8"/>
    </row>
    <row r="159" spans="14:25" x14ac:dyDescent="0.3">
      <c r="N159" s="8"/>
      <c r="R159" s="9"/>
      <c r="S159" s="9"/>
      <c r="T159" s="9"/>
      <c r="U159" s="9"/>
      <c r="V159" s="9"/>
      <c r="W159" s="23"/>
      <c r="X159" s="24"/>
      <c r="Y159" s="8"/>
    </row>
    <row r="160" spans="14:25" x14ac:dyDescent="0.3">
      <c r="N160" s="8"/>
      <c r="R160" s="9"/>
      <c r="S160" s="9"/>
      <c r="T160" s="9"/>
      <c r="U160" s="9"/>
      <c r="V160" s="9"/>
      <c r="W160" s="23"/>
      <c r="X160" s="24"/>
      <c r="Y160" s="8"/>
    </row>
    <row r="161" spans="14:25" x14ac:dyDescent="0.3">
      <c r="N161" s="8"/>
      <c r="R161" s="9"/>
      <c r="S161" s="9"/>
      <c r="T161" s="9"/>
      <c r="U161" s="9"/>
      <c r="V161" s="9"/>
      <c r="W161" s="23"/>
      <c r="X161" s="24"/>
      <c r="Y161" s="8"/>
    </row>
    <row r="162" spans="14:25" x14ac:dyDescent="0.3">
      <c r="N162" s="8"/>
      <c r="R162" s="9"/>
      <c r="S162" s="9"/>
      <c r="T162" s="9"/>
      <c r="U162" s="9"/>
      <c r="V162" s="9"/>
      <c r="W162" s="23"/>
      <c r="X162" s="24"/>
      <c r="Y162" s="8"/>
    </row>
    <row r="163" spans="14:25" x14ac:dyDescent="0.3">
      <c r="N163" s="8"/>
      <c r="R163" s="9"/>
      <c r="S163" s="9"/>
      <c r="T163" s="9"/>
      <c r="U163" s="9"/>
      <c r="V163" s="9"/>
      <c r="W163" s="23"/>
      <c r="X163" s="24"/>
      <c r="Y163" s="8"/>
    </row>
    <row r="164" spans="14:25" x14ac:dyDescent="0.3">
      <c r="N164" s="8"/>
      <c r="R164" s="9"/>
      <c r="S164" s="9"/>
      <c r="T164" s="9"/>
      <c r="U164" s="9"/>
      <c r="V164" s="9"/>
      <c r="W164" s="23"/>
      <c r="X164" s="24"/>
      <c r="Y164" s="8"/>
    </row>
    <row r="165" spans="14:25" x14ac:dyDescent="0.3">
      <c r="N165" s="8"/>
      <c r="R165" s="9"/>
      <c r="S165" s="9"/>
      <c r="T165" s="9"/>
      <c r="U165" s="9"/>
      <c r="V165" s="9"/>
      <c r="W165" s="23"/>
      <c r="X165" s="24"/>
      <c r="Y165" s="8"/>
    </row>
    <row r="166" spans="14:25" x14ac:dyDescent="0.3">
      <c r="N166" s="8"/>
      <c r="R166" s="9"/>
      <c r="S166" s="9"/>
      <c r="T166" s="9"/>
      <c r="U166" s="9"/>
      <c r="V166" s="9"/>
      <c r="W166" s="23"/>
      <c r="X166" s="24"/>
      <c r="Y166" s="8"/>
    </row>
    <row r="167" spans="14:25" x14ac:dyDescent="0.3">
      <c r="N167" s="8"/>
      <c r="R167" s="9"/>
      <c r="S167" s="9"/>
      <c r="T167" s="9"/>
      <c r="U167" s="9"/>
      <c r="V167" s="9"/>
      <c r="W167" s="23"/>
      <c r="X167" s="24"/>
      <c r="Y167" s="8"/>
    </row>
    <row r="168" spans="14:25" x14ac:dyDescent="0.3">
      <c r="N168" s="8"/>
      <c r="R168" s="9"/>
      <c r="S168" s="9"/>
      <c r="T168" s="9"/>
      <c r="U168" s="9"/>
      <c r="V168" s="9"/>
      <c r="W168" s="23"/>
      <c r="X168" s="24"/>
      <c r="Y168" s="8"/>
    </row>
    <row r="169" spans="14:25" x14ac:dyDescent="0.3">
      <c r="N169" s="8"/>
      <c r="R169" s="9"/>
      <c r="S169" s="9"/>
      <c r="T169" s="9"/>
      <c r="U169" s="9"/>
      <c r="V169" s="9"/>
      <c r="W169" s="23"/>
      <c r="X169" s="24"/>
      <c r="Y169" s="8"/>
    </row>
    <row r="170" spans="14:25" x14ac:dyDescent="0.3">
      <c r="N170" s="8"/>
      <c r="R170" s="9"/>
      <c r="S170" s="9"/>
      <c r="T170" s="9"/>
      <c r="U170" s="9"/>
      <c r="V170" s="9"/>
      <c r="W170" s="23"/>
      <c r="X170" s="24"/>
      <c r="Y170" s="8"/>
    </row>
    <row r="171" spans="14:25" x14ac:dyDescent="0.3">
      <c r="N171" s="8"/>
      <c r="R171" s="9"/>
      <c r="S171" s="9"/>
      <c r="T171" s="9"/>
      <c r="U171" s="9"/>
      <c r="V171" s="9"/>
      <c r="W171" s="23"/>
      <c r="X171" s="24"/>
      <c r="Y171" s="8"/>
    </row>
    <row r="172" spans="14:25" x14ac:dyDescent="0.3">
      <c r="N172" s="8"/>
      <c r="R172" s="9"/>
      <c r="S172" s="9"/>
      <c r="T172" s="9"/>
      <c r="U172" s="9"/>
      <c r="V172" s="9"/>
      <c r="W172" s="23"/>
      <c r="X172" s="24"/>
      <c r="Y172" s="8"/>
    </row>
    <row r="173" spans="14:25" x14ac:dyDescent="0.3">
      <c r="N173" s="8"/>
      <c r="R173" s="9"/>
      <c r="S173" s="9"/>
      <c r="T173" s="9"/>
      <c r="U173" s="9"/>
      <c r="V173" s="9"/>
      <c r="W173" s="23"/>
      <c r="X173" s="24"/>
      <c r="Y173" s="8"/>
    </row>
    <row r="174" spans="14:25" x14ac:dyDescent="0.3">
      <c r="N174" s="8"/>
      <c r="R174" s="9"/>
      <c r="S174" s="9"/>
      <c r="T174" s="9"/>
      <c r="U174" s="9"/>
      <c r="V174" s="9"/>
      <c r="W174" s="23"/>
      <c r="X174" s="24"/>
      <c r="Y174" s="8"/>
    </row>
    <row r="175" spans="14:25" x14ac:dyDescent="0.3">
      <c r="N175" s="8"/>
      <c r="R175" s="9"/>
      <c r="S175" s="9"/>
      <c r="T175" s="9"/>
      <c r="U175" s="9"/>
      <c r="V175" s="9"/>
      <c r="W175" s="23"/>
      <c r="X175" s="24"/>
      <c r="Y175" s="8"/>
    </row>
    <row r="176" spans="14:25" x14ac:dyDescent="0.3">
      <c r="N176" s="8"/>
      <c r="R176" s="9"/>
      <c r="S176" s="9"/>
      <c r="T176" s="9"/>
      <c r="U176" s="9"/>
      <c r="V176" s="9"/>
      <c r="W176" s="23"/>
      <c r="X176" s="24"/>
      <c r="Y176" s="8"/>
    </row>
    <row r="177" spans="14:25" x14ac:dyDescent="0.3">
      <c r="N177" s="8"/>
      <c r="R177" s="9"/>
      <c r="S177" s="9"/>
      <c r="T177" s="9"/>
      <c r="U177" s="9"/>
      <c r="V177" s="9"/>
      <c r="W177" s="23"/>
      <c r="X177" s="24"/>
      <c r="Y177" s="8"/>
    </row>
    <row r="178" spans="14:25" x14ac:dyDescent="0.3">
      <c r="N178" s="8"/>
      <c r="R178" s="9"/>
      <c r="S178" s="9"/>
      <c r="T178" s="9"/>
      <c r="U178" s="9"/>
      <c r="V178" s="9"/>
      <c r="W178" s="23"/>
      <c r="X178" s="24"/>
      <c r="Y178" s="8"/>
    </row>
    <row r="179" spans="14:25" x14ac:dyDescent="0.3">
      <c r="N179" s="8"/>
      <c r="R179" s="9"/>
      <c r="S179" s="9"/>
      <c r="T179" s="9"/>
      <c r="U179" s="9"/>
      <c r="V179" s="9"/>
      <c r="W179" s="23"/>
      <c r="X179" s="24"/>
      <c r="Y179" s="8"/>
    </row>
    <row r="180" spans="14:25" x14ac:dyDescent="0.3">
      <c r="N180" s="8"/>
      <c r="R180" s="9"/>
      <c r="S180" s="9"/>
      <c r="T180" s="9"/>
      <c r="U180" s="9"/>
      <c r="V180" s="9"/>
      <c r="W180" s="23"/>
      <c r="X180" s="24"/>
      <c r="Y180" s="8"/>
    </row>
    <row r="181" spans="14:25" x14ac:dyDescent="0.3">
      <c r="N181" s="8"/>
      <c r="R181" s="9"/>
      <c r="S181" s="9"/>
      <c r="T181" s="9"/>
      <c r="U181" s="9"/>
      <c r="V181" s="9"/>
      <c r="W181" s="23"/>
      <c r="X181" s="24"/>
      <c r="Y181" s="8"/>
    </row>
    <row r="182" spans="14:25" x14ac:dyDescent="0.3">
      <c r="N182" s="8"/>
      <c r="R182" s="9"/>
      <c r="S182" s="9"/>
      <c r="T182" s="9"/>
      <c r="U182" s="9"/>
      <c r="V182" s="9"/>
      <c r="W182" s="23"/>
      <c r="X182" s="24"/>
      <c r="Y182" s="8"/>
    </row>
    <row r="183" spans="14:25" x14ac:dyDescent="0.3">
      <c r="N183" s="8"/>
      <c r="R183" s="9"/>
      <c r="S183" s="9"/>
      <c r="T183" s="9"/>
      <c r="U183" s="9"/>
      <c r="V183" s="9"/>
      <c r="W183" s="23"/>
      <c r="X183" s="24"/>
      <c r="Y183" s="8"/>
    </row>
    <row r="184" spans="14:25" x14ac:dyDescent="0.3">
      <c r="N184" s="8"/>
      <c r="R184" s="9"/>
      <c r="S184" s="9"/>
      <c r="T184" s="9"/>
      <c r="U184" s="9"/>
      <c r="V184" s="9"/>
      <c r="W184" s="23"/>
      <c r="X184" s="24"/>
      <c r="Y184" s="8"/>
    </row>
    <row r="185" spans="14:25" x14ac:dyDescent="0.3">
      <c r="N185" s="8"/>
      <c r="R185" s="9"/>
      <c r="S185" s="9"/>
      <c r="T185" s="9"/>
      <c r="U185" s="9"/>
      <c r="V185" s="9"/>
      <c r="W185" s="23"/>
      <c r="X185" s="24"/>
      <c r="Y185" s="8"/>
    </row>
    <row r="186" spans="14:25" x14ac:dyDescent="0.3">
      <c r="N186" s="8"/>
      <c r="R186" s="9"/>
      <c r="S186" s="9"/>
      <c r="T186" s="9"/>
      <c r="U186" s="9"/>
      <c r="V186" s="9"/>
      <c r="W186" s="23"/>
      <c r="X186" s="24"/>
      <c r="Y186" s="8"/>
    </row>
    <row r="187" spans="14:25" x14ac:dyDescent="0.3">
      <c r="N187" s="8"/>
      <c r="R187" s="9"/>
      <c r="S187" s="9"/>
      <c r="T187" s="9"/>
      <c r="U187" s="9"/>
      <c r="V187" s="9"/>
      <c r="W187" s="23"/>
      <c r="X187" s="24"/>
      <c r="Y187" s="8"/>
    </row>
    <row r="188" spans="14:25" x14ac:dyDescent="0.3">
      <c r="N188" s="8"/>
      <c r="R188" s="9"/>
      <c r="S188" s="9"/>
      <c r="T188" s="9"/>
      <c r="U188" s="9"/>
      <c r="V188" s="9"/>
      <c r="W188" s="23"/>
      <c r="X188" s="24"/>
      <c r="Y188" s="8"/>
    </row>
    <row r="189" spans="14:25" x14ac:dyDescent="0.3">
      <c r="N189" s="8"/>
      <c r="R189" s="9"/>
      <c r="S189" s="9"/>
      <c r="T189" s="9"/>
      <c r="U189" s="9"/>
      <c r="V189" s="9"/>
      <c r="W189" s="23"/>
      <c r="X189" s="24"/>
      <c r="Y189" s="8"/>
    </row>
    <row r="190" spans="14:25" x14ac:dyDescent="0.3">
      <c r="N190" s="8"/>
      <c r="R190" s="9"/>
      <c r="S190" s="9"/>
      <c r="T190" s="9"/>
      <c r="U190" s="9"/>
      <c r="V190" s="9"/>
      <c r="W190" s="23"/>
      <c r="X190" s="24"/>
      <c r="Y190" s="8"/>
    </row>
    <row r="191" spans="14:25" x14ac:dyDescent="0.3">
      <c r="N191" s="8"/>
      <c r="R191" s="9"/>
      <c r="S191" s="9"/>
      <c r="T191" s="9"/>
      <c r="U191" s="9"/>
      <c r="V191" s="9"/>
      <c r="W191" s="23"/>
      <c r="X191" s="24"/>
      <c r="Y191" s="8"/>
    </row>
    <row r="192" spans="14:25" x14ac:dyDescent="0.3">
      <c r="N192" s="8"/>
      <c r="R192" s="9"/>
      <c r="S192" s="9"/>
      <c r="T192" s="9"/>
      <c r="U192" s="9"/>
      <c r="V192" s="9"/>
      <c r="W192" s="23"/>
      <c r="X192" s="24"/>
      <c r="Y192" s="8"/>
    </row>
    <row r="193" spans="14:25" x14ac:dyDescent="0.3">
      <c r="N193" s="8"/>
      <c r="R193" s="9"/>
      <c r="S193" s="9"/>
      <c r="T193" s="9"/>
      <c r="U193" s="9"/>
      <c r="V193" s="9"/>
      <c r="W193" s="23"/>
      <c r="X193" s="24"/>
      <c r="Y193" s="8"/>
    </row>
    <row r="194" spans="14:25" x14ac:dyDescent="0.3">
      <c r="N194" s="8"/>
      <c r="R194" s="9"/>
      <c r="S194" s="9"/>
      <c r="T194" s="9"/>
      <c r="U194" s="9"/>
      <c r="V194" s="9"/>
      <c r="W194" s="23"/>
      <c r="X194" s="24"/>
      <c r="Y194" s="8"/>
    </row>
    <row r="195" spans="14:25" x14ac:dyDescent="0.3">
      <c r="N195" s="8"/>
      <c r="R195" s="9"/>
      <c r="S195" s="9"/>
      <c r="T195" s="9"/>
      <c r="U195" s="9"/>
      <c r="V195" s="9"/>
      <c r="W195" s="23"/>
      <c r="X195" s="24"/>
      <c r="Y195" s="8"/>
    </row>
    <row r="196" spans="14:25" x14ac:dyDescent="0.3">
      <c r="N196" s="8"/>
      <c r="R196" s="9"/>
      <c r="S196" s="9"/>
      <c r="T196" s="9"/>
      <c r="U196" s="9"/>
      <c r="V196" s="9"/>
      <c r="W196" s="23"/>
      <c r="X196" s="24"/>
      <c r="Y196" s="8"/>
    </row>
    <row r="197" spans="14:25" x14ac:dyDescent="0.3">
      <c r="N197" s="8"/>
      <c r="R197" s="9"/>
      <c r="S197" s="9"/>
      <c r="T197" s="9"/>
      <c r="U197" s="9"/>
      <c r="V197" s="9"/>
      <c r="W197" s="23"/>
      <c r="X197" s="24"/>
      <c r="Y197" s="8"/>
    </row>
    <row r="198" spans="14:25" x14ac:dyDescent="0.3">
      <c r="N198" s="8"/>
      <c r="R198" s="9"/>
      <c r="S198" s="9"/>
      <c r="T198" s="9"/>
      <c r="U198" s="9"/>
      <c r="V198" s="9"/>
      <c r="W198" s="23"/>
      <c r="X198" s="24"/>
      <c r="Y198" s="8"/>
    </row>
    <row r="199" spans="14:25" x14ac:dyDescent="0.3">
      <c r="N199" s="8"/>
      <c r="R199" s="9"/>
      <c r="S199" s="9"/>
      <c r="T199" s="9"/>
      <c r="U199" s="9"/>
      <c r="V199" s="9"/>
      <c r="W199" s="23"/>
      <c r="X199" s="24"/>
      <c r="Y199" s="8"/>
    </row>
    <row r="200" spans="14:25" x14ac:dyDescent="0.3">
      <c r="N200" s="8"/>
      <c r="R200" s="9"/>
      <c r="S200" s="9"/>
      <c r="T200" s="9"/>
      <c r="U200" s="9"/>
      <c r="V200" s="9"/>
      <c r="W200" s="23"/>
      <c r="X200" s="24"/>
      <c r="Y200" s="8"/>
    </row>
    <row r="201" spans="14:25" x14ac:dyDescent="0.3">
      <c r="N201" s="8"/>
      <c r="R201" s="9"/>
      <c r="S201" s="9"/>
      <c r="T201" s="9"/>
      <c r="U201" s="9"/>
      <c r="V201" s="9"/>
      <c r="W201" s="23"/>
      <c r="X201" s="24"/>
      <c r="Y201" s="8"/>
    </row>
    <row r="202" spans="14:25" x14ac:dyDescent="0.3">
      <c r="N202" s="8"/>
      <c r="R202" s="9"/>
      <c r="S202" s="9"/>
      <c r="T202" s="9"/>
      <c r="U202" s="9"/>
      <c r="V202" s="9"/>
      <c r="W202" s="23"/>
      <c r="X202" s="24"/>
      <c r="Y202" s="8"/>
    </row>
    <row r="203" spans="14:25" x14ac:dyDescent="0.3">
      <c r="N203" s="8"/>
      <c r="R203" s="9"/>
      <c r="S203" s="9"/>
      <c r="T203" s="9"/>
      <c r="U203" s="9"/>
      <c r="V203" s="9"/>
      <c r="W203" s="23"/>
      <c r="X203" s="24"/>
      <c r="Y203" s="8"/>
    </row>
    <row r="204" spans="14:25" x14ac:dyDescent="0.3">
      <c r="N204" s="8"/>
      <c r="R204" s="9"/>
      <c r="S204" s="9"/>
      <c r="T204" s="9"/>
      <c r="U204" s="9"/>
      <c r="V204" s="9"/>
      <c r="W204" s="23"/>
      <c r="X204" s="24"/>
      <c r="Y204" s="8"/>
    </row>
    <row r="205" spans="14:25" x14ac:dyDescent="0.3">
      <c r="N205" s="8"/>
      <c r="R205" s="9"/>
      <c r="S205" s="9"/>
      <c r="T205" s="9"/>
      <c r="U205" s="9"/>
      <c r="V205" s="9"/>
      <c r="W205" s="23"/>
      <c r="X205" s="24"/>
      <c r="Y205" s="8"/>
    </row>
    <row r="206" spans="14:25" x14ac:dyDescent="0.3">
      <c r="N206" s="8"/>
      <c r="R206" s="9"/>
      <c r="S206" s="9"/>
      <c r="T206" s="9"/>
      <c r="U206" s="9"/>
      <c r="V206" s="9"/>
      <c r="W206" s="23"/>
      <c r="X206" s="24"/>
      <c r="Y206" s="8"/>
    </row>
    <row r="207" spans="14:25" x14ac:dyDescent="0.3">
      <c r="N207" s="8"/>
      <c r="R207" s="9"/>
      <c r="S207" s="9"/>
      <c r="T207" s="9"/>
      <c r="U207" s="9"/>
      <c r="V207" s="9"/>
      <c r="W207" s="23"/>
      <c r="X207" s="24"/>
      <c r="Y207" s="8"/>
    </row>
    <row r="208" spans="14:25" x14ac:dyDescent="0.3">
      <c r="N208" s="8"/>
      <c r="R208" s="9"/>
      <c r="S208" s="9"/>
      <c r="T208" s="9"/>
      <c r="U208" s="9"/>
      <c r="V208" s="9"/>
      <c r="W208" s="23"/>
      <c r="X208" s="24"/>
      <c r="Y208" s="8"/>
    </row>
    <row r="209" spans="14:25" x14ac:dyDescent="0.3">
      <c r="N209" s="8"/>
      <c r="R209" s="9"/>
      <c r="S209" s="9"/>
      <c r="T209" s="9"/>
      <c r="U209" s="9"/>
      <c r="V209" s="9"/>
      <c r="W209" s="23"/>
      <c r="X209" s="24"/>
      <c r="Y209" s="8"/>
    </row>
    <row r="210" spans="14:25" x14ac:dyDescent="0.3">
      <c r="N210" s="8"/>
      <c r="R210" s="9"/>
      <c r="S210" s="9"/>
      <c r="T210" s="9"/>
      <c r="U210" s="9"/>
      <c r="V210" s="9"/>
      <c r="W210" s="23"/>
      <c r="X210" s="24"/>
      <c r="Y210" s="8"/>
    </row>
    <row r="211" spans="14:25" x14ac:dyDescent="0.3">
      <c r="N211" s="8"/>
      <c r="R211" s="9"/>
      <c r="S211" s="9"/>
      <c r="T211" s="9"/>
      <c r="U211" s="9"/>
      <c r="V211" s="9"/>
      <c r="W211" s="23"/>
      <c r="X211" s="24"/>
      <c r="Y211" s="8"/>
    </row>
    <row r="212" spans="14:25" x14ac:dyDescent="0.3">
      <c r="N212" s="8"/>
      <c r="R212" s="9"/>
      <c r="S212" s="9"/>
      <c r="T212" s="9"/>
      <c r="U212" s="9"/>
      <c r="V212" s="9"/>
      <c r="W212" s="23"/>
      <c r="X212" s="24"/>
      <c r="Y212" s="8"/>
    </row>
    <row r="213" spans="14:25" x14ac:dyDescent="0.3">
      <c r="N213" s="8"/>
      <c r="R213" s="9"/>
      <c r="S213" s="9"/>
      <c r="T213" s="9"/>
      <c r="U213" s="9"/>
      <c r="V213" s="9"/>
      <c r="W213" s="23"/>
      <c r="X213" s="24"/>
      <c r="Y213" s="8"/>
    </row>
    <row r="214" spans="14:25" x14ac:dyDescent="0.3">
      <c r="N214" s="8"/>
      <c r="R214" s="9"/>
      <c r="S214" s="9"/>
      <c r="T214" s="9"/>
      <c r="U214" s="9"/>
      <c r="V214" s="9"/>
      <c r="W214" s="23"/>
      <c r="X214" s="24"/>
      <c r="Y214" s="8"/>
    </row>
    <row r="215" spans="14:25" x14ac:dyDescent="0.3">
      <c r="N215" s="8"/>
      <c r="R215" s="9"/>
      <c r="S215" s="9"/>
      <c r="T215" s="9"/>
      <c r="U215" s="9"/>
      <c r="V215" s="9"/>
      <c r="W215" s="23"/>
      <c r="X215" s="24"/>
      <c r="Y215" s="8"/>
    </row>
    <row r="216" spans="14:25" x14ac:dyDescent="0.3">
      <c r="N216" s="8"/>
      <c r="R216" s="9"/>
      <c r="S216" s="9"/>
      <c r="T216" s="9"/>
      <c r="U216" s="9"/>
      <c r="V216" s="9"/>
      <c r="W216" s="23"/>
      <c r="X216" s="24"/>
      <c r="Y216" s="8"/>
    </row>
    <row r="217" spans="14:25" x14ac:dyDescent="0.3">
      <c r="N217" s="8"/>
      <c r="R217" s="9"/>
      <c r="S217" s="9"/>
      <c r="T217" s="9"/>
      <c r="U217" s="9"/>
      <c r="V217" s="9"/>
      <c r="W217" s="23"/>
      <c r="X217" s="24"/>
      <c r="Y217" s="8"/>
    </row>
    <row r="218" spans="14:25" x14ac:dyDescent="0.3">
      <c r="N218" s="8"/>
    </row>
    <row r="219" spans="14:25" x14ac:dyDescent="0.3">
      <c r="N219" s="8"/>
    </row>
    <row r="220" spans="14:25" x14ac:dyDescent="0.3">
      <c r="N220" s="8"/>
    </row>
    <row r="221" spans="14:25" x14ac:dyDescent="0.3">
      <c r="N221" s="8"/>
    </row>
    <row r="222" spans="14:25" x14ac:dyDescent="0.3">
      <c r="N222" s="8"/>
    </row>
    <row r="223" spans="14:25" x14ac:dyDescent="0.3">
      <c r="N223" s="8"/>
    </row>
    <row r="224" spans="14:25" x14ac:dyDescent="0.3">
      <c r="N224" s="8"/>
    </row>
    <row r="225" spans="14:14" x14ac:dyDescent="0.3">
      <c r="N225" s="8"/>
    </row>
    <row r="226" spans="14:14" x14ac:dyDescent="0.3">
      <c r="N226" s="8"/>
    </row>
    <row r="227" spans="14:14" x14ac:dyDescent="0.3">
      <c r="N227" s="8"/>
    </row>
  </sheetData>
  <sheetProtection algorithmName="SHA-512" hashValue="OBrTmpEyNnUUt7WBXC2EYeQA+QxcmMEbv0OlJOzeYWS5wwkO74HQjHIz6vN6tWpAo87YcxYJzcjP3OPJgE1Aug==" saltValue="WO0g09BNpVm/gUTIfCG4bA==" spinCount="100000" sheet="1" autoFilter="0"/>
  <dataConsolidate/>
  <mergeCells count="3">
    <mergeCell ref="A1:G1"/>
    <mergeCell ref="Q1:Y1"/>
    <mergeCell ref="I1:P1"/>
  </mergeCells>
  <phoneticPr fontId="2" type="noConversion"/>
  <conditionalFormatting sqref="K3:K118 O3:O118 J119:J1048576 M119:M1048576">
    <cfRule type="cellIs" dxfId="10" priority="3" operator="between">
      <formula>TODAY()</formula>
      <formula>TODAY()+7</formula>
    </cfRule>
    <cfRule type="cellIs" dxfId="9" priority="4" operator="lessThan">
      <formula>TODAY()</formula>
    </cfRule>
  </conditionalFormatting>
  <conditionalFormatting sqref="M3:M118 L119:L1048576">
    <cfRule type="cellIs" dxfId="8" priority="1" operator="greaterThan">
      <formula>7</formula>
    </cfRule>
    <cfRule type="cellIs" dxfId="7" priority="2" operator="lessThan">
      <formula>8</formula>
    </cfRule>
  </conditionalFormatting>
  <conditionalFormatting sqref="W3:W118 Q119:V1048576">
    <cfRule type="containsText" dxfId="6" priority="9" operator="containsText" text="Completed">
      <formula>NOT(ISERROR(SEARCH("Completed",Q3)))</formula>
    </cfRule>
    <cfRule type="containsText" dxfId="5" priority="10" operator="containsText" text="In-Progress">
      <formula>NOT(ISERROR(SEARCH("In-Progress",Q3)))</formula>
    </cfRule>
  </conditionalFormatting>
  <conditionalFormatting sqref="Y3:Y118 X119:X1048576">
    <cfRule type="containsText" dxfId="4" priority="5" operator="containsText" text="Effectiveness Check File">
      <formula>NOT(ISERROR(SEARCH("Effectiveness Check File",X3)))</formula>
    </cfRule>
    <cfRule type="containsText" dxfId="3" priority="6" operator="containsText" text="Closed Complaints File">
      <formula>NOT(ISERROR(SEARCH("Closed Complaints File",X3)))</formula>
    </cfRule>
    <cfRule type="containsText" dxfId="2" priority="7" operator="containsText" text="E-Copy">
      <formula>NOT(ISERROR(SEARCH("E-Copy",X3)))</formula>
    </cfRule>
    <cfRule type="containsText" dxfId="1" priority="8" operator="containsText" text="Part 1 Completed">
      <formula>NOT(ISERROR(SEARCH("Part 1 Completed",X3)))</formula>
    </cfRule>
  </conditionalFormatting>
  <dataValidations count="3">
    <dataValidation type="list" allowBlank="1" showInputMessage="1" showErrorMessage="1" sqref="W3:W118 Q119:Q1048576" xr:uid="{2A394E9E-E113-49EA-8E2F-DAD2C031390C}">
      <formula1>"Completed, In-Progress"</formula1>
    </dataValidation>
    <dataValidation type="list" allowBlank="1" showInputMessage="1" showErrorMessage="1" sqref="Y3:Y118" xr:uid="{2C37D1BC-B1A4-4A6D-98EE-E8F92D6A52BF}">
      <formula1>"E-Copy, Part 1 Completed, Closed Complaints File, Effectiveness Check File"</formula1>
    </dataValidation>
    <dataValidation type="list" allowBlank="1" showInputMessage="1" showErrorMessage="1" sqref="J3:J118 T3:T118" xr:uid="{0695669B-3034-4191-B2C6-821FBD479D80}">
      <formula1>"Minor, Major, Critical"</formula1>
    </dataValidation>
  </dataValidations>
  <pageMargins left="1" right="1" top="1" bottom="1" header="0.5" footer="0.5"/>
  <pageSetup paperSize="9" scale="16" fitToHeight="0" orientation="landscape" cellComments="asDisplayed" r:id="rId1"/>
  <headerFooter>
    <oddFooter>&amp;LPrinted By (Print &amp; Sign):________________________________________________________
Reviewed By (Print &amp; Sign):______________________________________________________&amp;RPage no: &amp;P of &amp;N
&amp;D &amp; &amp;T</oddFooter>
  </headerFooter>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63B36123-F7A0-41EB-A1E3-3A933D996A77}">
          <x14:formula1>
            <xm:f>'Complaint area'!$C$2:$C$50</xm:f>
          </x14:formula1>
          <xm:sqref>F3:F118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18626-1836-41B0-A053-5C2EF2BE331C}">
  <dimension ref="C1:I50"/>
  <sheetViews>
    <sheetView workbookViewId="0">
      <selection activeCell="C9" sqref="C9"/>
    </sheetView>
  </sheetViews>
  <sheetFormatPr defaultRowHeight="14.4" x14ac:dyDescent="0.3"/>
  <cols>
    <col min="3" max="3" width="38.33203125" customWidth="1"/>
    <col min="5" max="5" width="29.109375" customWidth="1"/>
    <col min="7" max="7" width="27.6640625" customWidth="1"/>
    <col min="9" max="9" width="27.88671875" customWidth="1"/>
  </cols>
  <sheetData>
    <row r="1" spans="3:9" ht="27" customHeight="1" thickBot="1" x14ac:dyDescent="0.35">
      <c r="C1" s="25" t="s">
        <v>12</v>
      </c>
      <c r="E1" s="18" t="s">
        <v>31</v>
      </c>
      <c r="G1" s="19" t="s">
        <v>32</v>
      </c>
      <c r="I1" s="22" t="s">
        <v>45</v>
      </c>
    </row>
    <row r="2" spans="3:9" ht="27" customHeight="1" x14ac:dyDescent="0.3">
      <c r="C2" s="14" t="s">
        <v>26</v>
      </c>
      <c r="E2" s="16" t="s">
        <v>60</v>
      </c>
      <c r="G2" s="20" t="s">
        <v>33</v>
      </c>
      <c r="I2" s="20" t="s">
        <v>33</v>
      </c>
    </row>
    <row r="3" spans="3:9" ht="27" customHeight="1" x14ac:dyDescent="0.3">
      <c r="C3" s="15" t="s">
        <v>47</v>
      </c>
      <c r="E3" s="17" t="s">
        <v>61</v>
      </c>
      <c r="G3" s="21" t="s">
        <v>34</v>
      </c>
      <c r="I3" s="21" t="s">
        <v>34</v>
      </c>
    </row>
    <row r="4" spans="3:9" ht="27" customHeight="1" x14ac:dyDescent="0.3">
      <c r="C4" s="15" t="s">
        <v>48</v>
      </c>
      <c r="E4" s="17" t="s">
        <v>62</v>
      </c>
      <c r="G4" s="21" t="s">
        <v>35</v>
      </c>
      <c r="I4" s="21" t="s">
        <v>35</v>
      </c>
    </row>
    <row r="5" spans="3:9" ht="27" customHeight="1" x14ac:dyDescent="0.3">
      <c r="C5" s="15" t="s">
        <v>27</v>
      </c>
      <c r="E5" s="16" t="s">
        <v>63</v>
      </c>
      <c r="G5" s="21" t="s">
        <v>36</v>
      </c>
      <c r="I5" s="21" t="s">
        <v>36</v>
      </c>
    </row>
    <row r="6" spans="3:9" ht="27" customHeight="1" x14ac:dyDescent="0.3">
      <c r="C6" s="15" t="s">
        <v>49</v>
      </c>
      <c r="E6" s="17" t="s">
        <v>64</v>
      </c>
      <c r="G6" s="21" t="s">
        <v>37</v>
      </c>
      <c r="I6" s="21" t="s">
        <v>37</v>
      </c>
    </row>
    <row r="7" spans="3:9" ht="27" customHeight="1" x14ac:dyDescent="0.3">
      <c r="C7" s="15" t="s">
        <v>59</v>
      </c>
      <c r="E7" s="17" t="s">
        <v>65</v>
      </c>
      <c r="G7" s="21" t="s">
        <v>38</v>
      </c>
      <c r="I7" s="21" t="s">
        <v>38</v>
      </c>
    </row>
    <row r="8" spans="3:9" ht="27" customHeight="1" x14ac:dyDescent="0.3">
      <c r="C8" s="15" t="s">
        <v>50</v>
      </c>
      <c r="E8" s="16" t="s">
        <v>66</v>
      </c>
      <c r="G8" s="21" t="s">
        <v>39</v>
      </c>
      <c r="I8" s="21" t="s">
        <v>39</v>
      </c>
    </row>
    <row r="9" spans="3:9" ht="27" customHeight="1" x14ac:dyDescent="0.3">
      <c r="C9" s="15" t="s">
        <v>28</v>
      </c>
      <c r="E9" s="17" t="s">
        <v>67</v>
      </c>
      <c r="G9" s="21" t="s">
        <v>40</v>
      </c>
      <c r="I9" s="21" t="s">
        <v>40</v>
      </c>
    </row>
    <row r="10" spans="3:9" ht="27" customHeight="1" x14ac:dyDescent="0.3">
      <c r="C10" s="15" t="s">
        <v>51</v>
      </c>
      <c r="E10" s="17" t="s">
        <v>68</v>
      </c>
      <c r="G10" s="21" t="s">
        <v>41</v>
      </c>
      <c r="I10" s="21" t="s">
        <v>41</v>
      </c>
    </row>
    <row r="11" spans="3:9" ht="27" customHeight="1" x14ac:dyDescent="0.3">
      <c r="C11" s="15" t="s">
        <v>52</v>
      </c>
      <c r="E11" s="16" t="s">
        <v>69</v>
      </c>
      <c r="G11" s="21" t="s">
        <v>42</v>
      </c>
      <c r="I11" s="21" t="s">
        <v>42</v>
      </c>
    </row>
    <row r="12" spans="3:9" ht="27" customHeight="1" x14ac:dyDescent="0.3">
      <c r="C12" s="15" t="s">
        <v>29</v>
      </c>
      <c r="E12" s="17" t="s">
        <v>70</v>
      </c>
      <c r="G12" s="21" t="s">
        <v>43</v>
      </c>
      <c r="I12" s="21" t="s">
        <v>43</v>
      </c>
    </row>
    <row r="13" spans="3:9" ht="27" customHeight="1" x14ac:dyDescent="0.3">
      <c r="C13" s="15" t="s">
        <v>53</v>
      </c>
      <c r="E13" s="17" t="s">
        <v>71</v>
      </c>
      <c r="G13" s="21" t="s">
        <v>44</v>
      </c>
      <c r="I13" s="21" t="s">
        <v>44</v>
      </c>
    </row>
    <row r="14" spans="3:9" ht="27" customHeight="1" x14ac:dyDescent="0.3">
      <c r="C14" s="15" t="s">
        <v>54</v>
      </c>
      <c r="E14" s="16" t="s">
        <v>72</v>
      </c>
    </row>
    <row r="15" spans="3:9" ht="27" customHeight="1" x14ac:dyDescent="0.3">
      <c r="C15" s="15" t="s">
        <v>55</v>
      </c>
      <c r="E15" s="17" t="s">
        <v>73</v>
      </c>
    </row>
    <row r="16" spans="3:9" ht="27" customHeight="1" x14ac:dyDescent="0.3">
      <c r="C16" s="15" t="s">
        <v>56</v>
      </c>
      <c r="E16" s="17" t="s">
        <v>58</v>
      </c>
    </row>
    <row r="17" spans="3:5" ht="27" customHeight="1" x14ac:dyDescent="0.3">
      <c r="C17" s="26" t="s">
        <v>57</v>
      </c>
      <c r="E17" s="16"/>
    </row>
    <row r="18" spans="3:5" ht="27" customHeight="1" x14ac:dyDescent="0.3">
      <c r="C18" s="26" t="s">
        <v>58</v>
      </c>
      <c r="E18" s="17"/>
    </row>
    <row r="19" spans="3:5" ht="27" customHeight="1" x14ac:dyDescent="0.3">
      <c r="C19" s="26"/>
      <c r="E19" s="17"/>
    </row>
    <row r="20" spans="3:5" ht="27" customHeight="1" x14ac:dyDescent="0.3">
      <c r="C20" s="26"/>
    </row>
    <row r="21" spans="3:5" ht="27" customHeight="1" x14ac:dyDescent="0.3">
      <c r="C21" s="26"/>
    </row>
    <row r="22" spans="3:5" ht="27" customHeight="1" x14ac:dyDescent="0.3">
      <c r="C22" s="26"/>
    </row>
    <row r="23" spans="3:5" ht="27" customHeight="1" x14ac:dyDescent="0.3">
      <c r="C23" s="26"/>
    </row>
    <row r="24" spans="3:5" ht="27" customHeight="1" x14ac:dyDescent="0.3">
      <c r="C24" s="26"/>
    </row>
    <row r="25" spans="3:5" ht="27" customHeight="1" x14ac:dyDescent="0.3">
      <c r="C25" s="26"/>
    </row>
    <row r="26" spans="3:5" ht="27" customHeight="1" x14ac:dyDescent="0.3">
      <c r="C26" s="26"/>
    </row>
    <row r="27" spans="3:5" ht="27" customHeight="1" x14ac:dyDescent="0.3">
      <c r="C27" s="26"/>
    </row>
    <row r="28" spans="3:5" x14ac:dyDescent="0.3">
      <c r="C28" s="26"/>
    </row>
    <row r="29" spans="3:5" x14ac:dyDescent="0.3">
      <c r="C29" s="26"/>
    </row>
    <row r="30" spans="3:5" x14ac:dyDescent="0.3">
      <c r="C30" s="26"/>
    </row>
    <row r="31" spans="3:5" x14ac:dyDescent="0.3">
      <c r="C31" s="26"/>
    </row>
    <row r="32" spans="3:5" x14ac:dyDescent="0.3">
      <c r="C32" s="26"/>
    </row>
    <row r="33" spans="3:3" x14ac:dyDescent="0.3">
      <c r="C33" s="26"/>
    </row>
    <row r="34" spans="3:3" x14ac:dyDescent="0.3">
      <c r="C34" s="26"/>
    </row>
    <row r="35" spans="3:3" x14ac:dyDescent="0.3">
      <c r="C35" s="26"/>
    </row>
    <row r="36" spans="3:3" x14ac:dyDescent="0.3">
      <c r="C36" s="26"/>
    </row>
    <row r="37" spans="3:3" x14ac:dyDescent="0.3">
      <c r="C37" s="26"/>
    </row>
    <row r="38" spans="3:3" x14ac:dyDescent="0.3">
      <c r="C38" s="26"/>
    </row>
    <row r="39" spans="3:3" x14ac:dyDescent="0.3">
      <c r="C39" s="26"/>
    </row>
    <row r="40" spans="3:3" x14ac:dyDescent="0.3">
      <c r="C40" s="26"/>
    </row>
    <row r="41" spans="3:3" x14ac:dyDescent="0.3">
      <c r="C41" s="26"/>
    </row>
    <row r="42" spans="3:3" x14ac:dyDescent="0.3">
      <c r="C42" s="26"/>
    </row>
    <row r="43" spans="3:3" x14ac:dyDescent="0.3">
      <c r="C43" s="26"/>
    </row>
    <row r="44" spans="3:3" x14ac:dyDescent="0.3">
      <c r="C44" s="26"/>
    </row>
    <row r="45" spans="3:3" x14ac:dyDescent="0.3">
      <c r="C45" s="26"/>
    </row>
    <row r="46" spans="3:3" x14ac:dyDescent="0.3">
      <c r="C46" s="26"/>
    </row>
    <row r="47" spans="3:3" x14ac:dyDescent="0.3">
      <c r="C47" s="26"/>
    </row>
    <row r="48" spans="3:3" x14ac:dyDescent="0.3">
      <c r="C48" s="26"/>
    </row>
    <row r="49" spans="3:3" x14ac:dyDescent="0.3">
      <c r="C49" s="26"/>
    </row>
    <row r="50" spans="3:3" x14ac:dyDescent="0.3">
      <c r="C50" s="26"/>
    </row>
  </sheetData>
  <sheetProtection algorithmName="SHA-512" hashValue="X3x2FcQTxMgvpKki0IoqMdEXPdiX7jJLOKpWF1jcMErivOeQhdsZS6oeG88JvaPS+7vFQQi7zDlPHLQ5J8B8Bw==" saltValue="VtoWLyESnhiRR8IJqAFAIA==" spinCount="100000" sheet="1" objects="1" scenarios="1"/>
  <sortState xmlns:xlrd2="http://schemas.microsoft.com/office/spreadsheetml/2017/richdata2" ref="E3:E19">
    <sortCondition ref="E2:E19"/>
  </sortState>
  <conditionalFormatting sqref="E2:E19">
    <cfRule type="duplicateValues" dxfId="0" priority="1"/>
  </conditionalFormatting>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997D0584C65D54BA5094F13A0FC7D85" ma:contentTypeVersion="16" ma:contentTypeDescription="Create a new document." ma:contentTypeScope="" ma:versionID="e3cb76a1a49c7f3335bb1ec3b4c13603">
  <xsd:schema xmlns:xsd="http://www.w3.org/2001/XMLSchema" xmlns:xs="http://www.w3.org/2001/XMLSchema" xmlns:p="http://schemas.microsoft.com/office/2006/metadata/properties" xmlns:ns2="f569dac8-a9d9-40be-8f23-bfd88c56db6f" xmlns:ns3="1238d261-19dc-4c10-a5e2-efd717162ffa" xmlns:ns4="07df983f-8b2f-4cc8-9f06-5b87614c9598" targetNamespace="http://schemas.microsoft.com/office/2006/metadata/properties" ma:root="true" ma:fieldsID="1fa28a92aa75f35dea2d022687465406" ns2:_="" ns3:_="" ns4:_="">
    <xsd:import namespace="f569dac8-a9d9-40be-8f23-bfd88c56db6f"/>
    <xsd:import namespace="1238d261-19dc-4c10-a5e2-efd717162ffa"/>
    <xsd:import namespace="07df983f-8b2f-4cc8-9f06-5b87614c959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69dac8-a9d9-40be-8f23-bfd88c56db6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238d261-19dc-4c10-a5e2-efd717162ff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82621de-c763-4c71-a8ab-90f0fd303dac"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7df983f-8b2f-4cc8-9f06-5b87614c9598"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f2a5fd70-d5d9-4adf-adee-5da4fcb19b3b}" ma:internalName="TaxCatchAll" ma:showField="CatchAllData" ma:web="07df983f-8b2f-4cc8-9f06-5b87614c95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47B12C-D6E9-4FE7-A90B-CA5E97C907EE}">
  <ds:schemaRefs>
    <ds:schemaRef ds:uri="http://schemas.microsoft.com/sharepoint/v3/contenttype/forms"/>
  </ds:schemaRefs>
</ds:datastoreItem>
</file>

<file path=customXml/itemProps2.xml><?xml version="1.0" encoding="utf-8"?>
<ds:datastoreItem xmlns:ds="http://schemas.openxmlformats.org/officeDocument/2006/customXml" ds:itemID="{3BAED8EB-263B-4063-9C71-DE016CF4CC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69dac8-a9d9-40be-8f23-bfd88c56db6f"/>
    <ds:schemaRef ds:uri="1238d261-19dc-4c10-a5e2-efd717162ffa"/>
    <ds:schemaRef ds:uri="07df983f-8b2f-4cc8-9f06-5b87614c95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Complaints Log</vt:lpstr>
      <vt:lpstr>Complaint area</vt:lpstr>
      <vt:lpstr>'Complaints Log'!Print_Titles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2026-09-04T18:14:54Z</dcterms:modified>
  <cp:category/>
  <cp:contentStatus/>
</cp:coreProperties>
</file>