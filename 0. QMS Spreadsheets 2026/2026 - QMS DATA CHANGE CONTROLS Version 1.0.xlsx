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codeName="ThisWorkbook" defaultThemeVersion="166925"/>
  <mc:AlternateContent xmlns:mc="http://schemas.openxmlformats.org/markup-compatibility/2006">
    <mc:Choice Requires="x15">
      <x15ac:absPath xmlns:x15ac="http://schemas.microsoft.com/office/spreadsheetml/2010/11/ac" url="N:\Quality\QA\QMS DATABASE\QMS 2026\0. QMS Spreadsheets 2026\"/>
    </mc:Choice>
  </mc:AlternateContent>
  <xr:revisionPtr revIDLastSave="0" documentId="13_ncr:1_{1E31C6CC-B76F-4E60-BFD5-290CE9D692CA}" xr6:coauthVersionLast="47" xr6:coauthVersionMax="47" xr10:uidLastSave="{00000000-0000-0000-0000-000000000000}"/>
  <workbookProtection workbookAlgorithmName="SHA-512" workbookHashValue="B3xxzora53LIztc4LnAnm+P2o9+y0lPI5l+CXyx37ldlX6iUrPeaeVZoNjtjWDwWNc6F5PsaNrBbqILkXgQD3g==" workbookSaltValue="Eig2/W9isekhhmPHvc0eCg==" workbookSpinCount="100000" lockStructure="1"/>
  <bookViews>
    <workbookView xWindow="28680" yWindow="-120" windowWidth="29040" windowHeight="15720" tabRatio="847" xr2:uid="{00000000-000D-0000-FFFF-FFFF00000000}"/>
  </bookViews>
  <sheets>
    <sheet name="Change Control" sheetId="1" r:id="rId1"/>
  </sheets>
  <definedNames>
    <definedName name="_xlnm.Print_Titles" localSheetId="0">'Change Control'!$2:$2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237" i="1" l="1"/>
  <c r="N236" i="1"/>
  <c r="N235" i="1"/>
  <c r="N234" i="1"/>
  <c r="N428" i="1"/>
  <c r="N429" i="1"/>
  <c r="N430" i="1"/>
  <c r="N431" i="1"/>
  <c r="N433" i="1"/>
  <c r="N432" i="1"/>
  <c r="N287" i="1"/>
  <c r="N288" i="1"/>
  <c r="N289" i="1"/>
  <c r="N425" i="1"/>
  <c r="N421" i="1"/>
  <c r="N422" i="1"/>
  <c r="N423" i="1"/>
  <c r="N424" i="1"/>
  <c r="N426" i="1"/>
  <c r="N416" i="1"/>
  <c r="N411" i="1"/>
  <c r="N412" i="1"/>
  <c r="N413" i="1"/>
  <c r="N414" i="1"/>
  <c r="N415" i="1"/>
  <c r="N410" i="1"/>
  <c r="N205" i="1"/>
  <c r="N204" i="1"/>
  <c r="N203" i="1"/>
  <c r="N202" i="1"/>
  <c r="N201" i="1"/>
  <c r="N200" i="1"/>
  <c r="N198" i="1"/>
  <c r="N197" i="1"/>
  <c r="N196" i="1"/>
  <c r="N195" i="1"/>
  <c r="N194" i="1"/>
  <c r="N193" i="1"/>
  <c r="N192" i="1"/>
  <c r="N191" i="1" s="1"/>
  <c r="N274" i="1"/>
  <c r="N273" i="1"/>
  <c r="N272" i="1"/>
  <c r="N271" i="1"/>
  <c r="N395" i="1"/>
  <c r="N394" i="1"/>
  <c r="N390" i="1"/>
  <c r="N391" i="1"/>
  <c r="N392" i="1"/>
  <c r="N393" i="1"/>
  <c r="N311" i="1"/>
  <c r="N222" i="1"/>
  <c r="N223" i="1"/>
  <c r="N224" i="1"/>
  <c r="N225" i="1"/>
  <c r="N226" i="1"/>
  <c r="N227" i="1"/>
  <c r="N228" i="1"/>
  <c r="N229" i="1"/>
  <c r="N230" i="1"/>
  <c r="N231" i="1"/>
  <c r="N232" i="1"/>
  <c r="N233" i="1"/>
  <c r="N374" i="1" l="1"/>
  <c r="N375" i="1"/>
  <c r="N376" i="1"/>
  <c r="N377" i="1"/>
  <c r="N378" i="1"/>
  <c r="N379" i="1"/>
  <c r="N373" i="1"/>
  <c r="N264" i="1"/>
  <c r="N263" i="1"/>
  <c r="N341" i="1"/>
  <c r="N342" i="1"/>
  <c r="N338" i="1"/>
  <c r="N339" i="1"/>
  <c r="N340" i="1"/>
  <c r="N343" i="1"/>
  <c r="N276" i="1"/>
  <c r="N277" i="1"/>
  <c r="N278" i="1"/>
  <c r="N279" i="1"/>
  <c r="N308" i="1"/>
  <c r="N307" i="1"/>
  <c r="N306" i="1"/>
  <c r="N305" i="1"/>
  <c r="N304" i="1"/>
  <c r="N303" i="1"/>
  <c r="N302" i="1"/>
  <c r="N301" i="1"/>
  <c r="N300" i="1"/>
  <c r="N298" i="1"/>
  <c r="N291" i="1"/>
  <c r="N292" i="1"/>
  <c r="N293" i="1"/>
  <c r="N294" i="1"/>
  <c r="N295" i="1"/>
  <c r="N296" i="1"/>
  <c r="N25" i="1"/>
  <c r="N26" i="1"/>
  <c r="N7" i="1"/>
  <c r="N8" i="1"/>
  <c r="N9" i="1"/>
  <c r="N10" i="1"/>
  <c r="N11" i="1"/>
  <c r="N12" i="1"/>
  <c r="N13" i="1"/>
  <c r="N14" i="1"/>
  <c r="N15" i="1"/>
  <c r="N16" i="1"/>
  <c r="N17" i="1"/>
  <c r="N18" i="1"/>
  <c r="N19" i="1"/>
  <c r="N20" i="1"/>
  <c r="N21" i="1"/>
  <c r="N22" i="1"/>
  <c r="N23" i="1"/>
  <c r="N24"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82" i="1"/>
  <c r="N89" i="1"/>
  <c r="N90" i="1"/>
  <c r="N91" i="1"/>
  <c r="N92" i="1"/>
  <c r="N93" i="1"/>
  <c r="N94" i="1"/>
  <c r="N95" i="1"/>
  <c r="N96" i="1"/>
  <c r="N97" i="1"/>
  <c r="N98" i="1"/>
  <c r="N99" i="1"/>
  <c r="N100" i="1"/>
  <c r="N101" i="1"/>
  <c r="N102" i="1"/>
  <c r="N103" i="1"/>
  <c r="N104" i="1"/>
  <c r="N105" i="1"/>
  <c r="N106" i="1"/>
  <c r="N107" i="1"/>
  <c r="N108" i="1"/>
  <c r="N6" i="1"/>
  <c r="N329" i="1"/>
  <c r="N208" i="1"/>
  <c r="N209" i="1"/>
  <c r="N210" i="1"/>
  <c r="N211" i="1"/>
  <c r="N212" i="1"/>
  <c r="N213" i="1"/>
  <c r="N214" i="1"/>
  <c r="N215" i="1"/>
  <c r="N216" i="1"/>
  <c r="N217" i="1"/>
  <c r="N218" i="1"/>
  <c r="N219" i="1"/>
  <c r="N220" i="1"/>
  <c r="N221"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5" i="1"/>
  <c r="N266" i="1"/>
  <c r="N267" i="1"/>
  <c r="N268" i="1"/>
  <c r="N269" i="1"/>
  <c r="N270" i="1"/>
  <c r="N275" i="1"/>
  <c r="N280" i="1"/>
  <c r="N281" i="1"/>
  <c r="N282" i="1"/>
  <c r="N283" i="1"/>
  <c r="N284" i="1"/>
  <c r="N285" i="1"/>
  <c r="N286" i="1"/>
  <c r="N290" i="1"/>
  <c r="N297" i="1"/>
  <c r="N299" i="1"/>
  <c r="N309" i="1"/>
  <c r="N310" i="1"/>
  <c r="N312" i="1"/>
  <c r="N313" i="1"/>
  <c r="N314" i="1"/>
  <c r="N315" i="1"/>
  <c r="N316" i="1"/>
  <c r="N317" i="1"/>
  <c r="N318" i="1"/>
  <c r="N319" i="1"/>
  <c r="N320" i="1"/>
  <c r="N321" i="1"/>
  <c r="N322" i="1"/>
  <c r="N323" i="1"/>
  <c r="N324" i="1"/>
  <c r="N325" i="1"/>
  <c r="N326" i="1"/>
  <c r="N327" i="1"/>
  <c r="N328" i="1"/>
  <c r="N330" i="1"/>
  <c r="N331" i="1"/>
  <c r="N332" i="1"/>
  <c r="N333" i="1"/>
  <c r="N334" i="1"/>
  <c r="N335" i="1"/>
  <c r="N336" i="1"/>
  <c r="N337"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80" i="1"/>
  <c r="N381" i="1"/>
  <c r="N382" i="1"/>
  <c r="N383" i="1"/>
  <c r="N384" i="1"/>
  <c r="N385" i="1"/>
  <c r="N386" i="1"/>
  <c r="N387" i="1"/>
  <c r="N388" i="1"/>
  <c r="N389" i="1"/>
  <c r="N396" i="1"/>
  <c r="N397" i="1"/>
  <c r="N398" i="1"/>
  <c r="N399" i="1"/>
  <c r="N400" i="1"/>
  <c r="N401" i="1"/>
  <c r="N402" i="1"/>
  <c r="N403" i="1"/>
  <c r="N404" i="1"/>
  <c r="N405" i="1"/>
  <c r="N406" i="1"/>
  <c r="N407" i="1"/>
  <c r="N408" i="1"/>
  <c r="N409" i="1"/>
  <c r="N417" i="1"/>
  <c r="N418" i="1"/>
  <c r="N419" i="1"/>
  <c r="N420" i="1"/>
  <c r="N427"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207" i="1"/>
  <c r="N206" i="1"/>
  <c r="N199" i="1"/>
  <c r="N190" i="1"/>
  <c r="N189" i="1"/>
  <c r="N188" i="1"/>
  <c r="N187" i="1"/>
  <c r="N186" i="1"/>
  <c r="N185" i="1"/>
  <c r="N184" i="1"/>
  <c r="N183" i="1"/>
  <c r="N182" i="1"/>
  <c r="N181" i="1"/>
  <c r="N180" i="1"/>
  <c r="N179" i="1"/>
  <c r="N178" i="1"/>
  <c r="N177" i="1"/>
  <c r="N169" i="1"/>
  <c r="N168" i="1"/>
  <c r="N167" i="1"/>
  <c r="N166" i="1"/>
  <c r="N165" i="1"/>
  <c r="N164" i="1"/>
  <c r="N163" i="1"/>
  <c r="N162" i="1"/>
  <c r="N161" i="1"/>
  <c r="N158" i="1"/>
  <c r="N157" i="1"/>
  <c r="N156" i="1"/>
  <c r="N155" i="1"/>
  <c r="N154" i="1"/>
  <c r="N153" i="1"/>
  <c r="N152" i="1"/>
  <c r="N151" i="1"/>
  <c r="N150" i="1"/>
  <c r="N149" i="1"/>
  <c r="N148" i="1"/>
  <c r="N147" i="1"/>
  <c r="N146" i="1"/>
  <c r="N145" i="1"/>
  <c r="N144" i="1"/>
  <c r="N143" i="1"/>
  <c r="N142" i="1"/>
  <c r="N136" i="1"/>
  <c r="N131" i="1"/>
  <c r="N130" i="1"/>
  <c r="N126" i="1"/>
  <c r="N125" i="1"/>
  <c r="N124" i="1"/>
  <c r="N3" i="1" l="1"/>
  <c r="N4" i="1"/>
  <c r="N5" i="1"/>
  <c r="N109" i="1"/>
  <c r="N110" i="1"/>
  <c r="N111" i="1"/>
  <c r="N112" i="1"/>
  <c r="N113" i="1"/>
  <c r="N114" i="1"/>
  <c r="N115" i="1"/>
  <c r="N116" i="1"/>
  <c r="N117" i="1"/>
  <c r="N118" i="1"/>
  <c r="N119" i="1"/>
  <c r="N120" i="1"/>
  <c r="N121" i="1"/>
  <c r="N122" i="1"/>
  <c r="N1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dominicbenny</author>
  </authors>
  <commentList>
    <comment ref="L2" authorId="0" shapeId="0" xr:uid="{F7DE135F-E84D-4CC8-90F5-163605FA97AC}">
      <text>
        <r>
          <rPr>
            <b/>
            <sz val="9"/>
            <color indexed="81"/>
            <rFont val="Tahoma"/>
            <family val="2"/>
          </rPr>
          <t>dominicbenny:</t>
        </r>
        <r>
          <rPr>
            <sz val="9"/>
            <color indexed="81"/>
            <rFont val="Tahoma"/>
            <family val="2"/>
          </rPr>
          <t xml:space="preserve">
Red= overdue
Yellow=Due within 7 days
Blue= Due within 8 and 14 days
White=Due after 14 days</t>
        </r>
      </text>
    </comment>
  </commentList>
</comments>
</file>

<file path=xl/sharedStrings.xml><?xml version="1.0" encoding="utf-8"?>
<sst xmlns="http://schemas.openxmlformats.org/spreadsheetml/2006/main" count="6736" uniqueCount="1023">
  <si>
    <t>Spreadsheet no:  ES.CSV.011
CHANGE CONTROL
Spreadsheet Owner: Omair Sattar
Ref. SOP: ES.SOP.052</t>
  </si>
  <si>
    <t>QMS DATA CHANGE CONTROLS, 
Version 1.0</t>
  </si>
  <si>
    <t>Change Control Number</t>
  </si>
  <si>
    <t>Date Logged</t>
  </si>
  <si>
    <t>Logged By</t>
  </si>
  <si>
    <t>QA RP</t>
  </si>
  <si>
    <t>Change Type</t>
  </si>
  <si>
    <t>Change Summary</t>
  </si>
  <si>
    <t>Details of change</t>
  </si>
  <si>
    <t>Associated Documents</t>
  </si>
  <si>
    <t>Classification</t>
  </si>
  <si>
    <t>Action Plan</t>
  </si>
  <si>
    <t>Person Assigned</t>
  </si>
  <si>
    <t>Target Date:</t>
  </si>
  <si>
    <t>Completion Date</t>
  </si>
  <si>
    <t>Days Open</t>
  </si>
  <si>
    <t>Current Status</t>
  </si>
  <si>
    <t>Approved By</t>
  </si>
  <si>
    <t>Effectiveness Check Required?</t>
  </si>
  <si>
    <t>Change Completed (Y/N)</t>
  </si>
  <si>
    <t>Wet ink copy filed away? (Y/N)</t>
  </si>
  <si>
    <t>Location</t>
  </si>
  <si>
    <t>Comments</t>
  </si>
  <si>
    <t>AHA</t>
  </si>
  <si>
    <t>Permanent</t>
  </si>
  <si>
    <t xml:space="preserve">The addition of new tablet brand, Almus, of Candesartan 16mg Tablets used in the manufacturing of Candesartan Suspensions </t>
  </si>
  <si>
    <t>CC.2026.001/A</t>
  </si>
  <si>
    <t>CC.2026.001/B</t>
  </si>
  <si>
    <t>CC.2026.001/C</t>
  </si>
  <si>
    <t>CC.2026.001/D</t>
  </si>
  <si>
    <t>CC.2026.001/E</t>
  </si>
  <si>
    <t>CC.2026.001/F</t>
  </si>
  <si>
    <t>R&amp;D to conduct assessment/trials and review formulation</t>
  </si>
  <si>
    <t>Create the BMRs as per R&amp;D instructions</t>
  </si>
  <si>
    <t>Approve the BMRs for use in manufacturing</t>
  </si>
  <si>
    <t xml:space="preserve">Update the Critical Excipient List </t>
  </si>
  <si>
    <t>Inform all departments of updates completed and inform customers if required</t>
  </si>
  <si>
    <t>Quarantine ALMUS brand until approved</t>
  </si>
  <si>
    <t>Minor</t>
  </si>
  <si>
    <t>CAND3</t>
  </si>
  <si>
    <t>As this is a new brand, this will need to be assessed by R&amp;D and confirm it’s compatibility with the current formulation of Candesartan Oral Suspensions prior to its use in manufacturing. This is required to confirm quality, safety, and efficacy of the product prior to supplying it to customers / patients.</t>
  </si>
  <si>
    <t>WA</t>
  </si>
  <si>
    <t>QA</t>
  </si>
  <si>
    <t>AHA/CS</t>
  </si>
  <si>
    <t>GN</t>
  </si>
  <si>
    <t>SP</t>
  </si>
  <si>
    <t>Comark Calibration 2025</t>
  </si>
  <si>
    <t>N/A</t>
  </si>
  <si>
    <t>Temporary</t>
  </si>
  <si>
    <t>Annual calibration and preventative maintenance of Comark transmitters will be conducted by
TGA Industries Limited / Setra® Systems, an approved service provider.
RF512 – Onsite Calibration (Temperature Monitoring)· Comark Transmitters RF512 will be temporarily removed from their installed location for the same day on-site calibration.
· During the calibration period of each RF512 unit will be replaced with a Tinytag Ultra 2 temperature data logger to ensure continuous temperature monitoring of critical location.
· On completion of calibration, the RF512 transmitters will be reinstalled in their original locations.
· Any temperature excursions recorded on the Tinytag Ultra 2 devices during the calibration period
will be assessed and investigated in accordance with ES.SOP.015 – Deviation Management.
RF512 – Offsite Calibration (Temperature Monitoring)
· Comark Transmitters RF513 will be removed from their respective locations and sent offsite for
calibration.
· During the offsite calibration period, loan equipment will be supplied by Setra® (equivalent
calibrated Comark RF513 transmitters capable of monitoring temperature &amp; humidity) will be installed to maintain uninterrupted environmental monitoring.
· The loan equipment will remain in use until the original RF513 transmitters are calibrated, returned and reinstalled.
· Any temperature or humidity excursions recorded during this period will be investigated in accordance with procedure ES.SOP.015 – Deviation Management.
This change is temporary and limited to the duration of the annual calibration activities.</t>
  </si>
  <si>
    <t>CC.2026.002/A</t>
  </si>
  <si>
    <t>CC.2026.002/B</t>
  </si>
  <si>
    <t>CC.2026.002/C</t>
  </si>
  <si>
    <t>CC.2026.002/D</t>
  </si>
  <si>
    <t>Set-up Tinytag Ultra 2 to monitor temperature of location listed in Attachment 1</t>
  </si>
  <si>
    <t>Data review of Tinytag Ultra 2 after calibration period</t>
  </si>
  <si>
    <t>Confirm new Calibration certificates and implement into Eaststone controlled documents</t>
  </si>
  <si>
    <t>Create list of loan equipment</t>
  </si>
  <si>
    <t>Completed</t>
  </si>
  <si>
    <t>In-Progress</t>
  </si>
  <si>
    <t>CC.2026.003/A</t>
  </si>
  <si>
    <t>CC.2026.003/B</t>
  </si>
  <si>
    <t>CC.2026.003/C</t>
  </si>
  <si>
    <t>CC.2026.003/D</t>
  </si>
  <si>
    <t>CC.2026.003/E</t>
  </si>
  <si>
    <t>CC.2026.003/F</t>
  </si>
  <si>
    <t>The addition of new tablet brand, IPCA, of Hydroxyzine Hydrochlroride 25mg Tablets used in the manufacturing of Hydroxyzine Hydrochlroride suspensions and solutions</t>
  </si>
  <si>
    <t>As this is a new brand, this will need to be assessed by R&amp;D and confirm it’s compatibility with the current formulation of Hydroxyzine Hydrochlroride suspensions and solutions prior to its use in manufacturing. This is required to confirm quality, safety, and efficacy of the product prior to supplying it to customers / patients.</t>
  </si>
  <si>
    <t>HYDR73
HYDR77
HYDR83
HYDR84
HYDR87</t>
  </si>
  <si>
    <t>Quarantine IPCA brand until approved</t>
  </si>
  <si>
    <t>E-Copy</t>
  </si>
  <si>
    <t>CC.2026.004/A</t>
  </si>
  <si>
    <t>CC.2026.004/B</t>
  </si>
  <si>
    <t>CC.2026.004/C</t>
  </si>
  <si>
    <t>CC.2026.004/D</t>
  </si>
  <si>
    <t>CC.2026.004/E</t>
  </si>
  <si>
    <t>CC.2026.004/F</t>
  </si>
  <si>
    <t>TRIH1 &amp; TRIH2</t>
  </si>
  <si>
    <t>Major</t>
  </si>
  <si>
    <t>IP/AA</t>
  </si>
  <si>
    <t>SB</t>
  </si>
  <si>
    <t>QA/QC</t>
  </si>
  <si>
    <t>Review formulations for all Trihexyphenidyl hydrochloride oral Suspensions batch manufacturing records.</t>
  </si>
  <si>
    <t>Update Trihexyphenidyl hydrochloride Oral Suspensions batch manufacturing records as per R&amp;D instructions.</t>
  </si>
  <si>
    <t>Approve batch manufacturing records for use in manufacturing products.</t>
  </si>
  <si>
    <t>Inform relevant customers of formulation update if necessary.</t>
  </si>
  <si>
    <t>Update Trihexyphenidyl hydrochloride Suspensions BMR by replacing Trihexyphenidyl 5mg tablets with Trihexyphenidyl Hydrochloride powder.</t>
  </si>
  <si>
    <t>Trihexyphenidyl Hydrochloride powder as an API form was not available in the required amount direct from Eaststone approved suppliers. Due to this reason, and as an alternative, Trihexyphenidyl Hydrochloride 5mg Tablets have been used in bespoke (unlicensed) extemporaneous liquid formulations to fulfil the supply of these products. 
Since Trihexyphenidyl Hydrochloride API powder is now available in required quantity and pack size from Eaststone’s current approved suppliers, this has been ordered by procurement department. 
Based on the above, R&amp;D department will review and update the formulations, if possible, for the current Trihexyphenidyl Hydrochloride Oral Suspension products.
R&amp;D Assessment: Trihexyphenidyl Hydrochloride 5mg Tablets contain Trihexyphenidyl Hydrochloride powder and other excipients which will be replaced with pure Trihexyphenidyl Hydrochloride powder in required amount in the product formulation. Scientifically, this is considered as a positive change in formulation and in final product.
As Trihexyphenidyl Hydrochloride API powder is now available, R&amp;D will review and update the product formulations using most recent scientific literature and in-house study based on pharmaceutical science.</t>
  </si>
  <si>
    <t>CC.2026.005/A</t>
  </si>
  <si>
    <t>IP/SB</t>
  </si>
  <si>
    <t>ENTA1</t>
  </si>
  <si>
    <t xml:space="preserve">The addition of new tablet brand, Mylan, of Entacapone  200mg Tablets used in the manufacturing of Entacapone oral suspensions </t>
  </si>
  <si>
    <t>As this is a new brand, this will need to be assessed by R&amp;D and confirm it’s compatibility with the current formulation of Entacapone suspensions prior to its use in manufacturing. This is required to confirm quality, safety, and efficacy of the product prior to supplying it to customers / patients.</t>
  </si>
  <si>
    <t>CC.2026.005/B</t>
  </si>
  <si>
    <t>CC.2026.005/C</t>
  </si>
  <si>
    <t>CC.2026.005/D</t>
  </si>
  <si>
    <t>CC.2026.005/E</t>
  </si>
  <si>
    <t>CC.2026.005/F</t>
  </si>
  <si>
    <t>Quarantine Mylan brand until approved</t>
  </si>
  <si>
    <t>CC.2026.006/A</t>
  </si>
  <si>
    <t>IP</t>
  </si>
  <si>
    <t>The equipment will be installed in the designated GMP manufacturing area and used for routine production and/or scale-up activities as defined in the approved URS. The change includes generation and approval of associated documentation, qualification activities, and operator training. 
The change introduces new GMP equipment impacting manufacturing operations and validation; however, it does not directly alter approved product formulations or specifications.</t>
  </si>
  <si>
    <t>Finalise URS &amp; supplier selection</t>
  </si>
  <si>
    <t>IP/SP</t>
  </si>
  <si>
    <t>Equipment delivery &amp; installation</t>
  </si>
  <si>
    <t>Production /
 QA</t>
  </si>
  <si>
    <t xml:space="preserve">IQ/OQ execution &amp; approval </t>
  </si>
  <si>
    <t>SOP approval &amp; training</t>
  </si>
  <si>
    <t>Production</t>
  </si>
  <si>
    <t>PQ / Blend uniformity study</t>
  </si>
  <si>
    <t>Production /
 QC</t>
  </si>
  <si>
    <t>QA release for use</t>
  </si>
  <si>
    <t>CC.2026.006/B</t>
  </si>
  <si>
    <t>CC.2026.006/C</t>
  </si>
  <si>
    <t>CC.2026.006/D</t>
  </si>
  <si>
    <t>CC.2026.006/E</t>
  </si>
  <si>
    <t>CC.2026.006/F</t>
  </si>
  <si>
    <t xml:space="preserve">Purchase, installation, qualification, and routine GMP use of a pharmaceutical Oscillating Granulator for size reduction and uniform sizing of wet and/or dry granules used in solid oral dosage form manufacturing.
</t>
  </si>
  <si>
    <t>The equipment will be installed in the designated GMP manufacturing area and operated in accordance with an approved User Requirement Specification (URS). Associated validation activities, SOP generation, and personnel training will be completed prior to routine use.
The Oscillating Granulator is required to:
•	Achieve consistent and controlled granule size distribution
•	Improve process efficiency and reproducibility
•	Support downstream processing (compression / encapsulation)
•	Replace or supplement existing granulation capability (if applicable)
•	Ensure GMP-compliant equipment design with improved cleanability and safety
The equipment will be qualified and validated before use; therefore, no adverse impact on product quality is anticipated.</t>
  </si>
  <si>
    <t xml:space="preserve">Purchase, installation, qualification and use of a new pharmaceutical Ribbon Blender for blending powders and granules used in solid oral dosage form manufacturing. This equipment is also designed to use in semi-solid pharmaceuticals products mixing.
</t>
  </si>
  <si>
    <t>CC.2026.007/A</t>
  </si>
  <si>
    <t>CC.2026.007/B</t>
  </si>
  <si>
    <t>CC.2026.007/C</t>
  </si>
  <si>
    <t>CC.2026.007/D</t>
  </si>
  <si>
    <t>CC.2026.007/E</t>
  </si>
  <si>
    <t>CC.2026.007/F</t>
  </si>
  <si>
    <t>PQ / granule size distribution</t>
  </si>
  <si>
    <t>QA release for routine use</t>
  </si>
  <si>
    <t>Inform all departments of updates completed</t>
  </si>
  <si>
    <t>MUA</t>
  </si>
  <si>
    <t>N</t>
  </si>
  <si>
    <t>Y</t>
  </si>
  <si>
    <t>Closed CC File</t>
  </si>
  <si>
    <t>Open CC File</t>
  </si>
  <si>
    <t>CC.2026.008/A</t>
  </si>
  <si>
    <t>HK</t>
  </si>
  <si>
    <t xml:space="preserve">The addition of new tablet brand, Manx Healthcare, of Carbimazole 20mg Tablets used in the manufacturing of CARBIMAZOLE ORAL SUSPENSION </t>
  </si>
  <si>
    <t>As this is a new brand, this will need to be assessed by R&amp;D and confirm it’s compatibility with the current formulation of CARBIMAZOLE ORAL SUSPENSION  prior to its use in manufacturing. This is required to confirm quality, safety, and efficacy of the product prior to supplying it to customers / patients.</t>
  </si>
  <si>
    <t>CARB10A, CARB10B,
 CARB12A, CARB12B</t>
  </si>
  <si>
    <t>CC.2026.008/B</t>
  </si>
  <si>
    <t>CC.2026.008/C</t>
  </si>
  <si>
    <t>CC.2026.008/D</t>
  </si>
  <si>
    <t>CC.2026.008/E</t>
  </si>
  <si>
    <t>CC.2026.008/F</t>
  </si>
  <si>
    <t>Quarantine Manx Healthcare Brand</t>
  </si>
  <si>
    <t>CC.2026.009</t>
  </si>
  <si>
    <t>NAD</t>
  </si>
  <si>
    <t>SOLI2</t>
  </si>
  <si>
    <t>SSP</t>
  </si>
  <si>
    <t>CC.2026.010/A</t>
  </si>
  <si>
    <t>CC.2026.010/B</t>
  </si>
  <si>
    <t>CC.2026.010/C</t>
  </si>
  <si>
    <t>CC.2026.010/D</t>
  </si>
  <si>
    <t>CC.2026.010/E</t>
  </si>
  <si>
    <t>CC.2026.010/F</t>
  </si>
  <si>
    <t>The addition of new tablet brands (Brown &amp; Burk and Relon chem) of Solifenacin 10mg used in the manufacturing of Solifenacin Oral Solution and Liquid.</t>
  </si>
  <si>
    <t>As this is a new brand, this will need to be assessed by R&amp;D and confirm its compatibility with the current formulation of Solifenacin Oral Solution and Liquid prior to its use in manufacturing. This is required to confirm quality, safety, and efficacy of the product prior to supplying it to customers / patients.</t>
  </si>
  <si>
    <t>Quarantine Brown &amp; Burk and Relon chem brands until approved</t>
  </si>
  <si>
    <t>Update the BMRs as per R&amp;D instructions</t>
  </si>
  <si>
    <t>Inform all departments of complete updates and inform customers if required</t>
  </si>
  <si>
    <t>SSP/CS</t>
  </si>
  <si>
    <t>MR</t>
  </si>
  <si>
    <t>HK/CS</t>
  </si>
  <si>
    <t>Purchase, installation, qualification, and use of a lab-scale pharmaceutical metal detector for detection of ferrous, non-ferrous, and stainless-steel contaminants in manufactured batch samples, including in-process controls, finished product testing, investigation samples, and retain samples.
The equipment will be used as part of routine Finished product and in-process samples from manufactured batches testing to support batch releasing activity where applicable. All associated activities including IQ/OQ (and PQ where required), SOP updates, method definition, user training, maintenance, and calibration will be implemented prior to routine use.</t>
  </si>
  <si>
    <t>Purchase, installation, qualification, and use of a lab-scale pharmaceutical metal detector</t>
  </si>
  <si>
    <t>Finalise URS, supplier selection &amp; purchase</t>
  </si>
  <si>
    <t>IQ/OQ execution &amp; approval</t>
  </si>
  <si>
    <t>Performance Qualification (PQ)</t>
  </si>
  <si>
    <t>SOP approval &amp; training completion</t>
  </si>
  <si>
    <t>IP / SP / JB</t>
  </si>
  <si>
    <t>Production / 
QA</t>
  </si>
  <si>
    <t>CC.2026.011/A</t>
  </si>
  <si>
    <t>CC.2026.011/B</t>
  </si>
  <si>
    <t>CC.2026.011/C</t>
  </si>
  <si>
    <t>CC.2026.011/D</t>
  </si>
  <si>
    <t>CC.2026.011/E</t>
  </si>
  <si>
    <t>CC.2026.011/F</t>
  </si>
  <si>
    <t>CC.2026.004/G</t>
  </si>
  <si>
    <t>CC.2026.004/H</t>
  </si>
  <si>
    <t>Perform R&amp;D trials to determine suitability.</t>
  </si>
  <si>
    <t>Stop purchasing Trihexyphenidyl hydrochloride 5mg Tablets unless there is a requirement.</t>
  </si>
  <si>
    <t>Update Product list with new shelf life of the 
products if required.</t>
  </si>
  <si>
    <t>Create scientific rationale if required.</t>
  </si>
  <si>
    <t>Hydroxychloroquine Suspension expiry increase</t>
  </si>
  <si>
    <t>HYDR26</t>
  </si>
  <si>
    <t>CC.2026.012/A</t>
  </si>
  <si>
    <t>CC.2026.012/B</t>
  </si>
  <si>
    <t>CC.2026.012/C</t>
  </si>
  <si>
    <t>CC.2026.012/D</t>
  </si>
  <si>
    <t>CC.2026.012/E</t>
  </si>
  <si>
    <t>Old Hydroxychloroquine Suspension 30 day expiry formulation will be replaced by 90 day formulation that is supported by data from in house studies</t>
  </si>
  <si>
    <t>Write and issue new version of Product Data Sheet</t>
  </si>
  <si>
    <t xml:space="preserve">Write and issue Hydroxychloroquine Scientific Rationale </t>
  </si>
  <si>
    <t>Write and issue new Hydroxchloroquine Suspension BMR version</t>
  </si>
  <si>
    <t xml:space="preserve">Inform Customer Services, Producion and Dispatch of changes to formulaiton </t>
  </si>
  <si>
    <t>Update Product list with any new information and expiry dates</t>
  </si>
  <si>
    <t>R&amp;D/QA</t>
  </si>
  <si>
    <t>CC.2026.013/A</t>
  </si>
  <si>
    <t>CC.2026.013/B</t>
  </si>
  <si>
    <t>CC.2026.013/C</t>
  </si>
  <si>
    <t>CC.2026.013/D</t>
  </si>
  <si>
    <t>CC.2026.013/E</t>
  </si>
  <si>
    <t>CC.2026.013/F</t>
  </si>
  <si>
    <t>CC.2026.013/G</t>
  </si>
  <si>
    <t>CC.2026.013/H</t>
  </si>
  <si>
    <t>Update Cyclizine Oral Suspension &amp; Cyclizine Suppositories Batch Manufacturing Records (BMRs) by replacing Cyclizine 50 mg tablets with Cyclizine hydrochloride powder (API).</t>
  </si>
  <si>
    <t>Update API and expiry of Cyclizine BMRs</t>
  </si>
  <si>
    <t>CYCL2, CYCL6 &amp; CYCL9</t>
  </si>
  <si>
    <t>QA/CS</t>
  </si>
  <si>
    <t>Review Cyclizine oral suspension &amp; Cyclizine Suppositories formulations</t>
  </si>
  <si>
    <t>Perform R&amp;D trials to confirm suitability.</t>
  </si>
  <si>
    <t>Update batch manufacturing records as per R&amp;D instructions.</t>
  </si>
  <si>
    <t>Stop purchasing Cyclizine 50 mg tablets unless required</t>
  </si>
  <si>
    <t>Update Product list with new shelf life of the products if required.</t>
  </si>
  <si>
    <t>Generate scientific rationale if required.</t>
  </si>
  <si>
    <t>Logbook Procedure Change</t>
  </si>
  <si>
    <t xml:space="preserve">Change to Lobook Procedure to incorporate more QA monitoring and review. All Logbooks at Eaststone need to be in the same format, risk based reviews and more controls to be added to Logbook and Lab book spreadsheet. </t>
  </si>
  <si>
    <t>ES.LOG.001-ES.LOG.083. ES.SOP.220</t>
  </si>
  <si>
    <t>Coproxamol tablets introduction</t>
  </si>
  <si>
    <t>Material Toxicity Assesment Matrix update</t>
  </si>
  <si>
    <t>CC.2026.016</t>
  </si>
  <si>
    <t>TOLT2</t>
  </si>
  <si>
    <t>Update TOLT2 into licenced BMR Format</t>
  </si>
  <si>
    <t>Effectiveness Check File</t>
  </si>
  <si>
    <t>AMIS1 &amp; AMIS5</t>
  </si>
  <si>
    <t>The addition of new tablet brand, Wyntra Pharmaceuticals of Amisulpride 400mg Tablets used in the manufacturing of Amisulpride oral suspensions</t>
  </si>
  <si>
    <t>As this is a new brand, this will need to be assessed by R&amp;D and confirm its compatibility with the current formulation of Amisulpride oral suspensions prior to its use in manufacturing. This is required to confirm quality, safety, and efficacy of the product prior to supplying it to customers / patients.</t>
  </si>
  <si>
    <t>CC.2026.018/A</t>
  </si>
  <si>
    <t>CC.2026.018/B</t>
  </si>
  <si>
    <t>CC.2026.018/C</t>
  </si>
  <si>
    <t>CC.2026.018/D</t>
  </si>
  <si>
    <t>CC.2026.018/E</t>
  </si>
  <si>
    <t>CC.2026.018/F</t>
  </si>
  <si>
    <t>Quarantine Wyntra Pharmaceuticals brand until approved</t>
  </si>
  <si>
    <t>CC.2026.018/G</t>
  </si>
  <si>
    <t>Inform all departments of complete updates</t>
  </si>
  <si>
    <t>CC.2026.017/A</t>
  </si>
  <si>
    <t>This change control is initiated to convert the existing unlicensed BMR for TOLT2 into a licensed BMR format. The change includes incorporation of license-specific details and applicable regulatory requirements into the BMR.
This change control covers the following actions:
•	Conversion of the TOLT2 BMR to the licensed BMR format- In Section 1 of the licensed BMR template to identify and document the clinical need to supply a licensed product.
•	Update the Clinical Need tab on the product list to reflect licensed status.</t>
  </si>
  <si>
    <t>Update TOLT2 BMR into licensed format.</t>
  </si>
  <si>
    <t>CC.2026.017/B</t>
  </si>
  <si>
    <t>CC.2026.017/C</t>
  </si>
  <si>
    <t>CC.2026.017/D</t>
  </si>
  <si>
    <t>CC.2026.017/E</t>
  </si>
  <si>
    <t>CC.2026.017/F</t>
  </si>
  <si>
    <t>CC.2026.017/G</t>
  </si>
  <si>
    <t>Approve and issue Licenced TOLT2 BMR</t>
  </si>
  <si>
    <t>Update the Product List using  
ES.SOP.201.F01.V03 - Product List Update Log</t>
  </si>
  <si>
    <t>Update clinical needs for TOLT2 on the product list 
when PIL/Licensed formulation is available</t>
  </si>
  <si>
    <t>Update TOLT2 BMR again once  
PIL/Licensed formulation is available, if required</t>
  </si>
  <si>
    <t>Approve and issue Licenced TOLT2 BMR, if required</t>
  </si>
  <si>
    <t>Update the Product List using  
ES.SOP.201.F01.V03 - Product List Update Log, if required</t>
  </si>
  <si>
    <t>CC.2026.019/A</t>
  </si>
  <si>
    <t>CC.2026.019/B</t>
  </si>
  <si>
    <t>CC.2026.019/C</t>
  </si>
  <si>
    <t>CC.2026.019/D</t>
  </si>
  <si>
    <t>CC.2026.019/E</t>
  </si>
  <si>
    <t>CC.2026.019/F</t>
  </si>
  <si>
    <t>CC.2026.019/G</t>
  </si>
  <si>
    <t>The addition of new tablet brand, Accord of Pregablin 300mg capsules used in the manufacturing of Pregabalin oral suspensions</t>
  </si>
  <si>
    <t>As this is a new brand, this will need to be assessed by R&amp;D and confirm its compatibility with the current formulation of Pregabalin oral suspensions prior to its use in manufacturing. This is required to confirm quality, safety, and efficacy of the product prior to supplying it to customers / patients.</t>
  </si>
  <si>
    <t>PREG1, PREG2, PREG3, PREG4,
 PREG5 &amp; PREG6</t>
  </si>
  <si>
    <t>R&amp;D to conduct assessment/trials and review
formulation</t>
  </si>
  <si>
    <t>Quarantine Accord brand
 until approved</t>
  </si>
  <si>
    <t>CC.2026.020/A</t>
  </si>
  <si>
    <t>The addition of new tablet brand, Brown &amp; Burk of Clobazam Tablets 10mg  used in the manufacturing of Clobazam oral suspensions</t>
  </si>
  <si>
    <t>As this is a new brand, this will need to be assessed by R&amp;D and confirm its compatibility with the current formulation of Clobazam oral suspensions prior to its use in manufacturing. This is required to confirm quality, safety, and efficacy of the product prior to supplying it to customers / patients.</t>
  </si>
  <si>
    <t>CLOB2, CLOB10</t>
  </si>
  <si>
    <t>Quarantine Brown &amp; Burk  brand
 until approved</t>
  </si>
  <si>
    <t>CC.2026.020/B</t>
  </si>
  <si>
    <t>CC.2026.020/C</t>
  </si>
  <si>
    <t>CC.2026.020/D</t>
  </si>
  <si>
    <t>CC.2026.020/E</t>
  </si>
  <si>
    <t>CC.2026.020/F</t>
  </si>
  <si>
    <t>CC.2026.020/G</t>
  </si>
  <si>
    <t>The addition of new tablet brand, Dawa of Primidone 2500mg  used in the manufacturing of Primidone oral suspensions</t>
  </si>
  <si>
    <t>As this is a new brand, this will need to be assessed by R&amp;D and confirm its compatibility with the current formulation of Primidone oral suspensions prior to its use in manufacturing. This is required to confirm quality, safety, and efficacy of the product prior to supplying it to customers / patients.</t>
  </si>
  <si>
    <t>PRIM1, PRIM2, PRIM3 &amp; PRIM4</t>
  </si>
  <si>
    <t>Introduction of a new contract laboratory ALS Laboratories which will be used for microbial testing of Midazolam (as HCl) 10mg/ml Buccal Solution Finished products and Stability samples.</t>
  </si>
  <si>
    <t>Using new contract laboratory for Midazolam testing</t>
  </si>
  <si>
    <t>CC.2026.023</t>
  </si>
  <si>
    <t>Reintroduction of MEXI3 BMR with 12 months shelf life</t>
  </si>
  <si>
    <t xml:space="preserve">The aforementioned product will now become an active BMR and product following the receipt of new orders and increased demand. The BMR will be updated to reflect the current expiry that Eaststone can give based on most recent stability data (12 months). </t>
  </si>
  <si>
    <t>MEXI3.V04</t>
  </si>
  <si>
    <t xml:space="preserve">Review and append stability data of 12 months for MEXI3 as justification for applying 12 months shelf life.
Update BMR MEXI3.V04 to V05 with update to product expiry date.
Update the product list with updated and correct product details.
Inform staff that the product is now available for manufacturing and distribution. </t>
  </si>
  <si>
    <t>CC.2026.021/A</t>
  </si>
  <si>
    <t>CC.2026.021/B</t>
  </si>
  <si>
    <t>CC.2026.021/C</t>
  </si>
  <si>
    <t>CC.2026.021/D</t>
  </si>
  <si>
    <t>CC.2026.021/E</t>
  </si>
  <si>
    <t>CC.2026.021/F</t>
  </si>
  <si>
    <t>CC.2026.021/G</t>
  </si>
  <si>
    <t>CC.2026.021/H</t>
  </si>
  <si>
    <t>Quarantine Dawa brand until approved</t>
  </si>
  <si>
    <t>R&amp;D to conduct assessment/trials and review 
formulation using ES.SOP.266.F01.</t>
  </si>
  <si>
    <t>Justify new brand approval for Primidone.</t>
  </si>
  <si>
    <t>Update the BMRs as per R&amp;D instructions.</t>
  </si>
  <si>
    <t>Approve the BMRs for use in manufacturing.</t>
  </si>
  <si>
    <t>Update the Critical Excipient List.</t>
  </si>
  <si>
    <t>Update the Product List using  ES.SOP.201.F01.V03 - Product List 
Update Log, if required.</t>
  </si>
  <si>
    <t>Inform all departments of updates completed.</t>
  </si>
  <si>
    <t xml:space="preserve"> annual calibration and maintenance of SBS Stability chamber AN474</t>
  </si>
  <si>
    <t>BMRs</t>
  </si>
  <si>
    <t>CC.2026.026</t>
  </si>
  <si>
    <t>Use of small labels for all products</t>
  </si>
  <si>
    <t>The addition of new tablet brand, Flamingo of Metformin 500mg  used in the manufacturing of Metformin oral suspensions</t>
  </si>
  <si>
    <t>As this is a new brand, this will need to be assessed by R&amp;D and confirm its compatibility with the current formulation of Metformin oral suspensions prior to its use in manufacturing. This is required to confirm quality, safety, and efficacy of the product prior to supplying it to customers / patients.</t>
  </si>
  <si>
    <t>METF1</t>
  </si>
  <si>
    <t>Quarantine Flamingo brand
 until approved</t>
  </si>
  <si>
    <t>Update the Product List using  
ES.SOP. 201.F01.V03 - Product List Update Log, if required</t>
  </si>
  <si>
    <t>CC.2026.027/A</t>
  </si>
  <si>
    <t>CC.2026.027/B</t>
  </si>
  <si>
    <t>CC.2026.027/C</t>
  </si>
  <si>
    <t>CC.2026.027/D</t>
  </si>
  <si>
    <t>CC.2026.027/E</t>
  </si>
  <si>
    <t>CC.2026.027/F</t>
  </si>
  <si>
    <t>CC.2026.027/G</t>
  </si>
  <si>
    <t>The addition of new tablet brand, IPCA of Metformin Hydrochloride 500mg  used in the manufacturing of Metformin oral suspensions</t>
  </si>
  <si>
    <t>Quarantine IPCA brand
 until approved</t>
  </si>
  <si>
    <t>CC.2026.028/A</t>
  </si>
  <si>
    <t>CC.2026.028/B</t>
  </si>
  <si>
    <t>CC.2026.028/C</t>
  </si>
  <si>
    <t>CC.2026.028/D</t>
  </si>
  <si>
    <t>CC.2026.028/E</t>
  </si>
  <si>
    <t>CC.2026.028/F</t>
  </si>
  <si>
    <t>CC.2026.028/G</t>
  </si>
  <si>
    <t>CC.2026.022/A</t>
  </si>
  <si>
    <t>CC.2026.022/B</t>
  </si>
  <si>
    <t>CC.2026.022/C</t>
  </si>
  <si>
    <t xml:space="preserve">Outsource activity provider approval </t>
  </si>
  <si>
    <t>Quotation request for validation and routine microbial 
testing of Midazolam.</t>
  </si>
  <si>
    <t>Send samples for Micro test validation.</t>
  </si>
  <si>
    <t>Obtain confirmation from ALS that microbiological test validation has been successfully completed 
and the laboratory is ready to receive routine samples for microbiological testing.</t>
  </si>
  <si>
    <t>QC</t>
  </si>
  <si>
    <t>CC.2026.029/A</t>
  </si>
  <si>
    <t>CC.2026.029/B</t>
  </si>
  <si>
    <t xml:space="preserve">The proposed change entails repackaging the Midazolam API Powder, originally supplied by APS in a large plastic drum, into a smaller suitable GMP- compliant container. </t>
  </si>
  <si>
    <t>The originally supplied container is not fully suitable for routine weighing or dispensing operations due to its size and weight. Typically, only small quantities of Midazolam Powder are required to fulfil individual orders and weighing very small quantities from the supplied container on the three-point scale is not operationally feasible. 
To minimise disruptions to manufacturing operations and ensure continued compliance with internal handling and weighing processes, the API must be repackaged into a smaller container that is compatible with existing weighing balances.
The proposed change will:
•	Enable efficient and safe material handling and weighing procedures.
•	Support continued compliance with GMP requirements during production.
•	Ensure complete and accurate reconciliation for dispensing controlled drugs 
•	Prevent operational inefficiencies, delays, or deviations that could affect product quality or workflow.
The proposed change presents minimal risk as the repackaging will involve only tertiary packaging, which does not come into direct contact with the product, ensuring there is no impact on product quality or safety. Additionally, the new container will be sourced from an approved supplier and the transfer will be conducted under controlled GMP conditions. 
Prior to use, the new container will undergo thorough cleaning to ensure adherence to hygiene and compliance standards. The change is not expected to adversely affect supply chain operations, logistics, or sales and it does not introduce any significant financial impact.</t>
  </si>
  <si>
    <t>Procure suitable smaller GMP compliant container, 
if required</t>
  </si>
  <si>
    <t>Repackage the Midazolam Powder into smaller, GMP-cleaned container under controlled GMP 
conditions, ensuring full traceability and proper labeling</t>
  </si>
  <si>
    <t>CC.2026.025/A</t>
  </si>
  <si>
    <t>CC.2026.025/B</t>
  </si>
  <si>
    <t>CC.2026.025/C</t>
  </si>
  <si>
    <t>CC.2026.025/D</t>
  </si>
  <si>
    <t>CC.2026.025/E</t>
  </si>
  <si>
    <t>CC.2026.025/F</t>
  </si>
  <si>
    <t>Minor BMR updates</t>
  </si>
  <si>
    <t>The proposed changes will be implemented to ensure:
•	All tablet &amp; capsule BMRs accurately reflect their sugar and lactose content derived from Patient Information Leaflets (PILs), where available
•	The correct salt/base name is stated in the header of the BMRs &amp; Product List.
•	All labels accurately reflect above changes.
The proposed change involves updating Batch Manufacturing Records (BMRs) to ensure continued accuracy, consistency and alignment with current internal procedures and applicable regulatory and GMP requirements.</t>
  </si>
  <si>
    <t>Collate PILs for all approved tablets and capsules.</t>
  </si>
  <si>
    <t>Create a new critical excipient list for approved tablets and capsules.</t>
  </si>
  <si>
    <t>Update all affected BMRs.</t>
  </si>
  <si>
    <t>Approve all affected BMRs.</t>
  </si>
  <si>
    <t>Update ES.SOP.119 – Generation, Review, Approval and Storage of
 New BMRs to reflect new procedures.</t>
  </si>
  <si>
    <t>AHA/SSP</t>
  </si>
  <si>
    <t>QA
/Production</t>
  </si>
  <si>
    <t>R&amp;D / QA 
Management</t>
  </si>
  <si>
    <t>During schedule maintenance and calibration of SBS stability chamber, temporary temperature and relative humidity excursions outside set conditions will occur. 
During servicing the following activities will be performed 
•	Calibration of probes
•	Mechanical inspection
The excursions are expected to be temporary and controlled.</t>
  </si>
  <si>
    <t>CC.2026.024/A</t>
  </si>
  <si>
    <t>CC.2026.024/B</t>
  </si>
  <si>
    <t>CC.2026.024/C</t>
  </si>
  <si>
    <t>CC.2026.024/D</t>
  </si>
  <si>
    <t>CC.2026.024/E</t>
  </si>
  <si>
    <t>Notify QC &amp; QA of maintenance schedule. 
Verbal &amp; email communication</t>
  </si>
  <si>
    <t>Review of current stability chamber inventory</t>
  </si>
  <si>
    <t>Attach Preventative Maintenance Report for SBS Stability Chamber 
•	Asset Number: 474 
•	Serial Number: 5799-5</t>
  </si>
  <si>
    <t>Certificate of Calibration for SBS Stability Chamber 
•	Asset Number: 474
•	Serial Number: 5799-5</t>
  </si>
  <si>
    <t>Record of environmental conditions,
•	Pre-Maintenance temperature and relative humidity condition.
•	Excursion of temperature and relative humidity.
•	Post-Maintenance temperature and relative humidity conditions.</t>
  </si>
  <si>
    <t>CC.2026.022/D</t>
  </si>
  <si>
    <t>Increase of expiry for Tacrolimus BMRs from 30 days to 90 days</t>
  </si>
  <si>
    <t>TACR1, TACR2</t>
  </si>
  <si>
    <t xml:space="preserve">Tacrolimus oral suspension BMRs will be affected by this change. The current formulation is an old formulation that will be replaced with the new formulations that have been developed after successful references and studies using the API Tacrolimus Hydrochloride. The BMRs that require updating are TACR1.V07, TACR2.V02. </t>
  </si>
  <si>
    <t>CC.2026.030/A</t>
  </si>
  <si>
    <t>CC.2026.030/B</t>
  </si>
  <si>
    <t>CC.2026.030/C</t>
  </si>
  <si>
    <t>CC.2026.030/D</t>
  </si>
  <si>
    <t>CC.2026.030/E</t>
  </si>
  <si>
    <t>CC.2026.031/A</t>
  </si>
  <si>
    <t>AM</t>
  </si>
  <si>
    <t>Validation of QC spreadsheets used for batch release and QMS spreadsheets</t>
  </si>
  <si>
    <t xml:space="preserve">An external audit identified that several QC spreadsheets currently used to calculate analytical data for produt release e.g. HPLC Assay and related substances have not undegone formal spreadsheet validation. </t>
  </si>
  <si>
    <t>CC.2026.031/B</t>
  </si>
  <si>
    <t>Approval and execution of spreadsheets which are
currently in draft/pre-approval stage</t>
  </si>
  <si>
    <t>CC.2026.031/C</t>
  </si>
  <si>
    <t>Identification and review of all high priority spreadsheets currently used in QC calculations which requires spreadsheet validation and QMS.</t>
  </si>
  <si>
    <t>N//A</t>
  </si>
  <si>
    <t>Review, update (if required), the current spreadsheet validation SOP (ES.SOP.231) and the Spreadsheet Validation protocol template (ES.SOP.231.F01) to improve and streamline the spreadsheet validation process. Where necessary, develop additional forms or templates to support effective implementation.</t>
  </si>
  <si>
    <t>Purshace new QC Freezer</t>
  </si>
  <si>
    <t>Purchase of newGMP QC freezer to store the QC Refrence Standards that require storing in (-15°C to -25°C).</t>
  </si>
  <si>
    <t>Update product list and Episys for
 all updated BMRs.</t>
  </si>
  <si>
    <t>CC.2026.033</t>
  </si>
  <si>
    <t>CC.2026.034/A</t>
  </si>
  <si>
    <t>CC.2026.034/B</t>
  </si>
  <si>
    <t>CC.2026.034/C</t>
  </si>
  <si>
    <t>CC.2026.034/D</t>
  </si>
  <si>
    <t>CC.2026.034/E</t>
  </si>
  <si>
    <t>CC.2026.034/F</t>
  </si>
  <si>
    <t>CC.2026.034/G</t>
  </si>
  <si>
    <t>The addition of new tablet brand, Sandoz of Ramipril 10mg used in the manufacturing of Ramipril  oral suspensions</t>
  </si>
  <si>
    <t>As this is a new brand, this will need to be assessed by R&amp;D and confirm its compatibility with the current formulation of Ramipril oral suspensions prior to its use in manufacturing. This is required to confirm quality, safety, and efficacy of the product prior to supplying it to customers / patients.</t>
  </si>
  <si>
    <t>RAMI2, RAMI3 &amp; RAMI4</t>
  </si>
  <si>
    <t>Update the Product List using  
ES.SOP. 201.F01.V03 - Product List Update Log, 
if required</t>
  </si>
  <si>
    <t>Quarantine Sandoz brand
 until approved</t>
  </si>
  <si>
    <t>The addition of new tablet brand, Ascend of Tamsulosin 400mcg used in the manufacturing of Ramipril  oral suspensions</t>
  </si>
  <si>
    <t>As this is a new brand, this will need to be assessed by R&amp;D and confirm its compatibility with the current formulation of Tamsulosin oral suspensions prior to its use in manufacturing. This is required to confirm quality, safety, and efficacy of the product prior to supplying it to customers / patients.</t>
  </si>
  <si>
    <t>TAMS2</t>
  </si>
  <si>
    <t>Quarantine Ascend brand
 until approved</t>
  </si>
  <si>
    <t>CC.2026.035/A</t>
  </si>
  <si>
    <t>CC.2026.035/B</t>
  </si>
  <si>
    <t>CC.2026.035/C</t>
  </si>
  <si>
    <t>CC.2026.035/D</t>
  </si>
  <si>
    <t>CC.2026.035/E</t>
  </si>
  <si>
    <t>CC.2026.035/F</t>
  </si>
  <si>
    <t>CC.2026.035/G</t>
  </si>
  <si>
    <t>CC.2026.014/A</t>
  </si>
  <si>
    <t>CC.2026.014/B</t>
  </si>
  <si>
    <t>CC.2026.014/C</t>
  </si>
  <si>
    <t>CC.2026.014/D</t>
  </si>
  <si>
    <t>CC.2026.014/E</t>
  </si>
  <si>
    <t xml:space="preserve">Perform a QA review of all active logbooks to check for data integrity issues, missing signatures and correction methods. Highlight any major problems to relevant department. </t>
  </si>
  <si>
    <t>This change introduces a formalised, risk-based process for the assessment of new and existing active pharmaceutical ingredients (APIs) to determine the need for commissioning of formal toxicological evaluations (PDE) in support of cleaning validation and cross-contamination control.</t>
  </si>
  <si>
    <t>ES.SOP.234
ES.SOP.168</t>
  </si>
  <si>
    <t>Create a User Requirements Specification (URS) for the new QC Freezer.</t>
  </si>
  <si>
    <t>Raise a Purchase Order (PO) for the procurement of a new QC freezer based on the approved User Requirements Specification (URS).</t>
  </si>
  <si>
    <t>Assign an asset number to the new QC freezer.</t>
  </si>
  <si>
    <t>Draft the Installation Qualification (IQ) and Operational Qualification (OQ) protocols for the new QC freezer.</t>
  </si>
  <si>
    <t>Execute the Installation Qualification (IQ) and Operational Qualification (OQ) for the new QC freezer to verify correct installation and confirm that the equipment operates according to the defined specifications.</t>
  </si>
  <si>
    <t>Install and configure the Comark temperature monitoring system for the new QC freezer to enable continuous temperature monitoring and alarm functionality.</t>
  </si>
  <si>
    <t>Draft the Performance Qualification (PQ) protocol for the new QC freezer.</t>
  </si>
  <si>
    <t>Execute the Performance Qualification (PQ) to verify that the new QC freezer consistently operates within the defined temperature range under normal operating conditions.</t>
  </si>
  <si>
    <t>AH</t>
  </si>
  <si>
    <t>CC.2026.032/A</t>
  </si>
  <si>
    <t>CC.2026.032/B</t>
  </si>
  <si>
    <t>CC.2026.032/C</t>
  </si>
  <si>
    <t>CC.2026.032/D</t>
  </si>
  <si>
    <t>CC.2026.032/E</t>
  </si>
  <si>
    <t>CC.2026.032/F</t>
  </si>
  <si>
    <t>CC.2026.032/G</t>
  </si>
  <si>
    <t>CC.2026.032/H</t>
  </si>
  <si>
    <t>EC 30JUN26</t>
  </si>
  <si>
    <t>This change control is initiated to convert the existing unlicensed BMR for MELA28 into a licensed BMR format. The change includes incorporation of license-specific details and applicable regulatory requirements into the BMR, as MHRA MA holder list was uppdated in Mars</t>
  </si>
  <si>
    <t>Change MELA28  BMR from unlicensed format to licensed format</t>
  </si>
  <si>
    <t>MELA28</t>
  </si>
  <si>
    <t>Change ALLO2  BMR from unlicensed format to licensed format</t>
  </si>
  <si>
    <t>This change control is initiated to convert the existing unlicensed BMR for ALLO2 into a licensed BMR format. The change includes incorporation of license-specific details and applicable regulatory requirements into the BMR, as MHRA MA holder list was uppdated in Mars</t>
  </si>
  <si>
    <t>ALLO2</t>
  </si>
  <si>
    <t>Implementation of vault zoning, restricted access, CCTV, and alarm systems to support secure storage and handling of controlled drugs.</t>
  </si>
  <si>
    <t>Implementation of registers, reconciliation, and traceability for Schedule 1 and Schedule 2 materials across receipt, storage, processing, and supply.</t>
  </si>
  <si>
    <t>CC.2026.038</t>
  </si>
  <si>
    <t>CC.2026.039</t>
  </si>
  <si>
    <t>CC.2026.040</t>
  </si>
  <si>
    <t>CC.2026.041</t>
  </si>
  <si>
    <t>Creation and update of SOPs, BMRs, logs, and records to support controlled drug handling and secondary processing.</t>
  </si>
  <si>
    <t>Verification of equipment, facility suitability, cleaning, and processing steps (weighing, filling, sealing, labelling).</t>
  </si>
  <si>
    <t>Definition of sampling, testing, specifications, and CoA assessment for Schedule 1 bulk and finished CBPMs.</t>
  </si>
  <si>
    <t>Training, competency assessment, and authorisation of staff handling Schedule 1 material and performing processing and release.</t>
  </si>
  <si>
    <t>RISK.2026.011</t>
  </si>
  <si>
    <t>RISK.2026.012</t>
  </si>
  <si>
    <t>RISK.2026.013</t>
  </si>
  <si>
    <t>RISK.2026.014</t>
  </si>
  <si>
    <t>Update MELA28 BMR into licensed format.</t>
  </si>
  <si>
    <t>Approve and issue Licensed MELA28 BMR</t>
  </si>
  <si>
    <t>Update the Product List using ES.SOP.201.F01.V03 - Product List Update Log</t>
  </si>
  <si>
    <t>Update clinical needs for MELA28 on the product list when PIL/Licensed formulation is available</t>
  </si>
  <si>
    <t>Update MELA28 BMR again once PIL/Licensed formulation is available, if required</t>
  </si>
  <si>
    <r>
      <t xml:space="preserve">Update the Product List using </t>
    </r>
    <r>
      <rPr>
        <sz val="10"/>
        <color theme="1"/>
        <rFont val="Times New Roman"/>
        <family val="1"/>
      </rPr>
      <t xml:space="preserve"> </t>
    </r>
    <r>
      <rPr>
        <sz val="9"/>
        <color theme="1"/>
        <rFont val="Arial"/>
        <family val="2"/>
      </rPr>
      <t>ES.SOP.201.F01.V03 - Product List Update Log</t>
    </r>
  </si>
  <si>
    <t>CC.2026.036/A</t>
  </si>
  <si>
    <t>CC.2026.036/B</t>
  </si>
  <si>
    <t>CC.2026.036/C</t>
  </si>
  <si>
    <t>CC.2026.036/D</t>
  </si>
  <si>
    <t>CC.2026.036/E</t>
  </si>
  <si>
    <t>CC.2026.036/F</t>
  </si>
  <si>
    <t>CC.2026.036/G</t>
  </si>
  <si>
    <t>CC.2026.037/A</t>
  </si>
  <si>
    <t>CC.2026.037/B</t>
  </si>
  <si>
    <t>CC.2026.037/C</t>
  </si>
  <si>
    <t>CC.2026.037/D</t>
  </si>
  <si>
    <t>CC.2026.037/E</t>
  </si>
  <si>
    <t>CC.2026.037/F</t>
  </si>
  <si>
    <t>CC.2026.037/G</t>
  </si>
  <si>
    <t>Update ALLO2 BMR into licensed format.</t>
  </si>
  <si>
    <t>Approve and issue Licensed ALLO2 BMR</t>
  </si>
  <si>
    <t>Update clinical needs for ALLO2 on the product list when PIL/Licensed formulation is available</t>
  </si>
  <si>
    <t>Update ALLO2 BMR again once PIL/Licensed formulation is available, if required</t>
  </si>
  <si>
    <t>Update and issue licensed ALLO2 BMR if require.</t>
  </si>
  <si>
    <t xml:space="preserve">The addition of new tablet brand, Milpharm of Olanzapine 20mg used in the manufacturing of OLANZAPINE ORAL SUSPENSION </t>
  </si>
  <si>
    <t>As this is a new brand, this will need to be assessed by R&amp;D and confirm its compatibility with the current formulation of OLANZAPINE ORAL SUSPENSION  prior to its use in manufacturing. This is required to confirm quality, safety, and efficacy of the product prior to supplying it to customers / patients.</t>
  </si>
  <si>
    <t>OLAN1, OLAN2</t>
  </si>
  <si>
    <t>CC.2026.043</t>
  </si>
  <si>
    <t>CC.2026.044</t>
  </si>
  <si>
    <t>Update to MEXI3 documents based on stability data</t>
  </si>
  <si>
    <t xml:space="preserve">The aforementioned product will have an increase in its expiry rom 12 months to 18 months based on the most recent stabiity testing results. </t>
  </si>
  <si>
    <t>MEXI3.V05</t>
  </si>
  <si>
    <t>Update QCM, Specification, Worksheet for MEXI3</t>
  </si>
  <si>
    <t>PRODUCTION</t>
  </si>
  <si>
    <t>CBPM PROJECT - SECURITY</t>
  </si>
  <si>
    <t>CBPM PROJECT - CONTROLLED DRUGS</t>
  </si>
  <si>
    <t>CBPM PROJECT - QMS UPDATES &amp; DOCUMENTATION</t>
  </si>
  <si>
    <t>CBPM PROJECT - VALIDATION</t>
  </si>
  <si>
    <t>CBPM PROJECT - QC &amp; STABILITY TESTING</t>
  </si>
  <si>
    <t>CBPM PROJECT - TRAINING</t>
  </si>
  <si>
    <t>CBPM PROJECT - VALIDATION - LOD OVEN</t>
  </si>
  <si>
    <t>CBPM PROJECT - VALIDATION - HEAT SEALING</t>
  </si>
  <si>
    <t>Quarantine Milpharm brand
 until approved</t>
  </si>
  <si>
    <t>Development and manufacture of pharmaceutical suspending vehicles:
•	Ora Plus
•	Ora Sweet
•	Ora Sweet Sugar Free (S/F)</t>
  </si>
  <si>
    <t>The current commercial suspending agents (Ora Plus, Ora Sweet and Ora Sweet Sugar-Free) supplied by the existing manufacturer will no longer be available as the manufacturer plans to cease supply during the middle of this year. This presents a potential risk to the continuity of compounding and manufacturing activities that rely on these suspending vehicles.
To ensure business continuity and uninterrupted patient supply, Eaststone Limited proposes to develop equivalent suspending agents in-house.</t>
  </si>
  <si>
    <t>EC due 09 Oct 26</t>
  </si>
  <si>
    <t>CC.2026.029/C</t>
  </si>
  <si>
    <t>CC.2026.029/D</t>
  </si>
  <si>
    <t>Dispose of the old continer and any excess powder, if applicable.</t>
  </si>
  <si>
    <t>Document the new weights in the Mdazolam 
powder logbook</t>
  </si>
  <si>
    <t>As this is a new brand, this will need to be assessed by R&amp;D and confirm its compatibility with the current formulation of TETRABENAZINE ORAL SUSPENSION  prior to its use in manufacturing. This is required to confirm quality, safety, and efficacy of the product prior to supplying it to customers / patients.</t>
  </si>
  <si>
    <t>TETR1, TETR2</t>
  </si>
  <si>
    <t>Quarantine Alliance brand
 until approved</t>
  </si>
  <si>
    <t>The addition of new tablet brand, Alliance of Xenazine (Tetrabenazine) 25mg tablets used in the manufacturing of Tetrabenazine  Oral Suspension</t>
  </si>
  <si>
    <t>HALO1, HALO2, HALO6</t>
  </si>
  <si>
    <t>The addition of new Solution brand (Essential Pharma Limited) of Haloperidol 2mg/ml used in the manufacturing of Haloperidol Oral Solution.</t>
  </si>
  <si>
    <t>As this is a new brand, this will need to be assessed by R&amp;D and confirm its compatibility with the current formulation of Haloperidol Oral Solution prior to its use in manufacturing. This is required to confirm quality, safety, and efficacy of the product prior to supplying it to customers / patients.</t>
  </si>
  <si>
    <r>
      <t xml:space="preserve">Quarantine </t>
    </r>
    <r>
      <rPr>
        <sz val="10"/>
        <color rgb="FF000000"/>
        <rFont val="Arial"/>
        <family val="2"/>
      </rPr>
      <t>Essential Pharma Limited</t>
    </r>
    <r>
      <rPr>
        <sz val="9"/>
        <color rgb="FF000000"/>
        <rFont val="Arial"/>
        <family val="2"/>
      </rPr>
      <t xml:space="preserve"> brands until approved</t>
    </r>
  </si>
  <si>
    <t>Update the Critical Excipient List</t>
  </si>
  <si>
    <t>Once updates are completed, inform all departments and notify customers if required.</t>
  </si>
  <si>
    <t>CC.2026.047/A</t>
  </si>
  <si>
    <t>CC.2026.047/B</t>
  </si>
  <si>
    <t>CC.2026.047/C</t>
  </si>
  <si>
    <t>CC.2026.047/D</t>
  </si>
  <si>
    <t>CC.2026.047/E</t>
  </si>
  <si>
    <t>CC.2026.047/F</t>
  </si>
  <si>
    <t>CC.2026.047/G</t>
  </si>
  <si>
    <t>CC.2026.048/A</t>
  </si>
  <si>
    <t>CC.2026.048/B</t>
  </si>
  <si>
    <t>CC.2026.048/C</t>
  </si>
  <si>
    <t>CC.2026.048/D</t>
  </si>
  <si>
    <t>CC.2026.048/E</t>
  </si>
  <si>
    <t>CC.2026.048/F</t>
  </si>
  <si>
    <t>The addition of new tablet brand, Viatris(Tolterodine) 2mg tablets used in the manufacturing of Tolterodine  Oral Suspension</t>
  </si>
  <si>
    <t>As this is a new brand, this will need to be assessed by R&amp;D and confirm its compatibility with the current formulation of Tolterodine  Oral Suspension  prior to its use in manufacturing. This is required to confirm quality, safety, and efficacy of the product prior to supplying it to customers / patients.</t>
  </si>
  <si>
    <t xml:space="preserve">TOLT2, TOLT4 </t>
  </si>
  <si>
    <t>Quarantine Viatris brand
 until approved</t>
  </si>
  <si>
    <t>CC.2026.049/A</t>
  </si>
  <si>
    <t>CC.2026.049/B</t>
  </si>
  <si>
    <t>CC.2026.049/C</t>
  </si>
  <si>
    <t>CC.2026.049/D</t>
  </si>
  <si>
    <t>CC.2026.049/E</t>
  </si>
  <si>
    <t>CC.2026.049/F</t>
  </si>
  <si>
    <t>CC.2026.049/G</t>
  </si>
  <si>
    <t>CC.2026.042/A</t>
  </si>
  <si>
    <t>CC.2026.042/B</t>
  </si>
  <si>
    <t>CC.2026.042/C</t>
  </si>
  <si>
    <t>CC.2026.042/D</t>
  </si>
  <si>
    <t>CC.2026.042/E</t>
  </si>
  <si>
    <t>CC.2026.042/F</t>
  </si>
  <si>
    <t>CC.2026.042/G</t>
  </si>
  <si>
    <t>CC.2026.045/A</t>
  </si>
  <si>
    <t>CC.2026.045/B</t>
  </si>
  <si>
    <t>PROF1</t>
  </si>
  <si>
    <t xml:space="preserve">Changing Chlorocresol to Phenoxyethanol in Proflavine Cream BMR. </t>
  </si>
  <si>
    <t>Chlorocresol Powder, which is used for manufacturing Proflavine 0.1% cream (PROF1) is no longer readily available on the market . The affected BMR’s are Proflavine 0.1% cream (PROF1) all pack Sizes
R&amp;D have advised this material (Chlorocresol) can be switched to Phenoxyethanol which is available on the market.</t>
  </si>
  <si>
    <t>R&amp;D</t>
  </si>
  <si>
    <t>SB/QC</t>
  </si>
  <si>
    <t>To change the approved service and maintenance supplier for the Manesty F3 Single Punch Tablet Press from Accumac Limited to Tab Tech GTS Limited.
The proposed supplier change includes transfer of responsibility for:
•	Preventive maintenance servicing
•	Breakdown support
•	Equipment maintenance support
•	Technical assistance and spare parts support where applicable</t>
  </si>
  <si>
    <t>Accumac Limited has historically provided maintenance and servicing support for approximately 14 years. The current contractor operating Accumac Limited is now taking full retirement and is no longer able to continue providing engineering support services.
The retiring contractor has recommended Tab Tech GTS Limited as a suitable replacement supplier capable of providing equivalent servicing standards, maintenance support, and future breakdown assistance for the Manesty F3 Single Punch Tablet Press.
No changes are proposed to:
•	Equipment design or operation
•	Manufacturing process
•	Product formulation
•	Validated process parameters
This change is limited to replacement of the external engineering service provider only.</t>
  </si>
  <si>
    <t>Update approved supplier list if applicable and
 production equipment maintenance list</t>
  </si>
  <si>
    <t>Arrange service handover and onboarding</t>
  </si>
  <si>
    <t>File supporting supplier documentation</t>
  </si>
  <si>
    <t>Monitor initial maintenance/service visit performance</t>
  </si>
  <si>
    <t>CC.2026.051/A</t>
  </si>
  <si>
    <t>CC.2026.051/B</t>
  </si>
  <si>
    <t>CC.2026.051/C</t>
  </si>
  <si>
    <t>CC.2026.051/D</t>
  </si>
  <si>
    <t>CC.2026.051/E</t>
  </si>
  <si>
    <t xml:space="preserve">QA/
Production </t>
  </si>
  <si>
    <t>Update BMR</t>
  </si>
  <si>
    <t>AHU</t>
  </si>
  <si>
    <t>Eaststone Limited proposes to commence in house manufacture of Co Proxamol Tablets at the Eaststone Limited facility. The product is currently supplied as a finished unlicensed medicine on a buy and sell/wholesale basis. Eaststone Limited holds a Manufacturing Specials License that permits manufacture of this product. The proposed change introduces full in house manufacturing activities including procurement of raw materials, granulation (if applicable), blending, compression, packaging, quality control testing, batch certification, and distribution in accordance with UK GMP requirements applicable to unlicensed medicines.</t>
  </si>
  <si>
    <t>Eaststone Limited proposes to commence in house man ufacture of Co Proxamol Tablets at the Eaststone Limited facility. The product is currently supplied as a finished unlicensed medicine on a buy and sell/wholesale basis. Eaststone Limited holds a Manufacturing Specials License that permits manufacture of this product. The proposed change introduces full in house manufacturing activities including procurement of raw materials, granulation (if applicable), blending, compression, packaging, quality control testing, batch certification, and distribution in accordance with UK GMP requirements applicable to unlicensed medicines.</t>
  </si>
  <si>
    <t>Eaststone Limited proposes to commence in house manufacture of Co Proxamol Tablets at the Eaststone Limited facility. The product is currently supplied as a finished unlicensed medicine on a buy and sell/wholesale basis. Eaststone Limited holds a Manufacturing Specials License that permits manufacture of this product. The proposed change introduces full in house manufacturing activities including procurement of raw materials, granulation (if applicable), blending, compression, packaging, quality control testing, batch certification, and distribution in accordance with UK GMP requirements applicable to unlicensed medicines .</t>
  </si>
  <si>
    <t>CC.2026.015/A</t>
  </si>
  <si>
    <t>CC.2026.015/B</t>
  </si>
  <si>
    <t>CC.2026.015/C</t>
  </si>
  <si>
    <t>CC.2026.015/D</t>
  </si>
  <si>
    <t>CC.2026.015/E</t>
  </si>
  <si>
    <t>CC.2026.015/F</t>
  </si>
  <si>
    <t>CC.2026.015/G</t>
  </si>
  <si>
    <t>Complete the purchase of identified equipment and materials.</t>
  </si>
  <si>
    <t>IOQ Execution &amp; approval</t>
  </si>
  <si>
    <t>Write &amp; approve BMR and initiate PV protocols</t>
  </si>
  <si>
    <t>Materials testing &amp; initiation of equipment IOQ based on 
in-house procedure.</t>
  </si>
  <si>
    <t xml:space="preserve"> Perform R&amp;D trials and engineering batch as needed.</t>
  </si>
  <si>
    <t>Perform PV and initiate stability studies (if required)</t>
  </si>
  <si>
    <t>Staff training and initiate batch Production</t>
  </si>
  <si>
    <t>IP/WA</t>
  </si>
  <si>
    <t>Production/
QA</t>
  </si>
  <si>
    <t>Production /
 QC / QA</t>
  </si>
  <si>
    <t>REGS CC - CBPM MS</t>
  </si>
  <si>
    <t>REGS CC - CBPM WDA(H)</t>
  </si>
  <si>
    <t>Hyoscine Butylbromide Suspension expiry increase</t>
  </si>
  <si>
    <t>Hyoscine butylbromide oral suspension BMRs will be affected with this change. The current formulation is an old formulation that will be replaced with the new formulations. These new formulations have been developed using tablets. Trials were conducted and were observed for up to 90 days at room temperature. All the Quality attributes were studied and found satisfactory when the study terminated. The BMR requires updating is HYOS1 V09 &amp; HYOS4 V08.</t>
  </si>
  <si>
    <t>HYOS1.V09 &amp; HYOS4.V08</t>
  </si>
  <si>
    <t>Update PHEN5 BMR to licenced template based on March MA</t>
  </si>
  <si>
    <t>Update MA process</t>
  </si>
  <si>
    <t>HK,</t>
  </si>
  <si>
    <t>CC.2026.060</t>
  </si>
  <si>
    <t>Create new SOP and Form for Material Hazard &amp; Cleanability Screening Assessment
Update ES.SOP.234 - Cleaning Validation &amp; Verification to reference the new screening assessment and PDE decision framework.
Update ES.SOP.168 – Cleaning Verification to reflect new procedure
Raise and approve a Quality Risk Assessment for implementation of the new screening process, including trial of the proposed matrix using known materials and proposed thresholds, and scoring system rationale.
Compile a complete list of all APIs currently used in manufacturing processes onsite.
Train QA/QC personnel on the new assessment process and decision thresholds
Update ES.SOP.154.F01 &amp; F02 – Customer Enquiry process  to reference Material Hazard &amp; Cleanability Screening Assessment, and ensure its completion prior to introduction of any new materials. 
Update ES.SOP.066 – Purchase and Release Specification Forms to reference Material Hazard &amp; Cleanability Screening Assessment, and ensure its completion prior to introduction of any new materials. 
Perform screening assessments for all identified APIs using the new controlled form
Update product selection matrix and worst-case lists to reflect screening outputs</t>
  </si>
  <si>
    <t xml:space="preserve">Update to CV method and new worksheet for Haloperidol </t>
  </si>
  <si>
    <t>This change control is initiated to convert the existing unlicensed BMR for PHEN5 into a licensed BMR format. The change includes incorporation of license-specific details and applicable regulatory requirements into the BMR.
This change control covers the following actions:
•	Conversion of the PHEN5 BMR to the licensed BMR format- In section 1 of the licensed BMR template to identify and document the clinical need to supply a licensed product.
•	Update of the BMR header to include applicable product characteristics.
•	Update of the Clinical Need tab on the product list to reflect licensed status.</t>
  </si>
  <si>
    <t>PHEN5</t>
  </si>
  <si>
    <t>CC.2026.057/A</t>
  </si>
  <si>
    <t>CC.2026.057/B</t>
  </si>
  <si>
    <t>Update PHEN5 BMR into licensed format.</t>
  </si>
  <si>
    <t xml:space="preserve">Approve and issue Licensed PHEN5 BMR </t>
  </si>
  <si>
    <t>Update clinical needs for PHEN5 on the product list when PIL/Licensed formulation is available</t>
  </si>
  <si>
    <t>Update PHEN5 BMR again once PIL/Licensed formulation is available, if required</t>
  </si>
  <si>
    <t>CC.2026.057/C</t>
  </si>
  <si>
    <t>CC.2026.057/D</t>
  </si>
  <si>
    <t>CC.2026.057/E</t>
  </si>
  <si>
    <t>CC.2026.057/F</t>
  </si>
  <si>
    <t>CC.2026.057/G</t>
  </si>
  <si>
    <t>Approve and issue Licensed PHEN5 BMR, if required</t>
  </si>
  <si>
    <t>EC DUE 30NOV26</t>
  </si>
  <si>
    <t>This change introduces additional requirements for documenting and verifying the completion of the Marketing Authorisation list review process.
This change includes the following updates:
•	A hard-printed copy shall be retained as documented evidence that the check has been completed. This copy shall be filed within the Marketing Authorisation list folder. 
•	A member of QA shall review, sign, and date the printed list to confirm that the check has been completed and that all relevant physical evidence has been appropriately retained. 
•	The signed documentation shall then be reviewed by QA Management and subsequently filed and dated in accordance with established document control procedures.</t>
  </si>
  <si>
    <t>CC.2026.058/A</t>
  </si>
  <si>
    <t>ES.SOP.201.V15</t>
  </si>
  <si>
    <t>Update ES.SOP.201- Reflect proposed changes in section 7.3.</t>
  </si>
  <si>
    <t>Create and maintain a dedicated physical folder for MA list.</t>
  </si>
  <si>
    <t>CC.2026.058/B</t>
  </si>
  <si>
    <t>BMR updates</t>
  </si>
  <si>
    <t>CC.2026.056/A</t>
  </si>
  <si>
    <t>CC.2026.054</t>
  </si>
  <si>
    <t>CC.2026.055</t>
  </si>
  <si>
    <t>CC.2026.056/B</t>
  </si>
  <si>
    <t>CC.2026.056/C</t>
  </si>
  <si>
    <t>CC.2026.056/D</t>
  </si>
  <si>
    <t>CC.2026.056/E</t>
  </si>
  <si>
    <t>CC.2026.059/A</t>
  </si>
  <si>
    <t>All Diazepam BMRs will be temporarily changed from API powder to tablets.</t>
  </si>
  <si>
    <t>The active raw material/powder is currently unavailable due to ongoing supply chain constraints. Therefore, the proposed change is required to ensure continuity of supply and to prevent interruption to patient treatment.
Therefore, tablet brands procured as part of this change will undergo a formal assessment and approval process, where not previously approved, to verify suitability for use. This assessment will include evaluation of the excipients, any potential impact on product quality, safety, efficacy, and manufacturing processes prior to implementation.</t>
  </si>
  <si>
    <t>DIAZ1A – ES448.V11 
DIAZ1B – ES2327.V02
DIAZ2A –  ES074.V10 
DIAZ2B – ES2328.V02
DIAZ5 – ES712.V05
DIAZ8 – ES1422.V04
DIAZ9 – ES1493.V09
DIAZ12 – ES2384.V01</t>
  </si>
  <si>
    <t>CC.2026.059/B</t>
  </si>
  <si>
    <t>CC.2026.059/C</t>
  </si>
  <si>
    <t>CC.2026.059/D</t>
  </si>
  <si>
    <t>CC.2026.059/E</t>
  </si>
  <si>
    <t>CC.2026.059/F</t>
  </si>
  <si>
    <t>CC.2026.059/G</t>
  </si>
  <si>
    <t>CC.2026.059/H</t>
  </si>
  <si>
    <t>CC.2026.059/I</t>
  </si>
  <si>
    <t>CC.2026.059/J</t>
  </si>
  <si>
    <t>Procure Diazepam 10mg Tablets.</t>
  </si>
  <si>
    <t>Perform tablet brand assessment, if required.</t>
  </si>
  <si>
    <t>Issue all affected BMRs.</t>
  </si>
  <si>
    <t>Update product list, if required.</t>
  </si>
  <si>
    <t>Once powder is readily available, update all 
affected BMRs from tablets to powder</t>
  </si>
  <si>
    <t>WA/QA</t>
  </si>
  <si>
    <t>CC.2026.053/A</t>
  </si>
  <si>
    <t xml:space="preserve">All raw materials received in large drums or cardboard boxes that are unsuitable for direct use in production must be transferred into approved Polypropylene plastic tubs. The transfer must be performed in a controlled area following approved procedures, ensuring that the Polypropylene tubs are clean, appropriately labelled with GMP-compliant information, and that full traceability to the original manufacturer batch is maintained.
The transfer will be controlled by QC department and the procedure will be detailed in ES.SOP.066.
The transfer will be witnessed and verified by a second analyst.
For all CD raw materials, QA will oversee the transfer and another QA personnel will witness and verify this activity. </t>
  </si>
  <si>
    <t xml:space="preserve">Transfer of raw materials unsuitable to be stored and handled in production from manufacturer-supplied secondary/tertiary packaging into approved Polypropylene plastic tubs (used solely as secondary/tertiary packaging, the raw material will not be in direct contact with the containers we transfer into). </t>
  </si>
  <si>
    <t>ES.SOP.066.V20 - Raw Materials &amp; Primary Packaging Ordering, Receipt, QC Release &amp; Storage</t>
  </si>
  <si>
    <t>CC.2026.053/B</t>
  </si>
  <si>
    <t>CC.2026.053/C</t>
  </si>
  <si>
    <t>CC.2026.053/D</t>
  </si>
  <si>
    <t>CC.2026.053/E</t>
  </si>
  <si>
    <t>Source production safe suitable sized containers.</t>
  </si>
  <si>
    <t>Source production safe labelling that is durable
 and permanently affixed.</t>
  </si>
  <si>
    <t>Create a PRS for the Secondary/Tertiary packaging</t>
  </si>
  <si>
    <t>Change secondary/tertiary packaging for existing released 
materials in production/raw materials room.</t>
  </si>
  <si>
    <t>Update ES.SOP.066 to include new process for transferring raw material into 
suitable containers also include what qualifies for transfer.</t>
  </si>
  <si>
    <t>QC/QA</t>
  </si>
  <si>
    <t>CC.2026.062/A</t>
  </si>
  <si>
    <t>The addition of two new tablets brands (Crescent &amp; Key Pharmaceuticals) of Anastrazole 1mg used in the manufacturing of Anastrazole Oral Suspensions.</t>
  </si>
  <si>
    <t>As these are new brands, they will need to be assessed by R&amp;D and confirm their compatibility with the current formulation of Anastrazole Oral Suspensions prior to their use in manufacturing. This is required to confirm quality, safety and efficacy of the product prior to supplying it to customers / patients.</t>
  </si>
  <si>
    <t>ES2281.V02 – ANAS1</t>
  </si>
  <si>
    <t>CC.2026.062/B</t>
  </si>
  <si>
    <t>CC.2026.062/C</t>
  </si>
  <si>
    <t>CC.2026.062/D</t>
  </si>
  <si>
    <t>CC.2026.062/E</t>
  </si>
  <si>
    <t>CC.2026.062/F</t>
  </si>
  <si>
    <t>CC.2026.062/G</t>
  </si>
  <si>
    <t>Quarantine Crescent &amp; Key Pharmaceuticals 
brands until approved.</t>
  </si>
  <si>
    <t>R&amp;D to conduct assessment/trials and 
review formulation.</t>
  </si>
  <si>
    <t>Update the product list using ES.SOP.201.F01 – 
Product List update log, if required.</t>
  </si>
  <si>
    <t>Once updates are completed, inform all 
departments and notify customers if required.</t>
  </si>
  <si>
    <t>CC.2026.063</t>
  </si>
  <si>
    <t>QC Inhouse Testing for CBPMs</t>
  </si>
  <si>
    <t>To introduce the use of Aspirin powder as an alternative starting material in the preparation of unlicensed special medicinal products, in place of Aspirin 300mg tablets, due to intermittent availability of the finished tablet product.</t>
  </si>
  <si>
    <t>Aspirin 300mg tablets are not consistently available in the supply chain, which has resulted in intermittent inability to fulfil patient prescriptions for unlicensed specials in a timely manner.
The use of Aspirin powder will help ensure continuity of supply and prevent treatment delays for patients requiring this product.
Both materials contain the same active ingredient; however, formulation differences will be controlled through established manufacturing procedures and appropriate GMP controls.
This change is considered necessary to maintain patient access and operational continuity.</t>
  </si>
  <si>
    <t>ASPI2, ASPI3, ASPI4</t>
  </si>
  <si>
    <t>CC.2026.064/A</t>
  </si>
  <si>
    <t>Source suitable Aspirin Powder
 using approved supplier.</t>
  </si>
  <si>
    <t>Review formulations for all live Aspirin product.</t>
  </si>
  <si>
    <t>Perform R&amp;D trials using Aspirin Powder
 to determine suitability.</t>
  </si>
  <si>
    <t>Update all live Aspirin batch manufacturing 
records as per R&amp;D instructions.</t>
  </si>
  <si>
    <t>Approve batch manufacturing records for 
use in manufacturing products.</t>
  </si>
  <si>
    <t>Stop purchasing Aspirin 300mg Tablets 
unless there is a requirement.</t>
  </si>
  <si>
    <t>Inform relevant customers of 
formulation update if necessary.</t>
  </si>
  <si>
    <t>Update Product list with new shelf 
life of the products if required.</t>
  </si>
  <si>
    <t>IP / AA</t>
  </si>
  <si>
    <t>CC.2026.064/B</t>
  </si>
  <si>
    <t>CC.2026.064/C</t>
  </si>
  <si>
    <t>CC.2026.064/D</t>
  </si>
  <si>
    <t>CC.2026.064/E</t>
  </si>
  <si>
    <t>CC.2026.064/F</t>
  </si>
  <si>
    <t>CC.2026.064/G</t>
  </si>
  <si>
    <t>CC.2026.064/H</t>
  </si>
  <si>
    <t>CC.2026.064/I</t>
  </si>
  <si>
    <t>The addition of two new tablets brands (Zydus) of Tetrabenazine 25mg used in the manufacturing of Tetrabenazine Oral Suspensions.</t>
  </si>
  <si>
    <t>CC.2026.065/A</t>
  </si>
  <si>
    <t>CC.2026.065/B</t>
  </si>
  <si>
    <t>CC.2026.065/C</t>
  </si>
  <si>
    <t>CC.2026.065/D</t>
  </si>
  <si>
    <t>CC.2026.065/E</t>
  </si>
  <si>
    <t>CC.2026.065/F</t>
  </si>
  <si>
    <t>CC.2026.065/G</t>
  </si>
  <si>
    <t>As these are new brands, they will need to be assessed by R&amp;D and confirm their compatibility with the current formulation of Tetrabenazine Oral Suspensions prior to their use in manufacturing. This is required to confirm quality, safety and efficacy of the product prior to supplying it to customers / patients.</t>
  </si>
  <si>
    <t>TETR1, TETR3, TETR4</t>
  </si>
  <si>
    <t>Quarantine Zydus
brands until approved.</t>
  </si>
  <si>
    <t>INHOUSE QC TESTING</t>
  </si>
  <si>
    <t>CC.2026.066</t>
  </si>
  <si>
    <t>NEW GMP CLEANROOM (CBPM)</t>
  </si>
  <si>
    <t>PRIM4 BMR UPDATE - UNLICENSED TO LICENSED</t>
  </si>
  <si>
    <t>PRIM4</t>
  </si>
  <si>
    <t>CC.2026.068/A</t>
  </si>
  <si>
    <t>The addition of a new tablet brand (Medreich) of Losartan Potassium 100mg used in the manufacturing of Losartan Potassium Oral Suspensions</t>
  </si>
  <si>
    <t>LOSA1, LOS2A, LOSA2B, LOSA3</t>
  </si>
  <si>
    <t>Quarantine Medreich brand until approved.</t>
  </si>
  <si>
    <t>CC.2026.068/B</t>
  </si>
  <si>
    <t>CC.2026.068/C</t>
  </si>
  <si>
    <t>CC.2026.068/D</t>
  </si>
  <si>
    <t>CC.2026.068/E</t>
  </si>
  <si>
    <t>CC.2026.068/F</t>
  </si>
  <si>
    <t>CC.2026.068/G</t>
  </si>
  <si>
    <t>As these are new brands, they will need to be assessed by R&amp;D and confirm their compatibility with the current formulation of Losartan Potassium Oral Suspensions prior to their use in manufacturing. This is required to confirm quality, safety and efficacy of the product prior to supplying it to customers / patients.</t>
  </si>
  <si>
    <t>CC.2026.069</t>
  </si>
  <si>
    <t xml:space="preserve">Diligence 600 Series for Environmental Monitoring: </t>
  </si>
  <si>
    <t>CC.2026.067/A</t>
  </si>
  <si>
    <t>CC.2026.067/B</t>
  </si>
  <si>
    <t>CC.2026.067/C</t>
  </si>
  <si>
    <t>CC.2026.067/D</t>
  </si>
  <si>
    <t>CC.2026.067/E</t>
  </si>
  <si>
    <t>CC.2026.067/F</t>
  </si>
  <si>
    <t>CC.2026.067/G</t>
  </si>
  <si>
    <t>This change control is initiated to convert the existing unlicensed BMR for PRIM4 into a licensed BMR format. The change includes incorporation of license-specific details and applicable regulatory requirements into the BMR.</t>
  </si>
  <si>
    <t>Update PRIM4 BMR into licensed format.</t>
  </si>
  <si>
    <t xml:space="preserve">Approve and issue Licensed PRIM4 BMR </t>
  </si>
  <si>
    <t>Update clinical needs for PRIM4 on the product list when PIL/Licensed formulation is available</t>
  </si>
  <si>
    <t>Update PRIM4 BMR again once PIL/Licensed formulation is available, if required</t>
  </si>
  <si>
    <t>Approve and issue Licensed PRIM4 BMR, if required</t>
  </si>
  <si>
    <r>
      <t xml:space="preserve">Update the Product List using </t>
    </r>
    <r>
      <rPr>
        <sz val="10"/>
        <color theme="1"/>
        <rFont val="Times New Roman"/>
        <family val="1"/>
      </rPr>
      <t>ES.SOP</t>
    </r>
    <r>
      <rPr>
        <sz val="9"/>
        <color theme="1"/>
        <rFont val="Arial"/>
        <family val="2"/>
      </rPr>
      <t>.201.F01.V03 - Product List Update Log</t>
    </r>
  </si>
  <si>
    <t>The addition of a new tablet brand (Cipla) of Finasteride 5mg used in the manufacturing of Finasteride Oral Suspensions</t>
  </si>
  <si>
    <t>CC.2026.070/A</t>
  </si>
  <si>
    <t>As these are new brands, they will need to be assessed by R&amp;D and confirm their compatibility with the current formulation of Finasteride Oral Suspensions prior to their use in manufacturing. This is required to confirm quality, safety and efficacy of the product prior to supplying it to customers / patients.</t>
  </si>
  <si>
    <t>FINA1</t>
  </si>
  <si>
    <t>Quarantine Cipla brand until approved.</t>
  </si>
  <si>
    <t>CC.2026.070/B</t>
  </si>
  <si>
    <t>CC.2026.070/C</t>
  </si>
  <si>
    <t>CC.2026.070/D</t>
  </si>
  <si>
    <t>CC.2026.070/E</t>
  </si>
  <si>
    <t>CC.2026.070/F</t>
  </si>
  <si>
    <t>CC.2026.070/G</t>
  </si>
  <si>
    <t>Update the product list using ES.SOP.201.F01 – Product List update log, if required.</t>
  </si>
  <si>
    <t>R&amp;D to conduct assessment/trials and review formulation.</t>
  </si>
  <si>
    <t>CC.2026.050/A</t>
  </si>
  <si>
    <t>CC.2026.050/B</t>
  </si>
  <si>
    <t>CC.2026.050/C</t>
  </si>
  <si>
    <t>CC.2026.050/D</t>
  </si>
  <si>
    <t>CC.2026.050/E</t>
  </si>
  <si>
    <t>Complete supplier assessment/
approval for Tab 
Tech GTS Limited</t>
  </si>
  <si>
    <t>Confirm approved source and availability of Phenoxyethanol, raise material approval documentation as applicable, and ensure stock is available for implementation batch.</t>
  </si>
  <si>
    <t>Complete trials for replacement of Chlorocresol with Phenoxyethanol, if required.</t>
  </si>
  <si>
    <t>Update PDS for Proflavine Hemisulphate 0.1% cream, if required.</t>
  </si>
  <si>
    <t xml:space="preserve">R&amp;D/QA </t>
  </si>
  <si>
    <t>Update PROF1 BMR based on R&amp;D instructions.</t>
  </si>
  <si>
    <t>Issue updated PROF1 BMR.</t>
  </si>
  <si>
    <t>CC.2026.050/F</t>
  </si>
  <si>
    <t>CC.2026.050/G</t>
  </si>
  <si>
    <t>Update product list using ES.SOP.201.F01, if required.</t>
  </si>
  <si>
    <t>Communicate formulation change to customers 
including Medisource.</t>
  </si>
  <si>
    <t>Procurement
/CS/QA</t>
  </si>
  <si>
    <t>EC DUE 01 JAN 27</t>
  </si>
  <si>
    <t>New 24 hour monitoring system for temperature and humidity</t>
  </si>
  <si>
    <t xml:space="preserve">Creat URS, PERFORM IOPQ, </t>
  </si>
  <si>
    <t>EC DUE 31DEC26</t>
  </si>
  <si>
    <t>As these are new brands, they will need to be assessed by R&amp;D and confirm their compatibility with the current formulation of Topiramate Oral Suspension  prior to their use in manufacturing. This is required to confirm quality, safety and efficacy of the product prior to supplying it to customers / patients.</t>
  </si>
  <si>
    <t>TOPI12, TOPI13, TOPI14</t>
  </si>
  <si>
    <t xml:space="preserve">The addition of a new tablet brand (Glenmark) of Topiramate  200mg used in the manufacturing of  Topiramate Oral Suspension </t>
  </si>
  <si>
    <t>CC.2026.071/A</t>
  </si>
  <si>
    <t>CC.2026.071/B</t>
  </si>
  <si>
    <t>CC.2026.071/C</t>
  </si>
  <si>
    <t>CC.2026.071/D</t>
  </si>
  <si>
    <t>CC.2026.071/E</t>
  </si>
  <si>
    <t>CC.2026.071/F</t>
  </si>
  <si>
    <t>CC.2026.071/G</t>
  </si>
  <si>
    <t>Quarantine Glenmark brand until approved.</t>
  </si>
  <si>
    <t>EC DUE 07 NOV 26</t>
  </si>
  <si>
    <t>As these are new brands, they will need to be assessed by R&amp;D and confirm their compatibility with the current formulation of Clindamicin Oral Suspension  prior to their use in manufacturing. This is required to confirm quality, safety and efficacy of the product prior to supplying it to customers / patients.</t>
  </si>
  <si>
    <t xml:space="preserve">The addition of a new tablet brand (Brown&amp;Burk) of Clindamicin  150mg used in the manufacturing of  Clindamicin Oral Suspension </t>
  </si>
  <si>
    <t>CLIN2</t>
  </si>
  <si>
    <t>Quarantine Brown &amp; Burk brand until approved.</t>
  </si>
  <si>
    <t>CC.2026.072/A</t>
  </si>
  <si>
    <t>CC.2026.072/B</t>
  </si>
  <si>
    <t>CC.2026.072/C</t>
  </si>
  <si>
    <t>CC.2026.072/D</t>
  </si>
  <si>
    <t>CC.2026.072/E</t>
  </si>
  <si>
    <t>CC.2026.072/F</t>
  </si>
  <si>
    <t>CC.2026.072/G</t>
  </si>
  <si>
    <t>Use of Indometacin Powder instead of Indometacin 50mg Capsules as a starting material in Indometacin liquid product formulations</t>
  </si>
  <si>
    <t>To introduce the use of Indometacin powder as an alternative starting material in the preparation of unlicensed special medicinal products, in place of Indometacin 50mg Capsules, due to intermittent availability of the finished capsules product.</t>
  </si>
  <si>
    <t>INDO1A &amp; INDO1B</t>
  </si>
  <si>
    <t>CC.2026.073/A</t>
  </si>
  <si>
    <t>Source suitable Indometacin Powder using 
approved supplier.</t>
  </si>
  <si>
    <t>Review formulations for all live Indometacin product.</t>
  </si>
  <si>
    <t>Perform R&amp;D trials using Indometacin Powder
 to determine suitability.</t>
  </si>
  <si>
    <t>Update all live Indometacin batch manufacturing
 records as per R&amp;D instructions.</t>
  </si>
  <si>
    <t>Approve batch manufacturing records 
for use in manufacturing products.</t>
  </si>
  <si>
    <t>Stop purchasing Indometacin 50mg Capsules 
unless there is a requirement.</t>
  </si>
  <si>
    <t>Inform relevant customers of formulation
 update if necessary.</t>
  </si>
  <si>
    <t>Update Product list with new shelf life 
of the products if required.</t>
  </si>
  <si>
    <t>CC.2026.073/B</t>
  </si>
  <si>
    <t>CC.2026.073/C</t>
  </si>
  <si>
    <t>CC.2026.073/D</t>
  </si>
  <si>
    <t>CC.2026.073/E</t>
  </si>
  <si>
    <t>CC.2026.073/F</t>
  </si>
  <si>
    <t>CC.2026.073/G</t>
  </si>
  <si>
    <t xml:space="preserve">The addition of a new tablet brand (MYLAN) of Buspirone Hydrochloride 10mg  used in the manufacturing of  Buspirone Hydrochloride Oral Suspension </t>
  </si>
  <si>
    <t>As these are new brands, they will need to be assessed by R&amp;D and confirm their compatibility with the current formulation of Buspirone Hydrochloride Oral Suspension  prior to their use in manufacturing. This is required to confirm quality, safety and efficacy of the product prior to supplying it to customers / patients.</t>
  </si>
  <si>
    <t>BUSP1</t>
  </si>
  <si>
    <t>Quarantine Mylan brand until approved.</t>
  </si>
  <si>
    <t>CC.2026.074/A</t>
  </si>
  <si>
    <t>CC.2026.074/B</t>
  </si>
  <si>
    <t>CC.2026.074/C</t>
  </si>
  <si>
    <t>CC.2026.074/D</t>
  </si>
  <si>
    <t>CC.2026.074/E</t>
  </si>
  <si>
    <t>CC.2026.074/F</t>
  </si>
  <si>
    <t>CC.2026.074/G</t>
  </si>
  <si>
    <t>CC.2026.074/H</t>
  </si>
  <si>
    <t xml:space="preserve">The addition of a new tablet brand (TEVA) of Co-Careldopa 25mg/100mg  used in the manufacturing of  LEVODOPA, CARBIDOPA (Co-Careldopa) Oral Suspension </t>
  </si>
  <si>
    <t>As these are new brands, they will need to be assessed by R&amp;D and confirm their compatibility with the current formulation of LEVODOPA, CARBIDOPA (Co-Careldopa) Oral Suspension  prior to their use in manufacturing. This is required to confirm quality, safety and efficacy of the product prior to supplying it to customers / patients.</t>
  </si>
  <si>
    <t>CARB3, CARB8, CARB16</t>
  </si>
  <si>
    <t xml:space="preserve">Identify formulation composition </t>
  </si>
  <si>
    <t>Procure raw materials and packaging components</t>
  </si>
  <si>
    <t>Perform R&amp;D product development trials</t>
  </si>
  <si>
    <t>Approve BMR, and update product list and Epysis.</t>
  </si>
  <si>
    <t>Perform QC testing on the  Engineering batches</t>
  </si>
  <si>
    <t>Perform process validation</t>
  </si>
  <si>
    <t>Create stability protocol</t>
  </si>
  <si>
    <t>Place product from process validation on stability</t>
  </si>
  <si>
    <t>CC.2026.046/A</t>
  </si>
  <si>
    <t>QC / R&amp;D / QA</t>
  </si>
  <si>
    <t>Production / R&amp;D / Procurement</t>
  </si>
  <si>
    <t>R&amp;D / Production</t>
  </si>
  <si>
    <t>Production/</t>
  </si>
  <si>
    <t>QC / QA</t>
  </si>
  <si>
    <t>Validation / QC</t>
  </si>
  <si>
    <t>CC.2026.046/B</t>
  </si>
  <si>
    <t>CC.2026.046/C</t>
  </si>
  <si>
    <t>CC.2026.046/D</t>
  </si>
  <si>
    <t>CC.2026.046/E</t>
  </si>
  <si>
    <t>CC.2026.046/F</t>
  </si>
  <si>
    <t>CC.2026.046/G</t>
  </si>
  <si>
    <t>CC.2026.046/H</t>
  </si>
  <si>
    <t>CC.2026.046/K</t>
  </si>
  <si>
    <t>CC.2026.046/L</t>
  </si>
  <si>
    <t>CC.2026.046/M</t>
  </si>
  <si>
    <t>CC.2026.046/N</t>
  </si>
  <si>
    <t>1. Create a worksheet for the Haloperidol cleaning verification QC test method.
2. Revise the Haloperidol cleaning verification QC test method to:
•	Increase the stock standard preparation to 40 mg in 200 mL, maintaining the same concentration. 
•	Add an instruction to use a fresh tissue for each serial dilution to minimize carry-over. 
•	Update the calculation to reflect the revised stock standard preparation and dilution factor. 
3. Update the method header and scope to include all Haloperidol products and product codes manufactured at Eaststone Limited.</t>
  </si>
  <si>
    <t>Update QC test method for Haloperidol cleaning verification</t>
  </si>
  <si>
    <t>Generate worksheet for Haloperidol cleaning verification</t>
  </si>
  <si>
    <t>EC DUE 15 OCT 26</t>
  </si>
  <si>
    <t>CC.2026.061/A</t>
  </si>
  <si>
    <t>CC.2026.061/B</t>
  </si>
  <si>
    <t xml:space="preserve">The addition of a new tablet brand (MYLAN) of Fludrocortisone 0.1mg used in the manufacturing of  Fludrocortisone Oral Suspension </t>
  </si>
  <si>
    <t>As these are new brands, they will need to be assessed by R&amp;D and confirm their compatibility with the current formulation of Fludrocortisone Oral Suspension prior to their use in manufacturing. This is required to confirm quality, safety and efficacy of the product prior to supplying it to customers / patients.</t>
  </si>
  <si>
    <t>FLUD1, FLUD2, FLUD4, FLUD6, FLUD8A, FLUD8B</t>
  </si>
  <si>
    <t>CC.2026.076/A</t>
  </si>
  <si>
    <t>CC.2026.076/B</t>
  </si>
  <si>
    <t>CC.2026.076/C</t>
  </si>
  <si>
    <t>CC.2026.076/D</t>
  </si>
  <si>
    <t>CC.2026.076/E</t>
  </si>
  <si>
    <t>CC.2026.076/F</t>
  </si>
  <si>
    <t>CC.2026.076/G</t>
  </si>
  <si>
    <t>CC.2026.075/A</t>
  </si>
  <si>
    <t>CC.2026.075/B</t>
  </si>
  <si>
    <t>CC.2026.075/C</t>
  </si>
  <si>
    <t>CC.2026.075/D</t>
  </si>
  <si>
    <t>CC.2026.075/E</t>
  </si>
  <si>
    <t>CC.2026.075/F</t>
  </si>
  <si>
    <t>CC.2026.075/G</t>
  </si>
  <si>
    <r>
      <t xml:space="preserve">Quarantine </t>
    </r>
    <r>
      <rPr>
        <sz val="10"/>
        <color rgb="FF000000"/>
        <rFont val="Arial"/>
        <family val="2"/>
      </rPr>
      <t xml:space="preserve">Teva </t>
    </r>
    <r>
      <rPr>
        <sz val="9"/>
        <color rgb="FF000000"/>
        <rFont val="Arial"/>
        <family val="2"/>
      </rPr>
      <t>brands until approved</t>
    </r>
  </si>
  <si>
    <t>EC DUE 17DEC26</t>
  </si>
  <si>
    <t xml:space="preserve">	
ES.SOP.170.V04 – Data Integrity Policy. 
ES.SOP.239.V02 – HPLC Technique and Guideline.
ES.SOP.244.V02 – QA Data Review</t>
  </si>
  <si>
    <t>Products tested using HPLC system within QC laboratory are potentially impacted by this change.
Materials used for analytical samples, standards, reagents and test solution analysis using HPLC instruments.
Document affected,
•	ES.SOP.170.V04 – Data Integrity Policy. 
•	ES.SOP.239.V02 – HPLC Technique and Guideline.
•	ES.SOP.244.V02 – QA Data Review
Procedure lacked sufficient detail to ensure effectiveness of audit trail review of HPLC data. 
Audit trail review did not cover HPLC usage such as:
•	Unexplained runs
•	Undocumented runs 
•	Aborted runs.
HPLC system used within QC laboratory, Chromeleon Chromatography Data System (CDS) associated with HPLC instruments, user access management and audit trail associated with CDS.
Department affected by changes is QC and QA department</t>
  </si>
  <si>
    <t xml:space="preserve">Revise procedure ES.SOP.170.V04, ES.SOP.239.V02, ES.SOP.244.V02. To incorporate cross-refences to Chromeleon Chromatography Data System.
To create new procedure specific for Chromeleon CDS audit trail review procedure.
•	Standardise requirement for HPLC audit trail review
•	Expand on Undocumented test runs, unexplained sequences, aborted runs, repeat injections, and sequence modifications.
•	Implement standard audit trail review template/checklist to ensure consistency during review for all QC HPLC systems.
Assess Chromeleon CDS configuration/settings to confirm audit trail functionality and user permissions settings to ensure compliancy with GMP and data integrity requirements. </t>
  </si>
  <si>
    <t>CC.2026.052/A</t>
  </si>
  <si>
    <t>CC.2026.052/B</t>
  </si>
  <si>
    <t>CC.2026.052/C</t>
  </si>
  <si>
    <t>CC.2026.052/D</t>
  </si>
  <si>
    <t>CC.2026.052/E</t>
  </si>
  <si>
    <t>Update Chromeleon Admin Console 
permission to allow controlled Audit 
Trial report generation by 
designated senior personnel.</t>
  </si>
  <si>
    <t xml:space="preserve">Revise procedure ES.SOP.170.V04 - Data Integrity Policy
Update procedure: 
•	Align to include reference to audit trail review. </t>
  </si>
  <si>
    <t>Revise procedure ES.SOP.239.V02 – HPLC Technique and Guideline
Update procedure: 
•	Align to include reference to audit trail review.
•	 Include section relating to Chromeleon 
Chromatography Data System audit trail traceability.</t>
  </si>
  <si>
    <t>Revise procedure ES.SOP.244.V02 – QA Data Review
Update procedure: 
•	Align to include reference to audit trail review.
•	Expand responsibilities</t>
  </si>
  <si>
    <t>Create new Chromeleon Chromatography
 audit trail procedure.</t>
  </si>
  <si>
    <t>UA/JB/
SP</t>
  </si>
  <si>
    <t>CC.2026.077/A</t>
  </si>
  <si>
    <t>CC.2026.077/B</t>
  </si>
  <si>
    <t>CC.2026.077/C</t>
  </si>
  <si>
    <t>CC.2026.077/D</t>
  </si>
  <si>
    <t>CC.2026.077/E</t>
  </si>
  <si>
    <t>CC.2026.077/F</t>
  </si>
  <si>
    <t>CC.2026.077/G</t>
  </si>
  <si>
    <t xml:space="preserve">The addition of a new tablet brand (EuroLimk Pharma) of Sildenafil 100mg used in the manufacturing of Sildenafil Oral Suspensions </t>
  </si>
  <si>
    <t>As these are new brands, they will need to be assessed by R&amp;D and confirm their compatibility with the current formulation of Sildenafil Oral Suspensions prior to their use in manufacturing. This is required to confirm quality, safety and efficacy of the product prior to supplying it to customers / patients.</t>
  </si>
  <si>
    <t>SILD2, SILD4, SILD8 &amp; SILD11</t>
  </si>
  <si>
    <t>Quarantine EuroLink Pharma brand until approved</t>
  </si>
  <si>
    <t>EC DUE 06 SEP 26</t>
  </si>
  <si>
    <t>EC ON 31 DEC26</t>
  </si>
  <si>
    <t xml:space="preserve">The addition of a new tablet brand (HillCross) of Tamsulosin 400mcg used in the manufacturing of Tamsulosin Oral Suspensions </t>
  </si>
  <si>
    <t>EC DUE ON 30 DEC26</t>
  </si>
  <si>
    <t>Approve and issue licensed MELA28 BMR if require.</t>
  </si>
  <si>
    <t>CC.2026.079</t>
  </si>
  <si>
    <t>As these are new brands, they will need to be assessed by R&amp;D and confirm their compatibility with the current formulation of Mercaptopurine Capsule prior to their use in manufacturing. This is required to confirm quality, safety and efficacy of the product prior to supplying it to customers / patients.</t>
  </si>
  <si>
    <t>MERC4 &amp; MERC5</t>
  </si>
  <si>
    <t>CC.2026.078/A</t>
  </si>
  <si>
    <t>CC.2026.078/B</t>
  </si>
  <si>
    <t>CC.2026.078/C</t>
  </si>
  <si>
    <t>CC.2026.078/D</t>
  </si>
  <si>
    <t>CC.2026.078/E</t>
  </si>
  <si>
    <t>CC.2026.078/F</t>
  </si>
  <si>
    <t>CC.2026.078/G</t>
  </si>
  <si>
    <t>Quarantine Hillcross brands until approved</t>
  </si>
  <si>
    <t>CC.2026.080</t>
  </si>
  <si>
    <t>Purchase and introduce into the QC Laboratory a centrifuge</t>
  </si>
  <si>
    <t>The equipment is required to perform the BP Monograph Paracetamol Related Substances by TLC test for release testing of Co-Proxamol Tablets and any future stability trials.</t>
  </si>
  <si>
    <t>Cannabis testing
Co-Proxamol testing
Potential future products/projects</t>
  </si>
  <si>
    <t>CC.2026.081</t>
  </si>
  <si>
    <t>End stability study for Midazolam</t>
  </si>
  <si>
    <t>ISOS1 &amp; ISOS4</t>
  </si>
  <si>
    <t>The addition of a new tablet brand (Dexcel Pharma) of Isosorbide Mononitrate 40mg used in the manufacturing of Isosorbide Mononitrate Oral Suspension.</t>
  </si>
  <si>
    <t>The addition of a new tablet brand (Mylan) of Nitrofurantoin Tablets 100mg used in the manufacturing of Nitrofurantoin Oral Suspension</t>
  </si>
  <si>
    <t>As these are new brands, they will need to be assessed by R&amp;D and confirm their compatibility with the current formulation of Isosorbide Mononitrate Oral Suspension prior to their use in manufacturing. This is required to confirm quality, safety and efficacy of the product prior to supplying it to customers / patients.</t>
  </si>
  <si>
    <t>As these are new brands, they will need to be assessed by R&amp;D and confirm their compatibility with the current formulation of Nitrofurantoin Oral Suspension prior to their use in manufacturing. This is required to confirm quality, safety and efficacy of the product prior to supplying it to customers / patients.</t>
  </si>
  <si>
    <t>NITR2 &amp; NITR3</t>
  </si>
  <si>
    <t>The addition of a new tablet brand (ASPEN) of Mercaptopurine  50mg used in the manufacturing of Mercaptopurine Capsule.</t>
  </si>
  <si>
    <t>EC DUE ON 27 FEB27</t>
  </si>
  <si>
    <t>CC.2026.082A</t>
  </si>
  <si>
    <t>CC.2026.082B</t>
  </si>
  <si>
    <t>CC.2026.082C</t>
  </si>
  <si>
    <t>CC.2026.082D</t>
  </si>
  <si>
    <t>CC.2026.082E</t>
  </si>
  <si>
    <t>CC.2026.082F</t>
  </si>
  <si>
    <t>CC.2026.082G</t>
  </si>
  <si>
    <t>Quarantine Dexcel pharma brands until approved</t>
  </si>
  <si>
    <t xml:space="preserve">Update ES.SOP.220 Logbook Procedure and add all new actions proposed such as the log book review process for QA period review. </t>
  </si>
  <si>
    <t xml:space="preserve">Implement a risk-based review model;
Establish a monthly review schedule with priorities for each active log book and collate them together. This will be classed by importance &amp; risk and ranked accordingly. </t>
  </si>
  <si>
    <t xml:space="preserve">Add new sections/Columns to Logbooks and Lab Books Controlled Spreadsheet. These will be new columns detailing the location of the logbook and what its status currently is before QA review. </t>
  </si>
  <si>
    <t xml:space="preserve">Conduct a full inventory of all active logbooks in the Eaststone site and standardise:
Ensure all log books are updated to the new format. 
Liaise with relevant departments and see if any proposed template updates are needed. Where updates are identified, implement and issue new template.
</t>
  </si>
  <si>
    <t xml:space="preserve">Write and issue  Hyoscine Butylbromide  Scientific Rationale </t>
  </si>
  <si>
    <t>Write and issue new Hyoscine Butylbromide Suspension BMR version</t>
  </si>
  <si>
    <t xml:space="preserve">Source Hyoscine Butylbromide Powder using approved supplier and order the material using current procedure. </t>
  </si>
  <si>
    <t xml:space="preserve">Update scientific rationale and PDS to account for use of API powder. </t>
  </si>
  <si>
    <t>Review and update product formulations and stop purchasing tablets unless powder becomes unavailable.</t>
  </si>
  <si>
    <t>CC.2026.084</t>
  </si>
  <si>
    <t>Update to existing formulation</t>
  </si>
  <si>
    <t>LAMO2 &amp; LAMO8</t>
  </si>
  <si>
    <t xml:space="preserve">Update to existing formulation for Lamotragine suspensions to ensure better levigation and uniformity based on trials conducted. </t>
  </si>
  <si>
    <t>CC.2026.083A</t>
  </si>
  <si>
    <t>CC.2026.083B</t>
  </si>
  <si>
    <t>CC.2026.083C</t>
  </si>
  <si>
    <t>CC.2026.083D</t>
  </si>
  <si>
    <t>CC.2026.083E</t>
  </si>
  <si>
    <t>CC.2026.083F</t>
  </si>
  <si>
    <t>CC.2026.083G</t>
  </si>
  <si>
    <t>Quarantine Mylan brands until approved</t>
  </si>
  <si>
    <t>CC.2026.085</t>
  </si>
  <si>
    <t>CC.2026.086</t>
  </si>
  <si>
    <t>CYCL2 BMR UPDATE - UNLICENSED TO LICENSED</t>
  </si>
  <si>
    <t>CYCL2</t>
  </si>
  <si>
    <t>TRAN5A &amp; TRAN5B BMR UPDATE - UNLICENSED TO LICENSED</t>
  </si>
  <si>
    <t>TRAN5A, TRAN5B</t>
  </si>
  <si>
    <t>This change control is initiated to convert the existing unlicensed BMR for CYCL2 into a licensed BMR format. The change includes incorporation of license-specific details and applicable regulatory requirements into the BMR.
This change control covers the following actions:
•	Conversion of the CYCL2 BMR to the licensed BMR format- In section 1 of the licensed BMR template to identify and document the clinical need to supply a licensed product.
•	Update of the BMR header to include applicable product characteristics.
•	Update of the Clinical Need tab on the product list to reflect licensed status.</t>
  </si>
  <si>
    <t>This change control is initiated to convert the existing unlicensed BMR for TRAN5A and TRAN5B into a licensed BMR format. The change includes incorporation of license-specific details and applicable regulatory requirements into the BMR.
This change control covers the following actions:
•	Conversion of the TRAN5A and TRAN5B BMR to the licensed BMR format- In section 1 of the licensed BMR template to identify and document the clinical need to supply a licensed product.
•	Update of the BMR header to include applicable product characteristics.
•	Update of the Clinical Need tab on the product list to reflect licensed status.</t>
  </si>
  <si>
    <t>Prepare PRSs for new raw material and packaging components</t>
  </si>
  <si>
    <t>Create a scientific rational for Ora Plus, Ora Sweet, and Ora Sweet (S/F).</t>
  </si>
  <si>
    <t>Prepare Batch Manufacturing Records.</t>
  </si>
  <si>
    <t>Develop QC specification and QC testing methods as per R&amp;D recommendation.</t>
  </si>
  <si>
    <t>Prepare and approve QC methods and QC worksheets – release and stability</t>
  </si>
  <si>
    <t>Coordinate microbiological test method validation by external laboratory (MCS) and obtain the approved validation report</t>
  </si>
  <si>
    <t xml:space="preserve">Conduct process optimisation batches/ Engineering batches </t>
  </si>
  <si>
    <t>Prepare process validation protocol</t>
  </si>
  <si>
    <t>CC.2026.046/O</t>
  </si>
  <si>
    <t>CC.2026.046/P</t>
  </si>
  <si>
    <t>Perform QC testing of process validation batches</t>
  </si>
  <si>
    <t>production/
validation</t>
  </si>
  <si>
    <t>Use of Nitrofurantoin Monohydrate Powder instead of Nitrofurantoin 100mg Tablets as a starting material in Nitrofurantoin liquid product formulations</t>
  </si>
  <si>
    <t>To introduce the use of Nitrofurantoin Monohydrate Powder as an alternative starting material in the preparation of unlicensed special medicinal products, in place of Nitrofurantoin 100mg Tablets, due to intermittent availability of the finished Tablets product in the same brand.</t>
  </si>
  <si>
    <t>NITR2, NITR3</t>
  </si>
  <si>
    <t>Source suitable Nitrofurantoin Monohydrate Powder using approved supplier.</t>
  </si>
  <si>
    <t>Review formulations for all live Nitrofurantoin product.</t>
  </si>
  <si>
    <t>Perform R&amp;D trials using Nitrofurantoin Monohydrate Powder to determine suitability.</t>
  </si>
  <si>
    <t>Identify &amp; update all live Nitrofurantoin batch manufacturing records as per R&amp;D instructions.</t>
  </si>
  <si>
    <t>Stop purchasing Nitrofurantoin 100mg Tablets unless there is a requirement.</t>
  </si>
  <si>
    <t>30COT26</t>
  </si>
  <si>
    <t>Use of Pregabalin Powder instead of Pregabalin 300mg Capsules as a starting material in Pregabalin liquid product formulations</t>
  </si>
  <si>
    <t>To introduce the use of Pregabalin Powder as an alternative starting material in the preparation of unlicensed special medicinal products, in place of Pregabalin 300mg Capsules, due to intermittent availability of the finished Capsules product in the same brand.</t>
  </si>
  <si>
    <t>PREG1A, PREG1B, PREG2A, PREG2B, PREG3A, PREG3B, PREG4A, PREG4B, PREG5A, PREG5B, PREG6A, PREG6B.</t>
  </si>
  <si>
    <t>Source suitable Pregabalin Powder using approved supplier.</t>
  </si>
  <si>
    <t>Review formulations for all live Pregabalin product.</t>
  </si>
  <si>
    <t>Perform R&amp;D trials using Pregabalin Powder to determine suitability.</t>
  </si>
  <si>
    <t>Identify &amp; update all live Pregabalin batch manufacturing records as per R&amp;D instructions.</t>
  </si>
  <si>
    <t>Stop purchasing Pregabalin 300mg Capsules unless there is a requirement.</t>
  </si>
  <si>
    <t>CC.2026.087/A</t>
  </si>
  <si>
    <t>CC.2026.087/B</t>
  </si>
  <si>
    <t>CC.2026.087/C</t>
  </si>
  <si>
    <t>CC.2026.087/D</t>
  </si>
  <si>
    <t>CC.2026.087/E</t>
  </si>
  <si>
    <t>CC.2026.087/F</t>
  </si>
  <si>
    <t>CC.2026.087/G</t>
  </si>
  <si>
    <t>CC.2026.087/H</t>
  </si>
  <si>
    <t>CC.2026.088/A</t>
  </si>
  <si>
    <t>CC.2026.088/B</t>
  </si>
  <si>
    <t>CC.2026.088/C</t>
  </si>
  <si>
    <t>CC.2026.088/D</t>
  </si>
  <si>
    <t>CC.2026.088/E</t>
  </si>
  <si>
    <t>CC.2026.088/F</t>
  </si>
  <si>
    <t>CC.2026.088/G</t>
  </si>
  <si>
    <t>CC.2026.088/H</t>
  </si>
  <si>
    <t>Document trials
Update BMRs
Engineering batch for scale up
Update BMR again if required
Update Rationale and PDS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</si>
</sst>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3409]dd\-mmm\-yy;@"/>
  </numFmts>
  <fonts count="30" x14ac:knownFonts="1">
    <font>
      <sz val="11"/>
      <color theme="1"/>
      <name val="Calibri"/>
      <family val="2"/>
      <scheme val="minor"/>
    </font>
    <font>
      <sz val="12"/>
      <color theme="1"/>
      <name val="Arial"/>
      <family val="2"/>
    </font>
    <font>
      <sz val="8"/>
      <name val="Calibri"/>
      <family val="2"/>
      <scheme val="minor"/>
    </font>
    <font>
      <b/>
      <sz val="12"/>
      <color theme="1"/>
      <name val="Arial"/>
      <family val="2"/>
    </font>
    <font>
      <sz val="12"/>
      <name val="Arial"/>
      <family val="2"/>
    </font>
    <font>
      <b/>
      <sz val="12"/>
      <name val="Arial"/>
      <family val="2"/>
    </font>
    <font>
      <sz val="12"/>
      <color theme="0"/>
      <name val="Arial"/>
      <family val="2"/>
    </font>
    <font>
      <sz val="11"/>
      <name val="Calibri"/>
      <family val="2"/>
      <scheme val="minor"/>
    </font>
    <font>
      <sz val="12"/>
      <name val="Arial"/>
      <family val="2"/>
    </font>
    <font>
      <b/>
      <sz val="12"/>
      <name val="Arial"/>
      <family val="2"/>
    </font>
    <font>
      <sz val="9"/>
      <color indexed="81"/>
      <name val="Tahoma"/>
      <family val="2"/>
    </font>
    <font>
      <b/>
      <sz val="9"/>
      <color indexed="81"/>
      <name val="Tahoma"/>
      <family val="2"/>
    </font>
    <font>
      <sz val="14"/>
      <color rgb="FF000000"/>
      <name val="Times New Roman"/>
      <family val="1"/>
    </font>
    <font>
      <sz val="9"/>
      <color theme="1"/>
      <name val="Arial"/>
      <family val="2"/>
    </font>
    <font>
      <sz val="12"/>
      <name val="Calibri"/>
      <family val="2"/>
      <scheme val="minor"/>
    </font>
    <font>
      <sz val="12"/>
      <name val="Arial"/>
      <family val="2"/>
    </font>
    <font>
      <b/>
      <sz val="12"/>
      <name val="Arial"/>
      <family val="2"/>
    </font>
    <font>
      <sz val="9"/>
      <color rgb="FF000000"/>
      <name val="Arial"/>
      <family val="2"/>
    </font>
    <font>
      <sz val="10"/>
      <color rgb="FF000000"/>
      <name val="Arial"/>
      <family val="2"/>
    </font>
    <font>
      <sz val="10"/>
      <name val="Arial"/>
      <family val="2"/>
    </font>
    <font>
      <sz val="12"/>
      <name val="Arial"/>
      <family val="2"/>
    </font>
    <font>
      <b/>
      <sz val="12"/>
      <name val="Arial"/>
      <family val="2"/>
    </font>
    <font>
      <sz val="10"/>
      <color theme="1"/>
      <name val="Times New Roman"/>
      <family val="1"/>
    </font>
    <font>
      <sz val="11"/>
      <color theme="1"/>
      <name val="Aptos"/>
      <family val="2"/>
    </font>
    <font>
      <sz val="12"/>
      <name val="Arial"/>
      <family val="2"/>
    </font>
    <font>
      <b/>
      <sz val="12"/>
      <name val="Arial"/>
      <family val="2"/>
    </font>
    <font>
      <sz val="12"/>
      <name val="Arial"/>
      <family val="2"/>
    </font>
    <font>
      <b/>
      <sz val="12"/>
      <name val="Arial"/>
      <family val="2"/>
    </font>
    <font>
      <sz val="12"/>
      <name val="Arial"/>
    </font>
    <font>
      <b/>
      <sz val="12"/>
      <name val="Arial"/>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4">
    <xf numFmtId="0" fontId="0" fillId="0" borderId="0" xfId="0"/>
    <xf numFmtId="0" fontId="4" fillId="0" borderId="0" xfId="0" applyFont="1" applyAlignment="1" applyProtection="1">
      <alignment horizontal="center" vertical="center"/>
      <protection locked="0"/>
    </xf>
    <xf numFmtId="0" fontId="4" fillId="0" borderId="0" xfId="0" applyFont="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1" fillId="0" borderId="0" xfId="0" applyFont="1" applyAlignment="1" applyProtection="1">
      <alignment horizontal="center" vertical="center"/>
      <protection locked="0"/>
    </xf>
    <xf numFmtId="164" fontId="4" fillId="0" borderId="0" xfId="0" applyNumberFormat="1" applyFont="1" applyAlignment="1" applyProtection="1">
      <alignment horizontal="center" vertical="center"/>
      <protection locked="0"/>
    </xf>
    <xf numFmtId="164" fontId="5" fillId="0" borderId="0" xfId="0" applyNumberFormat="1" applyFont="1" applyAlignment="1" applyProtection="1">
      <alignment horizontal="center" vertical="center"/>
      <protection locked="0"/>
    </xf>
    <xf numFmtId="164" fontId="4" fillId="0" borderId="0" xfId="0" applyNumberFormat="1" applyFont="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7" fillId="0" borderId="0" xfId="0" applyFont="1" applyProtection="1">
      <protection locked="0"/>
    </xf>
    <xf numFmtId="0" fontId="8" fillId="0" borderId="0" xfId="0" applyFont="1" applyAlignment="1" applyProtection="1">
      <alignment horizontal="center" vertical="center"/>
      <protection locked="0"/>
    </xf>
    <xf numFmtId="164" fontId="8" fillId="0" borderId="0" xfId="0" applyNumberFormat="1" applyFont="1" applyAlignment="1" applyProtection="1">
      <alignment horizontal="center" vertical="center"/>
      <protection locked="0"/>
    </xf>
    <xf numFmtId="164" fontId="9" fillId="0" borderId="0" xfId="0" applyNumberFormat="1" applyFont="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6" fillId="0" borderId="0" xfId="0" applyFont="1" applyAlignment="1">
      <alignment horizontal="center" vertical="center" wrapText="1"/>
    </xf>
    <xf numFmtId="164" fontId="6" fillId="0" borderId="0" xfId="0" applyNumberFormat="1" applyFont="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xf>
    <xf numFmtId="0" fontId="12" fillId="0" borderId="0" xfId="0" applyFont="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164" fontId="5" fillId="0" borderId="0" xfId="0" applyNumberFormat="1" applyFont="1" applyAlignment="1" applyProtection="1">
      <alignment horizontal="center" vertical="center" wrapText="1"/>
      <protection locked="0"/>
    </xf>
    <xf numFmtId="15" fontId="4" fillId="0" borderId="0" xfId="0" applyNumberFormat="1" applyFont="1" applyAlignment="1" applyProtection="1">
      <alignment horizontal="center" vertical="center"/>
      <protection locked="0"/>
    </xf>
    <xf numFmtId="15" fontId="4" fillId="0" borderId="0" xfId="0" applyNumberFormat="1" applyFont="1" applyAlignment="1" applyProtection="1">
      <alignment horizontal="center" vertical="center" wrapText="1"/>
      <protection locked="0"/>
    </xf>
    <xf numFmtId="16" fontId="4" fillId="0" borderId="0" xfId="0" applyNumberFormat="1" applyFont="1" applyAlignment="1" applyProtection="1">
      <alignment horizontal="center" vertical="center" wrapText="1"/>
      <protection locked="0"/>
    </xf>
    <xf numFmtId="0" fontId="14" fillId="0" borderId="0" xfId="0" applyFont="1" applyProtection="1">
      <protection locked="0"/>
    </xf>
    <xf numFmtId="0" fontId="15" fillId="0" borderId="0" xfId="0" applyFont="1" applyAlignment="1" applyProtection="1">
      <alignment horizontal="center" vertical="center"/>
      <protection locked="0"/>
    </xf>
    <xf numFmtId="164" fontId="15" fillId="0" borderId="0" xfId="0" applyNumberFormat="1" applyFont="1" applyAlignment="1" applyProtection="1">
      <alignment horizontal="center" vertical="center"/>
      <protection locked="0"/>
    </xf>
    <xf numFmtId="164" fontId="16" fillId="0" borderId="0" xfId="0" applyNumberFormat="1" applyFont="1" applyAlignment="1" applyProtection="1">
      <alignment horizontal="center" vertical="center"/>
      <protection locked="0"/>
    </xf>
    <xf numFmtId="164" fontId="16" fillId="0" borderId="0" xfId="0" applyNumberFormat="1" applyFont="1" applyAlignment="1" applyProtection="1">
      <alignment horizontal="center" vertical="center" wrapText="1"/>
      <protection locked="0"/>
    </xf>
    <xf numFmtId="164" fontId="15" fillId="0" borderId="0" xfId="0" applyNumberFormat="1" applyFont="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15" fillId="0" borderId="0" xfId="0" applyFont="1" applyAlignment="1">
      <alignment horizontal="center" vertical="center"/>
    </xf>
    <xf numFmtId="0" fontId="18" fillId="0" borderId="0" xfId="0" applyFont="1" applyAlignment="1" applyProtection="1">
      <alignment horizontal="center" vertical="center" wrapText="1"/>
      <protection locked="0"/>
    </xf>
    <xf numFmtId="164" fontId="19" fillId="0" borderId="0" xfId="0" applyNumberFormat="1" applyFont="1" applyAlignment="1" applyProtection="1">
      <alignment horizontal="center" vertical="center" wrapText="1"/>
      <protection locked="0"/>
    </xf>
    <xf numFmtId="0" fontId="20" fillId="0" borderId="0" xfId="0" applyFont="1" applyAlignment="1" applyProtection="1">
      <alignment horizontal="center" vertical="center"/>
      <protection locked="0"/>
    </xf>
    <xf numFmtId="164" fontId="20" fillId="0" borderId="0" xfId="0" applyNumberFormat="1" applyFont="1" applyAlignment="1" applyProtection="1">
      <alignment horizontal="center" vertical="center"/>
      <protection locked="0"/>
    </xf>
    <xf numFmtId="164" fontId="21" fillId="0" borderId="0" xfId="0" applyNumberFormat="1" applyFont="1" applyAlignment="1" applyProtection="1">
      <alignment horizontal="center" vertical="center"/>
      <protection locked="0"/>
    </xf>
    <xf numFmtId="164" fontId="21" fillId="0" borderId="0" xfId="0" applyNumberFormat="1" applyFont="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0" xfId="0" applyFont="1" applyAlignment="1">
      <alignment horizontal="center" vertical="center"/>
    </xf>
    <xf numFmtId="164" fontId="20" fillId="0" borderId="0" xfId="0" applyNumberFormat="1" applyFont="1" applyAlignment="1" applyProtection="1">
      <alignment horizontal="center" vertical="center" wrapText="1"/>
      <protection locked="0"/>
    </xf>
    <xf numFmtId="164" fontId="23" fillId="0" borderId="0" xfId="0" applyNumberFormat="1" applyFont="1" applyAlignment="1" applyProtection="1">
      <alignment horizontal="center" vertical="center" wrapText="1"/>
      <protection locked="0"/>
    </xf>
    <xf numFmtId="0" fontId="24" fillId="0" borderId="0" xfId="0" applyFont="1" applyAlignment="1" applyProtection="1">
      <alignment horizontal="center" vertical="center"/>
      <protection locked="0"/>
    </xf>
    <xf numFmtId="164" fontId="24" fillId="0" borderId="0" xfId="0" applyNumberFormat="1" applyFont="1" applyAlignment="1" applyProtection="1">
      <alignment horizontal="center" vertical="center"/>
      <protection locked="0"/>
    </xf>
    <xf numFmtId="164" fontId="25" fillId="0" borderId="0" xfId="0" applyNumberFormat="1" applyFont="1" applyAlignment="1" applyProtection="1">
      <alignment horizontal="center" vertical="center"/>
      <protection locked="0"/>
    </xf>
    <xf numFmtId="164" fontId="25" fillId="0" borderId="0" xfId="0" applyNumberFormat="1" applyFont="1" applyAlignment="1" applyProtection="1">
      <alignment horizontal="center" vertical="center" wrapText="1"/>
      <protection locked="0"/>
    </xf>
    <xf numFmtId="0" fontId="24" fillId="0" borderId="0" xfId="0" applyFont="1" applyAlignment="1" applyProtection="1">
      <alignment horizontal="center" vertical="center" wrapText="1"/>
      <protection locked="0"/>
    </xf>
    <xf numFmtId="0" fontId="24" fillId="0" borderId="0" xfId="0" applyFont="1" applyAlignment="1">
      <alignment horizontal="center" vertical="center"/>
    </xf>
    <xf numFmtId="164" fontId="4" fillId="2" borderId="0" xfId="0" applyNumberFormat="1" applyFont="1" applyFill="1" applyAlignment="1" applyProtection="1">
      <alignment horizontal="center" vertical="center"/>
      <protection locked="0"/>
    </xf>
    <xf numFmtId="0" fontId="26" fillId="0" borderId="0" xfId="0" applyFont="1" applyAlignment="1" applyProtection="1">
      <alignment horizontal="center" vertical="center"/>
      <protection locked="0"/>
    </xf>
    <xf numFmtId="0" fontId="26" fillId="0" borderId="0" xfId="0" applyFont="1" applyAlignment="1" applyProtection="1">
      <alignment horizontal="center" vertical="center" wrapText="1"/>
      <protection locked="0"/>
    </xf>
    <xf numFmtId="15" fontId="8" fillId="0" borderId="0" xfId="0" applyNumberFormat="1" applyFont="1" applyAlignment="1" applyProtection="1">
      <alignment horizontal="center" vertical="center"/>
      <protection locked="0"/>
    </xf>
    <xf numFmtId="15" fontId="26" fillId="0" borderId="0" xfId="0" applyNumberFormat="1" applyFont="1" applyAlignment="1" applyProtection="1">
      <alignment horizontal="center" vertical="center"/>
      <protection locked="0"/>
    </xf>
    <xf numFmtId="164" fontId="26" fillId="0" borderId="0" xfId="0" applyNumberFormat="1" applyFont="1" applyAlignment="1" applyProtection="1">
      <alignment horizontal="center" vertical="center"/>
      <protection locked="0"/>
    </xf>
    <xf numFmtId="164" fontId="27" fillId="0" borderId="0" xfId="0" applyNumberFormat="1" applyFont="1" applyAlignment="1" applyProtection="1">
      <alignment horizontal="center" vertical="center" wrapText="1"/>
      <protection locked="0"/>
    </xf>
    <xf numFmtId="0" fontId="26" fillId="0" borderId="0" xfId="0" applyFont="1" applyAlignment="1">
      <alignment horizontal="center" vertical="center"/>
    </xf>
    <xf numFmtId="164" fontId="26" fillId="0" borderId="0" xfId="0" applyNumberFormat="1" applyFont="1" applyAlignment="1" applyProtection="1">
      <alignment horizontal="center" vertical="center" wrapText="1"/>
      <protection locked="0"/>
    </xf>
    <xf numFmtId="164" fontId="27" fillId="0" borderId="0" xfId="0" applyNumberFormat="1" applyFont="1" applyAlignment="1" applyProtection="1">
      <alignment horizontal="center" vertical="center"/>
      <protection locked="0"/>
    </xf>
    <xf numFmtId="0" fontId="28" fillId="0" borderId="0" xfId="0" applyFont="1" applyAlignment="1" applyProtection="1">
      <alignment horizontal="center" vertical="center"/>
      <protection locked="0"/>
    </xf>
    <xf numFmtId="164" fontId="28" fillId="0" borderId="0" xfId="0" applyNumberFormat="1" applyFont="1" applyAlignment="1" applyProtection="1">
      <alignment horizontal="center" vertical="center"/>
      <protection locked="0"/>
    </xf>
    <xf numFmtId="0" fontId="28" fillId="0" borderId="0" xfId="0" applyFont="1" applyAlignment="1" applyProtection="1">
      <alignment horizontal="center" vertical="center" wrapText="1"/>
      <protection locked="0"/>
    </xf>
    <xf numFmtId="0" fontId="28" fillId="0" borderId="0" xfId="0" applyFont="1" applyAlignment="1">
      <alignment horizontal="center" vertical="center"/>
    </xf>
    <xf numFmtId="164" fontId="28" fillId="0" borderId="0" xfId="0" applyNumberFormat="1" applyFont="1" applyAlignment="1" applyProtection="1">
      <alignment horizontal="center" vertical="center" wrapText="1"/>
      <protection locked="0"/>
    </xf>
    <xf numFmtId="164" fontId="8" fillId="0" borderId="0" xfId="0" applyNumberFormat="1" applyFont="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164" fontId="29" fillId="0" borderId="0" xfId="0" applyNumberFormat="1" applyFont="1" applyAlignment="1" applyProtection="1">
      <alignment horizontal="center" vertical="center"/>
      <protection locked="0"/>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xf>
  </cellXfs>
  <cellStyles count="1">
    <cellStyle name="Normal" xfId="0" builtinId="0"/>
  </cellStyles>
  <dxfs count="42">
    <dxf>
      <font>
        <b/>
        <i val="0"/>
      </font>
      <fill>
        <patternFill>
          <bgColor theme="8"/>
        </patternFill>
      </fill>
    </dxf>
    <dxf>
      <font>
        <b/>
        <i val="0"/>
      </font>
      <fill>
        <patternFill>
          <bgColor theme="9"/>
        </patternFill>
      </fill>
    </dxf>
    <dxf>
      <font>
        <b/>
        <i val="0"/>
      </font>
      <fill>
        <patternFill>
          <bgColor theme="7"/>
        </patternFill>
      </fill>
    </dxf>
    <dxf>
      <font>
        <b/>
        <i val="0"/>
      </font>
      <fill>
        <patternFill>
          <bgColor rgb="FFFF0000"/>
        </patternFill>
      </fill>
    </dxf>
    <dxf>
      <font>
        <b/>
        <i val="0"/>
        <color rgb="FF00B050"/>
      </font>
    </dxf>
    <dxf>
      <font>
        <b/>
        <i val="0"/>
        <color rgb="FFFF0000"/>
      </font>
    </dxf>
    <dxf>
      <font>
        <color rgb="FF9C0006"/>
      </font>
      <fill>
        <patternFill>
          <bgColor rgb="FFFFC7CE"/>
        </patternFill>
      </fill>
    </dxf>
    <dxf>
      <font>
        <color rgb="FF9C5700"/>
      </font>
      <fill>
        <patternFill>
          <bgColor rgb="FFFFEB9C"/>
        </patternFill>
      </fill>
    </dxf>
    <dxf>
      <fill>
        <patternFill>
          <bgColor theme="4" tint="0.39994506668294322"/>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ont>
        <strike val="0"/>
        <outline val="0"/>
        <shadow val="0"/>
        <u val="none"/>
        <vertAlign val="baseline"/>
        <sz val="12"/>
        <color auto="1"/>
        <name val="Arial"/>
        <scheme val="none"/>
      </font>
      <fill>
        <patternFill patternType="none">
          <fgColor indexed="64"/>
          <bgColor auto="1"/>
        </patternFill>
      </fill>
      <alignment horizontal="center" vertical="center" textRotation="0" indent="0" justifyLastLine="0" shrinkToFit="0" readingOrder="0"/>
      <protection locked="0" hidden="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center" vertical="center" textRotation="0" wrapText="1" indent="0" justifyLastLine="0" shrinkToFit="0" readingOrder="0"/>
      <protection locked="0" hidden="0"/>
    </dxf>
    <dxf>
      <font>
        <b val="0"/>
        <strike val="0"/>
        <outline val="0"/>
        <shadow val="0"/>
        <u val="none"/>
        <vertAlign val="baseline"/>
        <sz val="12"/>
        <color auto="1"/>
        <name val="Arial"/>
        <scheme val="none"/>
      </font>
      <fill>
        <patternFill patternType="none">
          <fgColor indexed="64"/>
          <bgColor auto="1"/>
        </patternFill>
      </fill>
      <alignment horizontal="center" vertical="center" textRotation="0" indent="0" justifyLastLine="0" shrinkToFit="0" readingOrder="0"/>
      <protection locked="0" hidden="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rial"/>
        <scheme val="none"/>
      </font>
      <numFmt numFmtId="164" formatCode="[$-3409]dd\-mmm\-yy;@"/>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strike val="0"/>
        <outline val="0"/>
        <shadow val="0"/>
        <u val="none"/>
        <vertAlign val="baseline"/>
        <sz val="12"/>
        <color auto="1"/>
        <name val="Arial"/>
        <scheme val="none"/>
      </font>
      <fill>
        <patternFill patternType="none">
          <fgColor indexed="64"/>
          <bgColor auto="1"/>
        </patternFill>
      </fill>
      <alignment horizontal="center" vertical="center" textRotation="0" indent="0" justifyLastLine="0" shrinkToFit="0" readingOrder="0"/>
      <protection locked="0" hidden="0"/>
    </dxf>
    <dxf>
      <font>
        <b val="0"/>
        <strike val="0"/>
        <outline val="0"/>
        <shadow val="0"/>
        <u val="none"/>
        <vertAlign val="baseline"/>
        <sz val="12"/>
        <color auto="1"/>
        <name val="Arial"/>
        <scheme val="none"/>
      </font>
      <fill>
        <patternFill patternType="none">
          <fgColor indexed="64"/>
          <bgColor auto="1"/>
        </patternFill>
      </fill>
      <alignment horizontal="center" vertical="center" textRotation="0" indent="0" justifyLastLine="0" shrinkToFit="0" readingOrder="0"/>
      <protection locked="0" hidden="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rial"/>
        <scheme val="none"/>
      </font>
      <numFmt numFmtId="164" formatCode="[$-3409]dd\-mmm\-yy;@"/>
      <fill>
        <patternFill patternType="none">
          <fgColor indexed="64"/>
          <bgColor auto="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164" formatCode="[$-3409]dd\-mmm\-yy;@"/>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center" vertical="center" textRotation="0" wrapText="1" indent="0" justifyLastLine="0" shrinkToFit="0" readingOrder="0"/>
      <protection locked="0" hidden="0"/>
    </dxf>
    <dxf>
      <font>
        <strike val="0"/>
        <outline val="0"/>
        <shadow val="0"/>
        <u val="none"/>
        <vertAlign val="baseline"/>
        <sz val="12"/>
        <color auto="1"/>
        <name val="Arial"/>
        <scheme val="none"/>
      </font>
      <fill>
        <patternFill patternType="none">
          <fgColor indexed="64"/>
          <bgColor auto="1"/>
        </patternFill>
      </fill>
      <alignment horizontal="center" vertical="center" textRotation="0" wrapText="1" indent="0" justifyLastLine="0" shrinkToFit="0" readingOrder="0"/>
      <protection locked="0" hidden="0"/>
    </dxf>
    <dxf>
      <font>
        <b/>
        <strike val="0"/>
        <outline val="0"/>
        <shadow val="0"/>
        <u val="none"/>
        <vertAlign val="baseline"/>
        <sz val="12"/>
        <color auto="1"/>
        <name val="Arial"/>
        <scheme val="none"/>
      </font>
      <numFmt numFmtId="164" formatCode="[$-3409]dd\-mmm\-yy;@"/>
      <fill>
        <patternFill patternType="none">
          <fgColor indexed="64"/>
          <bgColor auto="1"/>
        </patternFill>
      </fill>
      <alignment horizontal="center" vertical="center" textRotation="0" wrapText="1" indent="0" justifyLastLine="0" shrinkToFit="0" readingOrder="0"/>
      <protection locked="0" hidden="0"/>
    </dxf>
    <dxf>
      <font>
        <b/>
        <i val="0"/>
        <strike val="0"/>
        <condense val="0"/>
        <extend val="0"/>
        <outline val="0"/>
        <shadow val="0"/>
        <u val="none"/>
        <vertAlign val="baseline"/>
        <sz val="12"/>
        <color auto="1"/>
        <name val="Arial"/>
        <scheme val="none"/>
      </font>
      <numFmt numFmtId="164" formatCode="[$-3409]dd\-mmm\-yy;@"/>
      <fill>
        <patternFill patternType="none">
          <fgColor indexed="64"/>
          <bgColor indexed="65"/>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2"/>
        <color auto="1"/>
        <name val="Arial"/>
        <scheme val="none"/>
      </font>
      <numFmt numFmtId="164" formatCode="[$-3409]dd\-mmm\-yy;@"/>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auto="1"/>
        <name val="Arial"/>
        <scheme val="none"/>
      </font>
      <fill>
        <patternFill patternType="none">
          <fgColor indexed="64"/>
          <bgColor auto="1"/>
        </patternFill>
      </fill>
      <alignment horizontal="center" vertical="center" textRotation="0" indent="0" justifyLastLine="0" shrinkToFit="0" readingOrder="0"/>
      <protection locked="0" hidden="0"/>
    </dxf>
    <dxf>
      <font>
        <strike val="0"/>
        <outline val="0"/>
        <shadow val="0"/>
        <u val="none"/>
        <vertAlign val="baseline"/>
        <sz val="12"/>
        <color auto="1"/>
        <name val="Arial"/>
        <scheme val="none"/>
      </font>
      <numFmt numFmtId="164" formatCode="[$-3409]dd\-mmm\-yy;@"/>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12"/>
        <color auto="1"/>
        <name val="Arial"/>
        <scheme val="none"/>
      </font>
      <fill>
        <patternFill patternType="none">
          <fgColor indexed="64"/>
          <bgColor auto="1"/>
        </patternFill>
      </fill>
      <alignment horizontal="center" vertical="center" textRotation="0" indent="0" justifyLastLine="0" shrinkToFit="0" readingOrder="0"/>
      <protection locked="0" hidden="0"/>
    </dxf>
    <dxf>
      <font>
        <strike val="0"/>
        <outline val="0"/>
        <shadow val="0"/>
        <u val="none"/>
        <vertAlign val="baseline"/>
        <sz val="12"/>
        <color auto="1"/>
        <name val="Arial"/>
        <scheme val="none"/>
      </font>
      <fill>
        <patternFill patternType="none">
          <fgColor indexed="64"/>
          <bgColor auto="1"/>
        </patternFill>
      </fill>
      <alignment horizontal="center" vertical="center" textRotation="0" indent="0" justifyLastLine="0" shrinkToFit="0" readingOrder="0"/>
      <protection locked="0" hidden="0"/>
    </dxf>
    <dxf>
      <font>
        <b val="0"/>
        <strike val="0"/>
        <outline val="0"/>
        <shadow val="0"/>
        <u val="none"/>
        <vertAlign val="baseline"/>
        <sz val="12"/>
        <color theme="0"/>
        <name val="Arial"/>
        <scheme val="none"/>
      </font>
      <fill>
        <patternFill patternType="none">
          <fgColor indexed="64"/>
          <bgColor auto="1"/>
        </patternFill>
      </fill>
      <alignment horizontal="center" vertical="center" textRotation="0" indent="0" justifyLastLine="0" shrinkToFit="0" readingOrder="0"/>
      <protection locked="1" hidden="0"/>
    </dxf>
    <dxf>
      <fill>
        <gradientFill degree="90">
          <stop position="0">
            <color theme="5" tint="0.40000610370189521"/>
          </stop>
          <stop position="1">
            <color theme="5" tint="-0.25098422193060094"/>
          </stop>
        </gradientFill>
      </fill>
    </dxf>
  </dxfs>
  <tableStyles count="1" defaultTableStyle="TableStyleMedium2" defaultPivotStyle="PivotStyleLight16">
    <tableStyle name="Table Style 1" pivot="0" count="1" xr9:uid="{00000000-0011-0000-FFFF-FFFF00000000}">
      <tableStyleElement type="wholeTable" dxfId="4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20</xdr:col>
      <xdr:colOff>2463053</xdr:colOff>
      <xdr:row>0</xdr:row>
      <xdr:rowOff>78958</xdr:rowOff>
    </xdr:from>
    <xdr:ext cx="919819" cy="763732"/>
    <xdr:pic>
      <xdr:nvPicPr>
        <xdr:cNvPr id="3" name="Picture 2">
          <a:extLst>
            <a:ext uri="{FF2B5EF4-FFF2-40B4-BE49-F238E27FC236}">
              <a16:creationId xmlns:a16="http://schemas.microsoft.com/office/drawing/2014/main" id="{A56BED37-77A4-D4BE-5D01-153E178AA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49089" y="78958"/>
          <a:ext cx="919819" cy="763732"/>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U524" totalsRowShown="0" headerRowDxfId="40" dataDxfId="39">
  <autoFilter ref="A2:U524" xr:uid="{00000000-0009-0000-0100-000001000000}"/>
  <sortState xmlns:xlrd2="http://schemas.microsoft.com/office/spreadsheetml/2017/richdata2" ref="A2:U122">
    <sortCondition ref="A1:A122"/>
  </sortState>
  <tableColumns count="21">
    <tableColumn id="1" xr3:uid="{00000000-0010-0000-0000-000001000000}" name="Change Control Number" dataDxfId="38"/>
    <tableColumn id="3" xr3:uid="{00000000-0010-0000-0000-000003000000}" name="Date Logged" dataDxfId="37"/>
    <tableColumn id="2" xr3:uid="{00000000-0010-0000-0000-000002000000}" name="Logged By" dataDxfId="36"/>
    <tableColumn id="16" xr3:uid="{00000000-0010-0000-0000-000010000000}" name="QA RP" dataDxfId="35"/>
    <tableColumn id="22" xr3:uid="{00000000-0010-0000-0000-000016000000}" name="Change Type" dataDxfId="34"/>
    <tableColumn id="8" xr3:uid="{00000000-0010-0000-0000-000008000000}" name="Change Summary" dataDxfId="33"/>
    <tableColumn id="9" xr3:uid="{00000000-0010-0000-0000-000009000000}" name="Details of change" dataDxfId="32"/>
    <tableColumn id="14" xr3:uid="{00000000-0010-0000-0000-00000E000000}" name="Associated Documents" dataDxfId="31"/>
    <tableColumn id="20" xr3:uid="{00000000-0010-0000-0000-000014000000}" name="Classification" dataDxfId="30"/>
    <tableColumn id="15" xr3:uid="{00000000-0010-0000-0000-00000F000000}" name="Action Plan" dataDxfId="29"/>
    <tableColumn id="18" xr3:uid="{00000000-0010-0000-0000-000012000000}" name="Person Assigned" dataDxfId="28"/>
    <tableColumn id="6" xr3:uid="{00000000-0010-0000-0000-000006000000}" name="Target Date:" dataDxfId="27"/>
    <tableColumn id="7" xr3:uid="{00000000-0010-0000-0000-000007000000}" name="Completion Date" dataDxfId="26"/>
    <tableColumn id="23" xr3:uid="{00000000-0010-0000-0000-000017000000}" name="Days Open" dataDxfId="25">
      <calculatedColumnFormula>Table1[[#This Row],[Completion Date]]-Table1[[#This Row],[Date Logged]]</calculatedColumnFormula>
    </tableColumn>
    <tableColumn id="4" xr3:uid="{00000000-0010-0000-0000-000004000000}" name="Current Status" dataDxfId="24"/>
    <tableColumn id="19" xr3:uid="{00000000-0010-0000-0000-000013000000}" name="Approved By" dataDxfId="23"/>
    <tableColumn id="17" xr3:uid="{00000000-0010-0000-0000-000011000000}" name="Effectiveness Check Required?" dataDxfId="22"/>
    <tableColumn id="13" xr3:uid="{00000000-0010-0000-0000-00000D000000}" name="Change Completed (Y/N)" dataDxfId="21"/>
    <tableColumn id="12" xr3:uid="{00000000-0010-0000-0000-00000C000000}" name="Wet ink copy filed away? (Y/N)" dataDxfId="20"/>
    <tableColumn id="11" xr3:uid="{00000000-0010-0000-0000-00000B000000}" name="Location" dataDxfId="19"/>
    <tableColumn id="5" xr3:uid="{00000000-0010-0000-0000-000005000000}" name="Comments" dataDxfId="18"/>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526"/>
  <sheetViews>
    <sheetView tabSelected="1" zoomScale="70" zoomScaleNormal="70" workbookViewId="0">
      <pane xSplit="1" ySplit="2" topLeftCell="B423" activePane="bottomRight" state="frozen"/>
      <selection pane="topRight" activeCell="B1" sqref="B1"/>
      <selection pane="bottomLeft" activeCell="A2" sqref="A2"/>
      <selection pane="bottomRight" activeCell="A434" sqref="A434"/>
    </sheetView>
  </sheetViews>
  <sheetFormatPr defaultColWidth="0" defaultRowHeight="19.5" customHeight="1" x14ac:dyDescent="0.3"/>
  <cols>
    <col min="1" max="1" width="19.88671875" style="1" bestFit="1" customWidth="1"/>
    <col min="2" max="2" width="14.33203125" style="7" customWidth="1"/>
    <col min="3" max="3" width="9.6640625" style="1" customWidth="1"/>
    <col min="4" max="4" width="9.33203125" style="8" customWidth="1"/>
    <col min="5" max="5" width="16.33203125" style="8" customWidth="1"/>
    <col min="6" max="6" width="34.33203125" style="9" customWidth="1"/>
    <col min="7" max="7" width="67.6640625" style="7" customWidth="1"/>
    <col min="8" max="8" width="34.33203125" style="11" bestFit="1" customWidth="1"/>
    <col min="9" max="9" width="17.33203125" style="11" customWidth="1"/>
    <col min="10" max="10" width="57.109375" style="69" customWidth="1"/>
    <col min="11" max="11" width="12.5546875" style="11" customWidth="1"/>
    <col min="12" max="12" width="16.33203125" style="28" customWidth="1"/>
    <col min="13" max="13" width="15.109375" style="11" customWidth="1"/>
    <col min="14" max="14" width="14.33203125" style="21" customWidth="1"/>
    <col min="15" max="15" width="20.33203125" style="11" customWidth="1"/>
    <col min="16" max="16" width="12.33203125" style="11" customWidth="1"/>
    <col min="17" max="17" width="17.6640625" style="11" customWidth="1"/>
    <col min="18" max="18" width="15" style="11" customWidth="1"/>
    <col min="19" max="19" width="15.44140625" style="11" customWidth="1"/>
    <col min="20" max="20" width="25.88671875" style="11" customWidth="1"/>
    <col min="21" max="21" width="49.6640625" style="2" customWidth="1"/>
    <col min="22" max="22" width="20.5546875" style="1" hidden="1" customWidth="1"/>
    <col min="23" max="23" width="55" style="2" hidden="1" customWidth="1"/>
    <col min="24" max="24" width="58" style="3" hidden="1" customWidth="1"/>
    <col min="25" max="25" width="31.109375" style="4" hidden="1" customWidth="1"/>
    <col min="26" max="26" width="17.88671875" style="5" hidden="1" customWidth="1"/>
    <col min="27" max="27" width="21" style="6" hidden="1" customWidth="1"/>
    <col min="28" max="28" width="19" style="6" hidden="1" customWidth="1"/>
    <col min="29" max="29" width="19.88671875" style="6" hidden="1" customWidth="1"/>
    <col min="30" max="30" width="18.33203125" style="3" hidden="1" customWidth="1"/>
    <col min="31" max="31" width="16.33203125" style="3" hidden="1" customWidth="1"/>
    <col min="32" max="32" width="26.33203125" style="3" hidden="1" customWidth="1"/>
    <col min="33" max="33" width="44.6640625" style="6" hidden="1" customWidth="1"/>
    <col min="34" max="38" width="0" style="6" hidden="1" customWidth="1"/>
    <col min="39" max="16384" width="17.33203125" style="6" hidden="1"/>
  </cols>
  <sheetData>
    <row r="1" spans="1:32" customFormat="1" ht="69.45" customHeight="1" x14ac:dyDescent="0.3">
      <c r="A1" s="71" t="s">
        <v>0</v>
      </c>
      <c r="B1" s="71"/>
      <c r="C1" s="71"/>
      <c r="D1" s="71"/>
      <c r="E1" s="71"/>
      <c r="F1" s="71"/>
      <c r="G1" s="71"/>
      <c r="H1" s="72" t="s">
        <v>1</v>
      </c>
      <c r="I1" s="72"/>
      <c r="J1" s="72"/>
      <c r="K1" s="72"/>
      <c r="L1" s="72"/>
      <c r="M1" s="72"/>
      <c r="N1" s="72"/>
      <c r="O1" s="73"/>
      <c r="P1" s="73"/>
      <c r="Q1" s="73"/>
      <c r="R1" s="73"/>
      <c r="S1" s="73"/>
      <c r="T1" s="73"/>
      <c r="U1" s="73"/>
    </row>
    <row r="2" spans="1:32" s="18" customFormat="1" ht="45" customHeight="1" x14ac:dyDescent="0.3">
      <c r="A2" s="16" t="s">
        <v>2</v>
      </c>
      <c r="B2" s="17" t="s">
        <v>3</v>
      </c>
      <c r="C2" s="16" t="s">
        <v>4</v>
      </c>
      <c r="D2" s="17" t="s">
        <v>5</v>
      </c>
      <c r="E2" s="17" t="s">
        <v>6</v>
      </c>
      <c r="F2" s="16" t="s">
        <v>7</v>
      </c>
      <c r="G2" s="16" t="s">
        <v>8</v>
      </c>
      <c r="H2" s="16" t="s">
        <v>9</v>
      </c>
      <c r="I2" s="17" t="s">
        <v>10</v>
      </c>
      <c r="J2" s="16" t="s">
        <v>11</v>
      </c>
      <c r="K2" s="16" t="s">
        <v>12</v>
      </c>
      <c r="L2" s="17" t="s">
        <v>13</v>
      </c>
      <c r="M2" s="17" t="s">
        <v>14</v>
      </c>
      <c r="N2" s="16" t="s">
        <v>15</v>
      </c>
      <c r="O2" s="16" t="s">
        <v>16</v>
      </c>
      <c r="P2" s="16" t="s">
        <v>17</v>
      </c>
      <c r="Q2" s="16" t="s">
        <v>18</v>
      </c>
      <c r="R2" s="16" t="s">
        <v>19</v>
      </c>
      <c r="S2" s="16" t="s">
        <v>20</v>
      </c>
      <c r="T2" s="16" t="s">
        <v>21</v>
      </c>
      <c r="U2" s="18" t="s">
        <v>22</v>
      </c>
      <c r="V2" s="19"/>
      <c r="W2" s="19"/>
    </row>
    <row r="3" spans="1:32" ht="75" x14ac:dyDescent="0.3">
      <c r="A3" s="1" t="s">
        <v>26</v>
      </c>
      <c r="B3" s="7">
        <v>46027</v>
      </c>
      <c r="C3" s="1" t="s">
        <v>23</v>
      </c>
      <c r="D3" s="8" t="s">
        <v>23</v>
      </c>
      <c r="E3" s="8" t="s">
        <v>24</v>
      </c>
      <c r="F3" s="2" t="s">
        <v>25</v>
      </c>
      <c r="G3" s="2" t="s">
        <v>40</v>
      </c>
      <c r="H3" s="2" t="s">
        <v>39</v>
      </c>
      <c r="I3" s="7" t="s">
        <v>38</v>
      </c>
      <c r="J3" s="2" t="s">
        <v>37</v>
      </c>
      <c r="K3" s="1" t="s">
        <v>23</v>
      </c>
      <c r="L3" s="7"/>
      <c r="M3" s="7">
        <v>46027</v>
      </c>
      <c r="N3" s="19">
        <f>Table1[[#This Row],[Completion Date]]-Table1[[#This Row],[Date Logged]]</f>
        <v>0</v>
      </c>
      <c r="O3" s="1" t="s">
        <v>58</v>
      </c>
      <c r="P3" s="1" t="s">
        <v>129</v>
      </c>
      <c r="Q3" s="2" t="s">
        <v>130</v>
      </c>
      <c r="R3" s="2" t="s">
        <v>131</v>
      </c>
      <c r="S3" s="2" t="s">
        <v>131</v>
      </c>
      <c r="T3" s="2" t="s">
        <v>132</v>
      </c>
      <c r="W3" s="1"/>
      <c r="X3" s="6"/>
      <c r="Y3" s="6"/>
      <c r="Z3" s="6"/>
      <c r="AD3" s="6"/>
      <c r="AE3" s="6"/>
      <c r="AF3" s="6"/>
    </row>
    <row r="4" spans="1:32" ht="75" x14ac:dyDescent="0.3">
      <c r="A4" s="1" t="s">
        <v>27</v>
      </c>
      <c r="B4" s="7">
        <v>46027</v>
      </c>
      <c r="C4" s="1" t="s">
        <v>23</v>
      </c>
      <c r="D4" s="8" t="s">
        <v>23</v>
      </c>
      <c r="E4" s="8" t="s">
        <v>24</v>
      </c>
      <c r="F4" s="2" t="s">
        <v>25</v>
      </c>
      <c r="G4" s="2" t="s">
        <v>40</v>
      </c>
      <c r="H4" s="2" t="s">
        <v>39</v>
      </c>
      <c r="I4" s="7" t="s">
        <v>38</v>
      </c>
      <c r="J4" s="2" t="s">
        <v>32</v>
      </c>
      <c r="K4" s="1" t="s">
        <v>41</v>
      </c>
      <c r="L4" s="7"/>
      <c r="M4" s="7">
        <v>46029</v>
      </c>
      <c r="N4" s="19">
        <f>Table1[[#This Row],[Completion Date]]-Table1[[#This Row],[Date Logged]]</f>
        <v>2</v>
      </c>
      <c r="O4" s="1" t="s">
        <v>58</v>
      </c>
      <c r="P4" s="1" t="s">
        <v>129</v>
      </c>
      <c r="Q4" s="2" t="s">
        <v>130</v>
      </c>
      <c r="R4" s="2" t="s">
        <v>131</v>
      </c>
      <c r="S4" s="2" t="s">
        <v>131</v>
      </c>
      <c r="T4" s="2" t="s">
        <v>132</v>
      </c>
      <c r="W4" s="1"/>
      <c r="X4" s="6"/>
      <c r="Y4" s="6"/>
      <c r="Z4" s="6"/>
      <c r="AD4" s="6"/>
      <c r="AE4" s="6"/>
      <c r="AF4" s="6"/>
    </row>
    <row r="5" spans="1:32" ht="75" x14ac:dyDescent="0.3">
      <c r="A5" s="1" t="s">
        <v>28</v>
      </c>
      <c r="B5" s="7">
        <v>46027</v>
      </c>
      <c r="C5" s="1" t="s">
        <v>23</v>
      </c>
      <c r="D5" s="8" t="s">
        <v>23</v>
      </c>
      <c r="E5" s="8" t="s">
        <v>24</v>
      </c>
      <c r="F5" s="2" t="s">
        <v>25</v>
      </c>
      <c r="G5" s="2" t="s">
        <v>40</v>
      </c>
      <c r="H5" s="2" t="s">
        <v>39</v>
      </c>
      <c r="I5" s="7" t="s">
        <v>38</v>
      </c>
      <c r="J5" s="2" t="s">
        <v>33</v>
      </c>
      <c r="K5" s="1" t="s">
        <v>23</v>
      </c>
      <c r="L5" s="7"/>
      <c r="M5" s="7">
        <v>46030</v>
      </c>
      <c r="N5" s="19">
        <f>Table1[[#This Row],[Completion Date]]-Table1[[#This Row],[Date Logged]]</f>
        <v>3</v>
      </c>
      <c r="O5" s="1" t="s">
        <v>58</v>
      </c>
      <c r="P5" s="1" t="s">
        <v>129</v>
      </c>
      <c r="Q5" s="2" t="s">
        <v>130</v>
      </c>
      <c r="R5" s="2" t="s">
        <v>131</v>
      </c>
      <c r="S5" s="2" t="s">
        <v>131</v>
      </c>
      <c r="T5" s="2" t="s">
        <v>132</v>
      </c>
      <c r="W5" s="1"/>
      <c r="X5" s="6"/>
      <c r="Y5" s="6"/>
      <c r="Z5" s="6"/>
      <c r="AD5" s="6"/>
      <c r="AE5" s="6"/>
      <c r="AF5" s="6"/>
    </row>
    <row r="6" spans="1:32" ht="75" x14ac:dyDescent="0.3">
      <c r="A6" s="1" t="s">
        <v>29</v>
      </c>
      <c r="B6" s="7">
        <v>46027</v>
      </c>
      <c r="C6" s="1" t="s">
        <v>23</v>
      </c>
      <c r="D6" s="8" t="s">
        <v>23</v>
      </c>
      <c r="E6" s="8" t="s">
        <v>24</v>
      </c>
      <c r="F6" s="2" t="s">
        <v>25</v>
      </c>
      <c r="G6" s="2" t="s">
        <v>40</v>
      </c>
      <c r="H6" s="2" t="s">
        <v>39</v>
      </c>
      <c r="I6" s="7" t="s">
        <v>38</v>
      </c>
      <c r="J6" s="2" t="s">
        <v>34</v>
      </c>
      <c r="K6" s="1" t="s">
        <v>42</v>
      </c>
      <c r="L6" s="7"/>
      <c r="M6" s="7">
        <v>46031</v>
      </c>
      <c r="N6" s="19">
        <f>Table1[[#This Row],[Completion Date]]-Table1[[#This Row],[Date Logged]]</f>
        <v>4</v>
      </c>
      <c r="O6" s="1" t="s">
        <v>58</v>
      </c>
      <c r="P6" s="1" t="s">
        <v>129</v>
      </c>
      <c r="Q6" s="2" t="s">
        <v>130</v>
      </c>
      <c r="R6" s="2" t="s">
        <v>131</v>
      </c>
      <c r="S6" s="2" t="s">
        <v>131</v>
      </c>
      <c r="T6" s="2" t="s">
        <v>132</v>
      </c>
      <c r="W6" s="1"/>
      <c r="X6" s="6"/>
      <c r="Y6" s="6"/>
      <c r="Z6" s="6"/>
      <c r="AD6" s="6"/>
      <c r="AE6" s="6"/>
      <c r="AF6" s="6"/>
    </row>
    <row r="7" spans="1:32" ht="75" x14ac:dyDescent="0.3">
      <c r="A7" s="1" t="s">
        <v>30</v>
      </c>
      <c r="B7" s="7">
        <v>46027</v>
      </c>
      <c r="C7" s="1" t="s">
        <v>23</v>
      </c>
      <c r="D7" s="8" t="s">
        <v>23</v>
      </c>
      <c r="E7" s="8" t="s">
        <v>24</v>
      </c>
      <c r="F7" s="2" t="s">
        <v>25</v>
      </c>
      <c r="G7" s="2" t="s">
        <v>40</v>
      </c>
      <c r="H7" s="2" t="s">
        <v>39</v>
      </c>
      <c r="I7" s="7" t="s">
        <v>38</v>
      </c>
      <c r="J7" s="2" t="s">
        <v>35</v>
      </c>
      <c r="K7" s="1" t="s">
        <v>23</v>
      </c>
      <c r="L7" s="7">
        <v>46058</v>
      </c>
      <c r="M7" s="7">
        <v>46030</v>
      </c>
      <c r="N7" s="19">
        <f>Table1[[#This Row],[Completion Date]]-Table1[[#This Row],[Date Logged]]</f>
        <v>3</v>
      </c>
      <c r="O7" s="1" t="s">
        <v>58</v>
      </c>
      <c r="P7" s="1" t="s">
        <v>129</v>
      </c>
      <c r="Q7" s="2" t="s">
        <v>130</v>
      </c>
      <c r="R7" s="2" t="s">
        <v>131</v>
      </c>
      <c r="S7" s="2" t="s">
        <v>131</v>
      </c>
      <c r="T7" s="2" t="s">
        <v>132</v>
      </c>
      <c r="W7" s="1"/>
      <c r="X7" s="6"/>
      <c r="Y7" s="6"/>
      <c r="Z7" s="6"/>
      <c r="AD7" s="6"/>
      <c r="AE7" s="6"/>
      <c r="AF7" s="6"/>
    </row>
    <row r="8" spans="1:32" ht="75" x14ac:dyDescent="0.3">
      <c r="A8" s="1" t="s">
        <v>31</v>
      </c>
      <c r="B8" s="7">
        <v>46027</v>
      </c>
      <c r="C8" s="1" t="s">
        <v>23</v>
      </c>
      <c r="D8" s="8" t="s">
        <v>23</v>
      </c>
      <c r="E8" s="8" t="s">
        <v>24</v>
      </c>
      <c r="F8" s="2" t="s">
        <v>25</v>
      </c>
      <c r="G8" s="2" t="s">
        <v>40</v>
      </c>
      <c r="H8" s="2" t="s">
        <v>39</v>
      </c>
      <c r="I8" s="7" t="s">
        <v>38</v>
      </c>
      <c r="J8" s="2" t="s">
        <v>36</v>
      </c>
      <c r="K8" s="1" t="s">
        <v>43</v>
      </c>
      <c r="L8" s="7">
        <v>46058</v>
      </c>
      <c r="M8" s="7">
        <v>46030</v>
      </c>
      <c r="N8" s="19">
        <f>Table1[[#This Row],[Completion Date]]-Table1[[#This Row],[Date Logged]]</f>
        <v>3</v>
      </c>
      <c r="O8" s="1" t="s">
        <v>58</v>
      </c>
      <c r="P8" s="1" t="s">
        <v>129</v>
      </c>
      <c r="Q8" s="2" t="s">
        <v>130</v>
      </c>
      <c r="R8" s="2" t="s">
        <v>131</v>
      </c>
      <c r="S8" s="2" t="s">
        <v>131</v>
      </c>
      <c r="T8" s="2" t="s">
        <v>132</v>
      </c>
      <c r="W8" s="1"/>
      <c r="X8" s="6"/>
      <c r="Y8" s="6"/>
      <c r="Z8" s="6"/>
      <c r="AD8" s="6"/>
      <c r="AE8" s="6"/>
      <c r="AF8" s="6"/>
    </row>
    <row r="9" spans="1:32" ht="409.6" x14ac:dyDescent="0.3">
      <c r="A9" s="1" t="s">
        <v>50</v>
      </c>
      <c r="B9" s="7">
        <v>46027</v>
      </c>
      <c r="C9" s="1" t="s">
        <v>44</v>
      </c>
      <c r="D9" s="8" t="s">
        <v>44</v>
      </c>
      <c r="E9" s="8" t="s">
        <v>48</v>
      </c>
      <c r="F9" s="2" t="s">
        <v>46</v>
      </c>
      <c r="G9" s="2" t="s">
        <v>49</v>
      </c>
      <c r="H9" s="2" t="s">
        <v>47</v>
      </c>
      <c r="I9" s="7" t="s">
        <v>38</v>
      </c>
      <c r="J9" s="22" t="s">
        <v>54</v>
      </c>
      <c r="K9" s="1" t="s">
        <v>45</v>
      </c>
      <c r="L9" s="7">
        <v>46058</v>
      </c>
      <c r="M9" s="7">
        <v>46135</v>
      </c>
      <c r="N9" s="19">
        <f>Table1[[#This Row],[Completion Date]]-Table1[[#This Row],[Date Logged]]</f>
        <v>108</v>
      </c>
      <c r="O9" s="1" t="s">
        <v>58</v>
      </c>
      <c r="P9" s="1" t="s">
        <v>161</v>
      </c>
      <c r="Q9" s="2" t="s">
        <v>130</v>
      </c>
      <c r="R9" s="2" t="s">
        <v>131</v>
      </c>
      <c r="S9" s="2" t="s">
        <v>131</v>
      </c>
      <c r="T9" s="2" t="s">
        <v>132</v>
      </c>
      <c r="W9" s="1"/>
      <c r="X9" s="6"/>
      <c r="Y9" s="6"/>
      <c r="Z9" s="6"/>
      <c r="AD9" s="6"/>
      <c r="AE9" s="6"/>
      <c r="AF9" s="6"/>
    </row>
    <row r="10" spans="1:32" ht="409.6" x14ac:dyDescent="0.3">
      <c r="A10" s="1" t="s">
        <v>51</v>
      </c>
      <c r="B10" s="7">
        <v>46027</v>
      </c>
      <c r="C10" s="1" t="s">
        <v>44</v>
      </c>
      <c r="D10" s="8" t="s">
        <v>44</v>
      </c>
      <c r="E10" s="8" t="s">
        <v>48</v>
      </c>
      <c r="F10" s="2" t="s">
        <v>46</v>
      </c>
      <c r="G10" s="2" t="s">
        <v>49</v>
      </c>
      <c r="H10" s="2" t="s">
        <v>47</v>
      </c>
      <c r="I10" s="7" t="s">
        <v>38</v>
      </c>
      <c r="J10" s="22" t="s">
        <v>57</v>
      </c>
      <c r="K10" s="1" t="s">
        <v>45</v>
      </c>
      <c r="L10" s="7">
        <v>46058</v>
      </c>
      <c r="M10" s="7">
        <v>46135</v>
      </c>
      <c r="N10" s="19">
        <f>Table1[[#This Row],[Completion Date]]-Table1[[#This Row],[Date Logged]]</f>
        <v>108</v>
      </c>
      <c r="O10" s="1" t="s">
        <v>58</v>
      </c>
      <c r="P10" s="1" t="s">
        <v>161</v>
      </c>
      <c r="Q10" s="2" t="s">
        <v>130</v>
      </c>
      <c r="R10" s="2" t="s">
        <v>131</v>
      </c>
      <c r="S10" s="2" t="s">
        <v>131</v>
      </c>
      <c r="T10" s="2" t="s">
        <v>132</v>
      </c>
      <c r="W10" s="1"/>
      <c r="X10" s="6"/>
      <c r="Y10" s="6"/>
      <c r="Z10" s="6"/>
      <c r="AD10" s="6"/>
      <c r="AE10" s="6"/>
      <c r="AF10" s="6"/>
    </row>
    <row r="11" spans="1:32" ht="409.6" x14ac:dyDescent="0.3">
      <c r="A11" s="1" t="s">
        <v>52</v>
      </c>
      <c r="B11" s="7">
        <v>46027</v>
      </c>
      <c r="C11" s="1" t="s">
        <v>44</v>
      </c>
      <c r="D11" s="8" t="s">
        <v>44</v>
      </c>
      <c r="E11" s="8" t="s">
        <v>48</v>
      </c>
      <c r="F11" s="2" t="s">
        <v>46</v>
      </c>
      <c r="G11" s="2" t="s">
        <v>49</v>
      </c>
      <c r="H11" s="2" t="s">
        <v>47</v>
      </c>
      <c r="I11" s="7" t="s">
        <v>38</v>
      </c>
      <c r="J11" s="22" t="s">
        <v>55</v>
      </c>
      <c r="K11" s="1" t="s">
        <v>45</v>
      </c>
      <c r="L11" s="7">
        <v>46058</v>
      </c>
      <c r="M11" s="7">
        <v>46135</v>
      </c>
      <c r="N11" s="19">
        <f>Table1[[#This Row],[Completion Date]]-Table1[[#This Row],[Date Logged]]</f>
        <v>108</v>
      </c>
      <c r="O11" s="1" t="s">
        <v>58</v>
      </c>
      <c r="P11" s="1" t="s">
        <v>161</v>
      </c>
      <c r="Q11" s="2" t="s">
        <v>130</v>
      </c>
      <c r="R11" s="2" t="s">
        <v>131</v>
      </c>
      <c r="S11" s="2" t="s">
        <v>131</v>
      </c>
      <c r="T11" s="2" t="s">
        <v>132</v>
      </c>
      <c r="W11" s="1"/>
      <c r="X11" s="6"/>
      <c r="Y11" s="6"/>
      <c r="Z11" s="6"/>
      <c r="AD11" s="6"/>
      <c r="AE11" s="6"/>
      <c r="AF11" s="6"/>
    </row>
    <row r="12" spans="1:32" ht="409.6" x14ac:dyDescent="0.3">
      <c r="A12" s="1" t="s">
        <v>53</v>
      </c>
      <c r="B12" s="7">
        <v>46027</v>
      </c>
      <c r="C12" s="1" t="s">
        <v>44</v>
      </c>
      <c r="D12" s="8" t="s">
        <v>44</v>
      </c>
      <c r="E12" s="8" t="s">
        <v>48</v>
      </c>
      <c r="F12" s="2" t="s">
        <v>46</v>
      </c>
      <c r="G12" s="2" t="s">
        <v>49</v>
      </c>
      <c r="H12" s="2" t="s">
        <v>47</v>
      </c>
      <c r="I12" s="7" t="s">
        <v>38</v>
      </c>
      <c r="J12" s="2" t="s">
        <v>56</v>
      </c>
      <c r="K12" s="1" t="s">
        <v>45</v>
      </c>
      <c r="L12" s="7">
        <v>46058</v>
      </c>
      <c r="M12" s="7">
        <v>46135</v>
      </c>
      <c r="N12" s="19">
        <f>Table1[[#This Row],[Completion Date]]-Table1[[#This Row],[Date Logged]]</f>
        <v>108</v>
      </c>
      <c r="O12" s="1" t="s">
        <v>58</v>
      </c>
      <c r="P12" s="1" t="s">
        <v>161</v>
      </c>
      <c r="Q12" s="2" t="s">
        <v>130</v>
      </c>
      <c r="R12" s="2" t="s">
        <v>131</v>
      </c>
      <c r="S12" s="2" t="s">
        <v>131</v>
      </c>
      <c r="T12" s="2" t="s">
        <v>132</v>
      </c>
      <c r="W12" s="1"/>
      <c r="X12" s="6"/>
      <c r="Y12" s="6"/>
      <c r="Z12" s="6"/>
      <c r="AD12" s="6"/>
      <c r="AE12" s="6"/>
      <c r="AF12" s="6"/>
    </row>
    <row r="13" spans="1:32" ht="90" x14ac:dyDescent="0.3">
      <c r="A13" s="1" t="s">
        <v>60</v>
      </c>
      <c r="B13" s="7">
        <v>46027</v>
      </c>
      <c r="C13" s="1" t="s">
        <v>23</v>
      </c>
      <c r="D13" s="8" t="s">
        <v>23</v>
      </c>
      <c r="E13" s="8" t="s">
        <v>24</v>
      </c>
      <c r="F13" s="2" t="s">
        <v>66</v>
      </c>
      <c r="G13" s="2" t="s">
        <v>67</v>
      </c>
      <c r="H13" s="2" t="s">
        <v>68</v>
      </c>
      <c r="I13" s="7" t="s">
        <v>38</v>
      </c>
      <c r="J13" s="2" t="s">
        <v>69</v>
      </c>
      <c r="K13" s="1" t="s">
        <v>23</v>
      </c>
      <c r="L13" s="7">
        <v>46030</v>
      </c>
      <c r="M13" s="7">
        <v>46030</v>
      </c>
      <c r="N13" s="19">
        <f>Table1[[#This Row],[Completion Date]]-Table1[[#This Row],[Date Logged]]</f>
        <v>3</v>
      </c>
      <c r="O13" s="1" t="s">
        <v>58</v>
      </c>
      <c r="P13" s="1" t="s">
        <v>129</v>
      </c>
      <c r="Q13" s="2" t="s">
        <v>130</v>
      </c>
      <c r="R13" s="2" t="s">
        <v>131</v>
      </c>
      <c r="S13" s="2" t="s">
        <v>131</v>
      </c>
      <c r="T13" s="2" t="s">
        <v>132</v>
      </c>
      <c r="W13" s="1"/>
      <c r="X13" s="6"/>
      <c r="Y13" s="6"/>
      <c r="Z13" s="6"/>
      <c r="AD13" s="6"/>
      <c r="AE13" s="6"/>
      <c r="AF13" s="6"/>
    </row>
    <row r="14" spans="1:32" ht="90" x14ac:dyDescent="0.3">
      <c r="A14" s="1" t="s">
        <v>61</v>
      </c>
      <c r="B14" s="7">
        <v>46027</v>
      </c>
      <c r="C14" s="1" t="s">
        <v>23</v>
      </c>
      <c r="D14" s="8" t="s">
        <v>23</v>
      </c>
      <c r="E14" s="8" t="s">
        <v>24</v>
      </c>
      <c r="F14" s="2" t="s">
        <v>66</v>
      </c>
      <c r="G14" s="2" t="s">
        <v>67</v>
      </c>
      <c r="H14" s="2" t="s">
        <v>68</v>
      </c>
      <c r="I14" s="7" t="s">
        <v>38</v>
      </c>
      <c r="J14" s="2" t="s">
        <v>32</v>
      </c>
      <c r="K14" s="1" t="s">
        <v>41</v>
      </c>
      <c r="L14" s="7">
        <v>46061</v>
      </c>
      <c r="M14" s="7">
        <v>46030</v>
      </c>
      <c r="N14" s="19">
        <f>Table1[[#This Row],[Completion Date]]-Table1[[#This Row],[Date Logged]]</f>
        <v>3</v>
      </c>
      <c r="O14" s="1" t="s">
        <v>58</v>
      </c>
      <c r="P14" s="1" t="s">
        <v>129</v>
      </c>
      <c r="Q14" s="2" t="s">
        <v>130</v>
      </c>
      <c r="R14" s="2" t="s">
        <v>131</v>
      </c>
      <c r="S14" s="2" t="s">
        <v>131</v>
      </c>
      <c r="T14" s="2" t="s">
        <v>132</v>
      </c>
      <c r="W14" s="1"/>
      <c r="X14" s="6"/>
      <c r="Y14" s="6"/>
      <c r="Z14" s="6"/>
      <c r="AD14" s="6"/>
      <c r="AE14" s="6"/>
      <c r="AF14" s="6"/>
    </row>
    <row r="15" spans="1:32" ht="90" x14ac:dyDescent="0.3">
      <c r="A15" s="1" t="s">
        <v>62</v>
      </c>
      <c r="B15" s="7">
        <v>46027</v>
      </c>
      <c r="C15" s="1" t="s">
        <v>23</v>
      </c>
      <c r="D15" s="8" t="s">
        <v>23</v>
      </c>
      <c r="E15" s="8" t="s">
        <v>24</v>
      </c>
      <c r="F15" s="2" t="s">
        <v>66</v>
      </c>
      <c r="G15" s="2" t="s">
        <v>67</v>
      </c>
      <c r="H15" s="2" t="s">
        <v>68</v>
      </c>
      <c r="I15" s="7" t="s">
        <v>38</v>
      </c>
      <c r="J15" s="2" t="s">
        <v>33</v>
      </c>
      <c r="K15" s="1" t="s">
        <v>23</v>
      </c>
      <c r="L15" s="7">
        <v>46061</v>
      </c>
      <c r="M15" s="7">
        <v>46030</v>
      </c>
      <c r="N15" s="19">
        <f>Table1[[#This Row],[Completion Date]]-Table1[[#This Row],[Date Logged]]</f>
        <v>3</v>
      </c>
      <c r="O15" s="1" t="s">
        <v>58</v>
      </c>
      <c r="P15" s="1" t="s">
        <v>129</v>
      </c>
      <c r="Q15" s="2" t="s">
        <v>130</v>
      </c>
      <c r="R15" s="2" t="s">
        <v>131</v>
      </c>
      <c r="S15" s="2" t="s">
        <v>131</v>
      </c>
      <c r="T15" s="2" t="s">
        <v>132</v>
      </c>
      <c r="W15" s="1"/>
      <c r="X15" s="6"/>
      <c r="Y15" s="6"/>
      <c r="Z15" s="6"/>
      <c r="AD15" s="6"/>
      <c r="AE15" s="6"/>
      <c r="AF15" s="6"/>
    </row>
    <row r="16" spans="1:32" ht="90" x14ac:dyDescent="0.3">
      <c r="A16" s="1" t="s">
        <v>63</v>
      </c>
      <c r="B16" s="7">
        <v>46027</v>
      </c>
      <c r="C16" s="1" t="s">
        <v>23</v>
      </c>
      <c r="D16" s="8" t="s">
        <v>23</v>
      </c>
      <c r="E16" s="8" t="s">
        <v>24</v>
      </c>
      <c r="F16" s="2" t="s">
        <v>66</v>
      </c>
      <c r="G16" s="2" t="s">
        <v>67</v>
      </c>
      <c r="H16" s="2" t="s">
        <v>68</v>
      </c>
      <c r="I16" s="7" t="s">
        <v>38</v>
      </c>
      <c r="J16" s="2" t="s">
        <v>34</v>
      </c>
      <c r="K16" s="1" t="s">
        <v>42</v>
      </c>
      <c r="L16" s="7">
        <v>46061</v>
      </c>
      <c r="M16" s="7">
        <v>46030</v>
      </c>
      <c r="N16" s="19">
        <f>Table1[[#This Row],[Completion Date]]-Table1[[#This Row],[Date Logged]]</f>
        <v>3</v>
      </c>
      <c r="O16" s="1" t="s">
        <v>58</v>
      </c>
      <c r="P16" s="1" t="s">
        <v>129</v>
      </c>
      <c r="Q16" s="2" t="s">
        <v>130</v>
      </c>
      <c r="R16" s="2" t="s">
        <v>131</v>
      </c>
      <c r="S16" s="2" t="s">
        <v>131</v>
      </c>
      <c r="T16" s="2" t="s">
        <v>132</v>
      </c>
      <c r="W16" s="1"/>
      <c r="X16" s="6"/>
      <c r="Y16" s="6"/>
      <c r="Z16" s="6"/>
      <c r="AD16" s="6"/>
      <c r="AE16" s="6"/>
      <c r="AF16" s="6"/>
    </row>
    <row r="17" spans="1:32" ht="90" x14ac:dyDescent="0.3">
      <c r="A17" s="1" t="s">
        <v>64</v>
      </c>
      <c r="B17" s="7">
        <v>46027</v>
      </c>
      <c r="C17" s="1" t="s">
        <v>23</v>
      </c>
      <c r="D17" s="8" t="s">
        <v>23</v>
      </c>
      <c r="E17" s="8" t="s">
        <v>24</v>
      </c>
      <c r="F17" s="2" t="s">
        <v>66</v>
      </c>
      <c r="G17" s="2" t="s">
        <v>67</v>
      </c>
      <c r="H17" s="2" t="s">
        <v>68</v>
      </c>
      <c r="I17" s="7" t="s">
        <v>38</v>
      </c>
      <c r="J17" s="2" t="s">
        <v>35</v>
      </c>
      <c r="K17" s="1" t="s">
        <v>23</v>
      </c>
      <c r="L17" s="7">
        <v>46061</v>
      </c>
      <c r="M17" s="7">
        <v>46030</v>
      </c>
      <c r="N17" s="19">
        <f>Table1[[#This Row],[Completion Date]]-Table1[[#This Row],[Date Logged]]</f>
        <v>3</v>
      </c>
      <c r="O17" s="1" t="s">
        <v>58</v>
      </c>
      <c r="P17" s="1" t="s">
        <v>129</v>
      </c>
      <c r="Q17" s="2" t="s">
        <v>130</v>
      </c>
      <c r="R17" s="2" t="s">
        <v>131</v>
      </c>
      <c r="S17" s="2" t="s">
        <v>131</v>
      </c>
      <c r="T17" s="2" t="s">
        <v>132</v>
      </c>
      <c r="W17" s="1"/>
      <c r="X17" s="6"/>
      <c r="Y17" s="6"/>
      <c r="Z17" s="6"/>
      <c r="AD17" s="6"/>
      <c r="AE17" s="6"/>
      <c r="AF17" s="6"/>
    </row>
    <row r="18" spans="1:32" ht="90" x14ac:dyDescent="0.3">
      <c r="A18" s="1" t="s">
        <v>65</v>
      </c>
      <c r="B18" s="7">
        <v>46027</v>
      </c>
      <c r="C18" s="1" t="s">
        <v>23</v>
      </c>
      <c r="D18" s="8" t="s">
        <v>23</v>
      </c>
      <c r="E18" s="8" t="s">
        <v>24</v>
      </c>
      <c r="F18" s="2" t="s">
        <v>66</v>
      </c>
      <c r="G18" s="2" t="s">
        <v>67</v>
      </c>
      <c r="H18" s="2" t="s">
        <v>68</v>
      </c>
      <c r="I18" s="7" t="s">
        <v>38</v>
      </c>
      <c r="J18" s="2" t="s">
        <v>128</v>
      </c>
      <c r="K18" s="1" t="s">
        <v>43</v>
      </c>
      <c r="L18" s="7">
        <v>46061</v>
      </c>
      <c r="M18" s="7">
        <v>46030</v>
      </c>
      <c r="N18" s="19">
        <f>Table1[[#This Row],[Completion Date]]-Table1[[#This Row],[Date Logged]]</f>
        <v>3</v>
      </c>
      <c r="O18" s="1" t="s">
        <v>58</v>
      </c>
      <c r="P18" s="1" t="s">
        <v>129</v>
      </c>
      <c r="Q18" s="2" t="s">
        <v>130</v>
      </c>
      <c r="R18" s="2" t="s">
        <v>131</v>
      </c>
      <c r="S18" s="2" t="s">
        <v>131</v>
      </c>
      <c r="T18" s="2" t="s">
        <v>132</v>
      </c>
      <c r="W18" s="1"/>
      <c r="X18" s="6"/>
      <c r="Y18" s="6"/>
      <c r="Z18" s="6"/>
      <c r="AD18" s="6"/>
      <c r="AE18" s="6"/>
      <c r="AF18" s="6"/>
    </row>
    <row r="19" spans="1:32" ht="390" x14ac:dyDescent="0.3">
      <c r="A19" s="1" t="s">
        <v>71</v>
      </c>
      <c r="B19" s="7">
        <v>46030</v>
      </c>
      <c r="C19" s="1" t="s">
        <v>89</v>
      </c>
      <c r="D19" s="8" t="s">
        <v>23</v>
      </c>
      <c r="E19" s="8" t="s">
        <v>24</v>
      </c>
      <c r="F19" s="2" t="s">
        <v>86</v>
      </c>
      <c r="G19" s="2" t="s">
        <v>87</v>
      </c>
      <c r="H19" s="2" t="s">
        <v>77</v>
      </c>
      <c r="I19" s="7" t="s">
        <v>78</v>
      </c>
      <c r="J19" s="2" t="s">
        <v>82</v>
      </c>
      <c r="K19" s="1" t="s">
        <v>41</v>
      </c>
      <c r="L19" s="7">
        <v>46045</v>
      </c>
      <c r="M19" s="7">
        <v>46042</v>
      </c>
      <c r="N19" s="19">
        <f>Table1[[#This Row],[Completion Date]]-Table1[[#This Row],[Date Logged]]</f>
        <v>12</v>
      </c>
      <c r="O19" s="1" t="s">
        <v>58</v>
      </c>
      <c r="P19" s="1" t="s">
        <v>161</v>
      </c>
      <c r="Q19" s="2" t="s">
        <v>131</v>
      </c>
      <c r="R19" s="2" t="s">
        <v>131</v>
      </c>
      <c r="S19" s="2" t="s">
        <v>131</v>
      </c>
      <c r="T19" s="2" t="s">
        <v>223</v>
      </c>
      <c r="U19" s="1" t="s">
        <v>777</v>
      </c>
      <c r="W19" s="1"/>
      <c r="X19" s="6"/>
      <c r="Y19" s="6"/>
      <c r="Z19" s="6"/>
      <c r="AD19" s="6"/>
      <c r="AE19" s="6"/>
      <c r="AF19" s="6"/>
    </row>
    <row r="20" spans="1:32" ht="390" x14ac:dyDescent="0.3">
      <c r="A20" s="1" t="s">
        <v>72</v>
      </c>
      <c r="B20" s="7">
        <v>46030</v>
      </c>
      <c r="C20" s="1" t="s">
        <v>89</v>
      </c>
      <c r="D20" s="8" t="s">
        <v>23</v>
      </c>
      <c r="E20" s="8" t="s">
        <v>24</v>
      </c>
      <c r="F20" s="2" t="s">
        <v>86</v>
      </c>
      <c r="G20" s="2" t="s">
        <v>87</v>
      </c>
      <c r="H20" s="2" t="s">
        <v>77</v>
      </c>
      <c r="I20" s="7" t="s">
        <v>78</v>
      </c>
      <c r="J20" s="2" t="s">
        <v>179</v>
      </c>
      <c r="K20" s="1" t="s">
        <v>79</v>
      </c>
      <c r="L20" s="7">
        <v>46048</v>
      </c>
      <c r="M20" s="7">
        <v>46042</v>
      </c>
      <c r="N20" s="19">
        <f>Table1[[#This Row],[Completion Date]]-Table1[[#This Row],[Date Logged]]</f>
        <v>12</v>
      </c>
      <c r="O20" s="1" t="s">
        <v>58</v>
      </c>
      <c r="P20" s="1" t="s">
        <v>161</v>
      </c>
      <c r="Q20" s="2" t="s">
        <v>131</v>
      </c>
      <c r="R20" s="2" t="s">
        <v>131</v>
      </c>
      <c r="S20" s="2" t="s">
        <v>131</v>
      </c>
      <c r="T20" s="2" t="s">
        <v>223</v>
      </c>
      <c r="U20" s="1" t="s">
        <v>777</v>
      </c>
      <c r="W20" s="1"/>
      <c r="X20" s="6"/>
      <c r="Y20" s="6"/>
      <c r="Z20" s="6"/>
      <c r="AD20" s="6"/>
      <c r="AE20" s="6"/>
      <c r="AF20" s="6"/>
    </row>
    <row r="21" spans="1:32" ht="390" x14ac:dyDescent="0.3">
      <c r="A21" s="1" t="s">
        <v>73</v>
      </c>
      <c r="B21" s="7">
        <v>46030</v>
      </c>
      <c r="C21" s="1" t="s">
        <v>89</v>
      </c>
      <c r="D21" s="8" t="s">
        <v>23</v>
      </c>
      <c r="E21" s="8" t="s">
        <v>24</v>
      </c>
      <c r="F21" s="2" t="s">
        <v>86</v>
      </c>
      <c r="G21" s="2" t="s">
        <v>87</v>
      </c>
      <c r="H21" s="2" t="s">
        <v>77</v>
      </c>
      <c r="I21" s="7" t="s">
        <v>78</v>
      </c>
      <c r="J21" s="2" t="s">
        <v>83</v>
      </c>
      <c r="K21" s="1" t="s">
        <v>42</v>
      </c>
      <c r="L21" s="7">
        <v>46049</v>
      </c>
      <c r="M21" s="7">
        <v>46042</v>
      </c>
      <c r="N21" s="19">
        <f>Table1[[#This Row],[Completion Date]]-Table1[[#This Row],[Date Logged]]</f>
        <v>12</v>
      </c>
      <c r="O21" s="1" t="s">
        <v>58</v>
      </c>
      <c r="P21" s="1" t="s">
        <v>161</v>
      </c>
      <c r="Q21" s="2" t="s">
        <v>131</v>
      </c>
      <c r="R21" s="2" t="s">
        <v>131</v>
      </c>
      <c r="S21" s="2" t="s">
        <v>131</v>
      </c>
      <c r="T21" s="2" t="s">
        <v>223</v>
      </c>
      <c r="U21" s="1" t="s">
        <v>777</v>
      </c>
      <c r="W21" s="1"/>
      <c r="X21" s="6"/>
      <c r="Y21" s="6"/>
      <c r="Z21" s="6"/>
      <c r="AD21" s="6"/>
      <c r="AE21" s="6"/>
      <c r="AF21" s="6"/>
    </row>
    <row r="22" spans="1:32" ht="390" x14ac:dyDescent="0.3">
      <c r="A22" s="1" t="s">
        <v>74</v>
      </c>
      <c r="B22" s="7">
        <v>46030</v>
      </c>
      <c r="C22" s="1" t="s">
        <v>89</v>
      </c>
      <c r="D22" s="8" t="s">
        <v>23</v>
      </c>
      <c r="E22" s="8" t="s">
        <v>24</v>
      </c>
      <c r="F22" s="2" t="s">
        <v>86</v>
      </c>
      <c r="G22" s="2" t="s">
        <v>87</v>
      </c>
      <c r="H22" s="2" t="s">
        <v>77</v>
      </c>
      <c r="I22" s="7" t="s">
        <v>78</v>
      </c>
      <c r="J22" s="2" t="s">
        <v>84</v>
      </c>
      <c r="K22" s="1" t="s">
        <v>80</v>
      </c>
      <c r="L22" s="7">
        <v>46050</v>
      </c>
      <c r="M22" s="7">
        <v>46042</v>
      </c>
      <c r="N22" s="19">
        <f>Table1[[#This Row],[Completion Date]]-Table1[[#This Row],[Date Logged]]</f>
        <v>12</v>
      </c>
      <c r="O22" s="1" t="s">
        <v>58</v>
      </c>
      <c r="P22" s="1" t="s">
        <v>161</v>
      </c>
      <c r="Q22" s="2" t="s">
        <v>131</v>
      </c>
      <c r="R22" s="2" t="s">
        <v>131</v>
      </c>
      <c r="S22" s="2" t="s">
        <v>131</v>
      </c>
      <c r="T22" s="2" t="s">
        <v>223</v>
      </c>
      <c r="U22" s="1" t="s">
        <v>777</v>
      </c>
      <c r="W22" s="1"/>
      <c r="X22" s="6"/>
      <c r="Y22" s="6"/>
      <c r="Z22" s="6"/>
      <c r="AD22" s="6"/>
      <c r="AE22" s="6"/>
      <c r="AF22" s="6"/>
    </row>
    <row r="23" spans="1:32" ht="390" x14ac:dyDescent="0.3">
      <c r="A23" s="1" t="s">
        <v>75</v>
      </c>
      <c r="B23" s="7">
        <v>46030</v>
      </c>
      <c r="C23" s="1" t="s">
        <v>89</v>
      </c>
      <c r="D23" s="8" t="s">
        <v>23</v>
      </c>
      <c r="E23" s="8" t="s">
        <v>24</v>
      </c>
      <c r="F23" s="2" t="s">
        <v>86</v>
      </c>
      <c r="G23" s="2" t="s">
        <v>87</v>
      </c>
      <c r="H23" s="2" t="s">
        <v>77</v>
      </c>
      <c r="I23" s="7" t="s">
        <v>78</v>
      </c>
      <c r="J23" s="2" t="s">
        <v>180</v>
      </c>
      <c r="K23" s="1" t="s">
        <v>81</v>
      </c>
      <c r="L23" s="7">
        <v>46050</v>
      </c>
      <c r="M23" s="7">
        <v>46042</v>
      </c>
      <c r="N23" s="19">
        <f>Table1[[#This Row],[Completion Date]]-Table1[[#This Row],[Date Logged]]</f>
        <v>12</v>
      </c>
      <c r="O23" s="1" t="s">
        <v>58</v>
      </c>
      <c r="P23" s="1" t="s">
        <v>161</v>
      </c>
      <c r="Q23" s="2" t="s">
        <v>131</v>
      </c>
      <c r="R23" s="2" t="s">
        <v>131</v>
      </c>
      <c r="S23" s="2" t="s">
        <v>131</v>
      </c>
      <c r="T23" s="2" t="s">
        <v>223</v>
      </c>
      <c r="U23" s="1" t="s">
        <v>777</v>
      </c>
      <c r="W23" s="1"/>
      <c r="X23" s="6"/>
      <c r="Y23" s="6"/>
      <c r="Z23" s="6"/>
      <c r="AD23" s="6"/>
      <c r="AE23" s="6"/>
      <c r="AF23" s="6"/>
    </row>
    <row r="24" spans="1:32" ht="390" x14ac:dyDescent="0.3">
      <c r="A24" s="1" t="s">
        <v>76</v>
      </c>
      <c r="B24" s="7">
        <v>46030</v>
      </c>
      <c r="C24" s="1" t="s">
        <v>89</v>
      </c>
      <c r="D24" s="8" t="s">
        <v>23</v>
      </c>
      <c r="E24" s="8" t="s">
        <v>24</v>
      </c>
      <c r="F24" s="2" t="s">
        <v>86</v>
      </c>
      <c r="G24" s="2" t="s">
        <v>87</v>
      </c>
      <c r="H24" s="2" t="s">
        <v>77</v>
      </c>
      <c r="I24" s="7" t="s">
        <v>78</v>
      </c>
      <c r="J24" s="2" t="s">
        <v>85</v>
      </c>
      <c r="K24" s="1" t="s">
        <v>42</v>
      </c>
      <c r="L24" s="7">
        <v>46050</v>
      </c>
      <c r="M24" s="7">
        <v>46042</v>
      </c>
      <c r="N24" s="19">
        <f>Table1[[#This Row],[Completion Date]]-Table1[[#This Row],[Date Logged]]</f>
        <v>12</v>
      </c>
      <c r="O24" s="1" t="s">
        <v>58</v>
      </c>
      <c r="P24" s="1" t="s">
        <v>161</v>
      </c>
      <c r="Q24" s="2" t="s">
        <v>131</v>
      </c>
      <c r="R24" s="2" t="s">
        <v>131</v>
      </c>
      <c r="S24" s="2" t="s">
        <v>131</v>
      </c>
      <c r="T24" s="2" t="s">
        <v>223</v>
      </c>
      <c r="U24" s="1" t="s">
        <v>777</v>
      </c>
      <c r="W24" s="1"/>
      <c r="X24" s="6"/>
      <c r="Y24" s="6"/>
      <c r="Z24" s="6"/>
      <c r="AD24" s="6"/>
      <c r="AE24" s="6"/>
      <c r="AF24" s="6"/>
    </row>
    <row r="25" spans="1:32" ht="390" x14ac:dyDescent="0.3">
      <c r="A25" s="12" t="s">
        <v>177</v>
      </c>
      <c r="B25" s="13">
        <v>46030</v>
      </c>
      <c r="C25" s="12" t="s">
        <v>89</v>
      </c>
      <c r="D25" s="8" t="s">
        <v>23</v>
      </c>
      <c r="E25" s="8" t="s">
        <v>24</v>
      </c>
      <c r="F25" s="14" t="s">
        <v>86</v>
      </c>
      <c r="G25" s="15" t="s">
        <v>87</v>
      </c>
      <c r="H25" s="15" t="s">
        <v>77</v>
      </c>
      <c r="I25" s="13" t="s">
        <v>78</v>
      </c>
      <c r="J25" s="9" t="s">
        <v>181</v>
      </c>
      <c r="K25" s="12"/>
      <c r="L25" s="7">
        <v>46050</v>
      </c>
      <c r="M25" s="13">
        <v>46042</v>
      </c>
      <c r="N25" s="20">
        <f>Table1[[#This Row],[Completion Date]]-Table1[[#This Row],[Date Logged]]</f>
        <v>12</v>
      </c>
      <c r="O25" s="13" t="s">
        <v>58</v>
      </c>
      <c r="P25" s="1" t="s">
        <v>161</v>
      </c>
      <c r="Q25" s="2" t="s">
        <v>131</v>
      </c>
      <c r="R25" s="2" t="s">
        <v>131</v>
      </c>
      <c r="S25" s="2" t="s">
        <v>131</v>
      </c>
      <c r="T25" s="2" t="s">
        <v>223</v>
      </c>
      <c r="U25" s="1" t="s">
        <v>777</v>
      </c>
      <c r="W25" s="1"/>
      <c r="X25" s="6"/>
      <c r="Y25" s="6"/>
      <c r="Z25" s="6"/>
      <c r="AD25" s="6"/>
      <c r="AE25" s="6"/>
      <c r="AF25" s="6"/>
    </row>
    <row r="26" spans="1:32" ht="390" x14ac:dyDescent="0.3">
      <c r="A26" s="12" t="s">
        <v>178</v>
      </c>
      <c r="B26" s="13">
        <v>46030</v>
      </c>
      <c r="C26" s="12" t="s">
        <v>89</v>
      </c>
      <c r="D26" s="8" t="s">
        <v>23</v>
      </c>
      <c r="E26" s="8" t="s">
        <v>24</v>
      </c>
      <c r="F26" s="14" t="s">
        <v>86</v>
      </c>
      <c r="G26" s="15" t="s">
        <v>87</v>
      </c>
      <c r="H26" s="15" t="s">
        <v>77</v>
      </c>
      <c r="I26" s="13" t="s">
        <v>78</v>
      </c>
      <c r="J26" s="9" t="s">
        <v>182</v>
      </c>
      <c r="K26" s="1" t="s">
        <v>41</v>
      </c>
      <c r="L26" s="9">
        <v>46203</v>
      </c>
      <c r="M26" s="13">
        <v>46175</v>
      </c>
      <c r="N26" s="20">
        <f>Table1[[#This Row],[Completion Date]]-Table1[[#This Row],[Date Logged]]</f>
        <v>145</v>
      </c>
      <c r="O26" s="13" t="s">
        <v>58</v>
      </c>
      <c r="P26" s="1" t="s">
        <v>161</v>
      </c>
      <c r="Q26" s="2" t="s">
        <v>131</v>
      </c>
      <c r="R26" s="2" t="s">
        <v>131</v>
      </c>
      <c r="S26" s="2" t="s">
        <v>131</v>
      </c>
      <c r="T26" s="2" t="s">
        <v>223</v>
      </c>
      <c r="U26" s="1" t="s">
        <v>777</v>
      </c>
      <c r="W26" s="1"/>
      <c r="X26" s="6"/>
      <c r="Y26" s="6"/>
      <c r="Z26" s="6"/>
      <c r="AD26" s="6"/>
      <c r="AE26" s="6"/>
      <c r="AF26" s="6"/>
    </row>
    <row r="27" spans="1:32" ht="75" x14ac:dyDescent="0.3">
      <c r="A27" s="1" t="s">
        <v>88</v>
      </c>
      <c r="B27" s="7">
        <v>46035</v>
      </c>
      <c r="C27" s="1" t="s">
        <v>23</v>
      </c>
      <c r="D27" s="8" t="s">
        <v>23</v>
      </c>
      <c r="E27" s="8" t="s">
        <v>24</v>
      </c>
      <c r="F27" s="2" t="s">
        <v>91</v>
      </c>
      <c r="G27" s="2" t="s">
        <v>92</v>
      </c>
      <c r="H27" s="2" t="s">
        <v>90</v>
      </c>
      <c r="I27" s="7" t="s">
        <v>38</v>
      </c>
      <c r="J27" s="2" t="s">
        <v>98</v>
      </c>
      <c r="K27" s="1" t="s">
        <v>23</v>
      </c>
      <c r="L27" s="7">
        <v>46035</v>
      </c>
      <c r="M27" s="7">
        <v>46035</v>
      </c>
      <c r="N27" s="19">
        <f>Table1[[#This Row],[Completion Date]]-Table1[[#This Row],[Date Logged]]</f>
        <v>0</v>
      </c>
      <c r="O27" s="1" t="s">
        <v>58</v>
      </c>
      <c r="P27" s="1" t="s">
        <v>161</v>
      </c>
      <c r="Q27" s="2" t="s">
        <v>130</v>
      </c>
      <c r="R27" s="2" t="s">
        <v>131</v>
      </c>
      <c r="S27" s="2" t="s">
        <v>131</v>
      </c>
      <c r="T27" s="2" t="s">
        <v>132</v>
      </c>
      <c r="W27" s="1"/>
      <c r="X27" s="6"/>
      <c r="Y27" s="6"/>
      <c r="Z27" s="6"/>
      <c r="AD27" s="6"/>
      <c r="AE27" s="6"/>
      <c r="AF27" s="6"/>
    </row>
    <row r="28" spans="1:32" ht="75" x14ac:dyDescent="0.3">
      <c r="A28" s="1" t="s">
        <v>93</v>
      </c>
      <c r="B28" s="7">
        <v>46035</v>
      </c>
      <c r="C28" s="1" t="s">
        <v>23</v>
      </c>
      <c r="D28" s="8" t="s">
        <v>23</v>
      </c>
      <c r="E28" s="8" t="s">
        <v>24</v>
      </c>
      <c r="F28" s="2" t="s">
        <v>91</v>
      </c>
      <c r="G28" s="2" t="s">
        <v>92</v>
      </c>
      <c r="H28" s="2" t="s">
        <v>90</v>
      </c>
      <c r="I28" s="7" t="s">
        <v>38</v>
      </c>
      <c r="J28" s="2" t="s">
        <v>32</v>
      </c>
      <c r="K28" s="1" t="s">
        <v>41</v>
      </c>
      <c r="L28" s="7">
        <v>46066</v>
      </c>
      <c r="M28" s="7">
        <v>46038</v>
      </c>
      <c r="N28" s="19">
        <f>Table1[[#This Row],[Completion Date]]-Table1[[#This Row],[Date Logged]]</f>
        <v>3</v>
      </c>
      <c r="O28" s="1" t="s">
        <v>58</v>
      </c>
      <c r="P28" s="1" t="s">
        <v>161</v>
      </c>
      <c r="Q28" s="2" t="s">
        <v>130</v>
      </c>
      <c r="R28" s="2" t="s">
        <v>131</v>
      </c>
      <c r="S28" s="2" t="s">
        <v>131</v>
      </c>
      <c r="T28" s="2" t="s">
        <v>132</v>
      </c>
      <c r="W28" s="1"/>
      <c r="X28" s="6"/>
      <c r="Y28" s="6"/>
      <c r="Z28" s="6"/>
      <c r="AD28" s="6"/>
      <c r="AE28" s="6"/>
      <c r="AF28" s="6"/>
    </row>
    <row r="29" spans="1:32" ht="75" x14ac:dyDescent="0.3">
      <c r="A29" s="1" t="s">
        <v>94</v>
      </c>
      <c r="B29" s="7">
        <v>46035</v>
      </c>
      <c r="C29" s="1" t="s">
        <v>23</v>
      </c>
      <c r="D29" s="8" t="s">
        <v>23</v>
      </c>
      <c r="E29" s="8" t="s">
        <v>24</v>
      </c>
      <c r="F29" s="2" t="s">
        <v>91</v>
      </c>
      <c r="G29" s="2" t="s">
        <v>92</v>
      </c>
      <c r="H29" s="2" t="s">
        <v>90</v>
      </c>
      <c r="I29" s="7" t="s">
        <v>38</v>
      </c>
      <c r="J29" s="2" t="s">
        <v>33</v>
      </c>
      <c r="K29" s="1" t="s">
        <v>23</v>
      </c>
      <c r="L29" s="7">
        <v>46066</v>
      </c>
      <c r="M29" s="7">
        <v>46038</v>
      </c>
      <c r="N29" s="19">
        <f>Table1[[#This Row],[Completion Date]]-Table1[[#This Row],[Date Logged]]</f>
        <v>3</v>
      </c>
      <c r="O29" s="1" t="s">
        <v>58</v>
      </c>
      <c r="P29" s="1" t="s">
        <v>161</v>
      </c>
      <c r="Q29" s="2" t="s">
        <v>130</v>
      </c>
      <c r="R29" s="2" t="s">
        <v>131</v>
      </c>
      <c r="S29" s="2" t="s">
        <v>131</v>
      </c>
      <c r="T29" s="2" t="s">
        <v>132</v>
      </c>
      <c r="W29" s="1"/>
      <c r="X29" s="6"/>
      <c r="Y29" s="6"/>
      <c r="Z29" s="6"/>
      <c r="AD29" s="6"/>
      <c r="AE29" s="6"/>
      <c r="AF29" s="6"/>
    </row>
    <row r="30" spans="1:32" ht="75" x14ac:dyDescent="0.3">
      <c r="A30" s="1" t="s">
        <v>95</v>
      </c>
      <c r="B30" s="7">
        <v>46035</v>
      </c>
      <c r="C30" s="1" t="s">
        <v>23</v>
      </c>
      <c r="D30" s="8" t="s">
        <v>23</v>
      </c>
      <c r="E30" s="8" t="s">
        <v>24</v>
      </c>
      <c r="F30" s="2" t="s">
        <v>91</v>
      </c>
      <c r="G30" s="2" t="s">
        <v>92</v>
      </c>
      <c r="H30" s="2" t="s">
        <v>90</v>
      </c>
      <c r="I30" s="7" t="s">
        <v>38</v>
      </c>
      <c r="J30" s="2" t="s">
        <v>34</v>
      </c>
      <c r="K30" s="1" t="s">
        <v>42</v>
      </c>
      <c r="L30" s="7">
        <v>46066</v>
      </c>
      <c r="M30" s="7">
        <v>46038</v>
      </c>
      <c r="N30" s="19">
        <f>Table1[[#This Row],[Completion Date]]-Table1[[#This Row],[Date Logged]]</f>
        <v>3</v>
      </c>
      <c r="O30" s="1" t="s">
        <v>58</v>
      </c>
      <c r="P30" s="1" t="s">
        <v>161</v>
      </c>
      <c r="Q30" s="2" t="s">
        <v>130</v>
      </c>
      <c r="R30" s="2" t="s">
        <v>131</v>
      </c>
      <c r="S30" s="2" t="s">
        <v>131</v>
      </c>
      <c r="T30" s="2" t="s">
        <v>132</v>
      </c>
      <c r="W30" s="1"/>
      <c r="X30" s="6"/>
      <c r="Y30" s="6"/>
      <c r="Z30" s="6"/>
      <c r="AD30" s="6"/>
      <c r="AE30" s="6"/>
      <c r="AF30" s="6"/>
    </row>
    <row r="31" spans="1:32" ht="75" x14ac:dyDescent="0.3">
      <c r="A31" s="1" t="s">
        <v>96</v>
      </c>
      <c r="B31" s="7">
        <v>46035</v>
      </c>
      <c r="C31" s="1" t="s">
        <v>23</v>
      </c>
      <c r="D31" s="8" t="s">
        <v>23</v>
      </c>
      <c r="E31" s="8" t="s">
        <v>24</v>
      </c>
      <c r="F31" s="2" t="s">
        <v>91</v>
      </c>
      <c r="G31" s="2" t="s">
        <v>92</v>
      </c>
      <c r="H31" s="2" t="s">
        <v>90</v>
      </c>
      <c r="I31" s="7" t="s">
        <v>38</v>
      </c>
      <c r="J31" s="2" t="s">
        <v>35</v>
      </c>
      <c r="K31" s="1" t="s">
        <v>23</v>
      </c>
      <c r="L31" s="7">
        <v>46066</v>
      </c>
      <c r="M31" s="7">
        <v>46038</v>
      </c>
      <c r="N31" s="19">
        <f>Table1[[#This Row],[Completion Date]]-Table1[[#This Row],[Date Logged]]</f>
        <v>3</v>
      </c>
      <c r="O31" s="1" t="s">
        <v>58</v>
      </c>
      <c r="P31" s="1" t="s">
        <v>161</v>
      </c>
      <c r="Q31" s="2" t="s">
        <v>130</v>
      </c>
      <c r="R31" s="2" t="s">
        <v>131</v>
      </c>
      <c r="S31" s="2" t="s">
        <v>131</v>
      </c>
      <c r="T31" s="2" t="s">
        <v>132</v>
      </c>
      <c r="W31" s="1"/>
      <c r="X31" s="6"/>
      <c r="Y31" s="6"/>
      <c r="Z31" s="6"/>
      <c r="AD31" s="6"/>
      <c r="AE31" s="6"/>
      <c r="AF31" s="6"/>
    </row>
    <row r="32" spans="1:32" ht="75" x14ac:dyDescent="0.3">
      <c r="A32" s="1" t="s">
        <v>97</v>
      </c>
      <c r="B32" s="7">
        <v>46035</v>
      </c>
      <c r="C32" s="1" t="s">
        <v>23</v>
      </c>
      <c r="D32" s="8" t="s">
        <v>23</v>
      </c>
      <c r="E32" s="8" t="s">
        <v>24</v>
      </c>
      <c r="F32" s="2" t="s">
        <v>91</v>
      </c>
      <c r="G32" s="2" t="s">
        <v>92</v>
      </c>
      <c r="H32" s="2" t="s">
        <v>90</v>
      </c>
      <c r="I32" s="7" t="s">
        <v>38</v>
      </c>
      <c r="J32" s="2" t="s">
        <v>36</v>
      </c>
      <c r="K32" s="1" t="s">
        <v>43</v>
      </c>
      <c r="L32" s="7">
        <v>46066</v>
      </c>
      <c r="M32" s="7">
        <v>46038</v>
      </c>
      <c r="N32" s="19">
        <f>Table1[[#This Row],[Completion Date]]-Table1[[#This Row],[Date Logged]]</f>
        <v>3</v>
      </c>
      <c r="O32" s="1" t="s">
        <v>58</v>
      </c>
      <c r="P32" s="1" t="s">
        <v>161</v>
      </c>
      <c r="Q32" s="2" t="s">
        <v>130</v>
      </c>
      <c r="R32" s="2" t="s">
        <v>131</v>
      </c>
      <c r="S32" s="2" t="s">
        <v>131</v>
      </c>
      <c r="T32" s="2" t="s">
        <v>132</v>
      </c>
      <c r="W32" s="1"/>
      <c r="X32" s="6"/>
      <c r="Y32" s="6"/>
      <c r="Z32" s="6"/>
      <c r="AD32" s="6"/>
      <c r="AE32" s="6"/>
      <c r="AF32" s="6"/>
    </row>
    <row r="33" spans="1:32" ht="150" x14ac:dyDescent="0.3">
      <c r="A33" s="1" t="s">
        <v>99</v>
      </c>
      <c r="B33" s="7">
        <v>46035</v>
      </c>
      <c r="C33" s="1" t="s">
        <v>100</v>
      </c>
      <c r="D33" s="8" t="s">
        <v>23</v>
      </c>
      <c r="E33" s="8" t="s">
        <v>24</v>
      </c>
      <c r="F33" s="2" t="s">
        <v>119</v>
      </c>
      <c r="G33" s="2" t="s">
        <v>101</v>
      </c>
      <c r="H33" s="2" t="s">
        <v>47</v>
      </c>
      <c r="I33" s="7" t="s">
        <v>78</v>
      </c>
      <c r="J33" s="2" t="s">
        <v>102</v>
      </c>
      <c r="K33" s="1" t="s">
        <v>103</v>
      </c>
      <c r="L33" s="7">
        <v>46081</v>
      </c>
      <c r="M33" s="7">
        <v>46079</v>
      </c>
      <c r="N33" s="19">
        <f>Table1[[#This Row],[Completion Date]]-Table1[[#This Row],[Date Logged]]</f>
        <v>44</v>
      </c>
      <c r="O33" s="1" t="s">
        <v>58</v>
      </c>
      <c r="P33" s="1"/>
      <c r="Q33" s="2"/>
      <c r="R33" s="2"/>
      <c r="S33" s="2"/>
      <c r="T33" s="2" t="s">
        <v>133</v>
      </c>
      <c r="U33" s="1"/>
      <c r="W33" s="1"/>
      <c r="X33" s="6"/>
      <c r="Y33" s="6"/>
      <c r="Z33" s="6"/>
      <c r="AD33" s="6"/>
      <c r="AE33" s="6"/>
      <c r="AF33" s="6"/>
    </row>
    <row r="34" spans="1:32" ht="150" x14ac:dyDescent="0.3">
      <c r="A34" s="1" t="s">
        <v>112</v>
      </c>
      <c r="B34" s="7">
        <v>46035</v>
      </c>
      <c r="C34" s="1" t="s">
        <v>100</v>
      </c>
      <c r="D34" s="8" t="s">
        <v>23</v>
      </c>
      <c r="E34" s="8" t="s">
        <v>24</v>
      </c>
      <c r="F34" s="2" t="s">
        <v>119</v>
      </c>
      <c r="G34" s="2" t="s">
        <v>101</v>
      </c>
      <c r="H34" s="2" t="s">
        <v>47</v>
      </c>
      <c r="I34" s="7" t="s">
        <v>78</v>
      </c>
      <c r="J34" s="2" t="s">
        <v>104</v>
      </c>
      <c r="K34" s="2" t="s">
        <v>105</v>
      </c>
      <c r="L34" s="7">
        <v>46387</v>
      </c>
      <c r="M34" s="7"/>
      <c r="N34" s="19">
        <f>Table1[[#This Row],[Completion Date]]-Table1[[#This Row],[Date Logged]]</f>
        <v>-46035</v>
      </c>
      <c r="O34" s="1" t="s">
        <v>59</v>
      </c>
      <c r="P34" s="1"/>
      <c r="Q34" s="2"/>
      <c r="R34" s="2"/>
      <c r="S34" s="2"/>
      <c r="T34" s="2" t="s">
        <v>133</v>
      </c>
      <c r="U34" s="1"/>
      <c r="W34" s="1"/>
      <c r="X34" s="6"/>
      <c r="Y34" s="6"/>
      <c r="Z34" s="6"/>
      <c r="AD34" s="6"/>
      <c r="AE34" s="6"/>
      <c r="AF34" s="6"/>
    </row>
    <row r="35" spans="1:32" ht="150" x14ac:dyDescent="0.3">
      <c r="A35" s="1" t="s">
        <v>113</v>
      </c>
      <c r="B35" s="7">
        <v>46035</v>
      </c>
      <c r="C35" s="1" t="s">
        <v>100</v>
      </c>
      <c r="D35" s="8" t="s">
        <v>23</v>
      </c>
      <c r="E35" s="8" t="s">
        <v>24</v>
      </c>
      <c r="F35" s="2" t="s">
        <v>119</v>
      </c>
      <c r="G35" s="2" t="s">
        <v>101</v>
      </c>
      <c r="H35" s="2" t="s">
        <v>47</v>
      </c>
      <c r="I35" s="7" t="s">
        <v>78</v>
      </c>
      <c r="J35" s="2" t="s">
        <v>106</v>
      </c>
      <c r="K35" s="2" t="s">
        <v>105</v>
      </c>
      <c r="L35" s="7">
        <v>46418</v>
      </c>
      <c r="M35" s="7"/>
      <c r="N35" s="19">
        <f>Table1[[#This Row],[Completion Date]]-Table1[[#This Row],[Date Logged]]</f>
        <v>-46035</v>
      </c>
      <c r="O35" s="1" t="s">
        <v>59</v>
      </c>
      <c r="P35" s="1"/>
      <c r="Q35" s="2"/>
      <c r="R35" s="2"/>
      <c r="S35" s="2"/>
      <c r="T35" s="2" t="s">
        <v>133</v>
      </c>
      <c r="U35" s="1"/>
      <c r="W35" s="1"/>
      <c r="X35" s="6"/>
      <c r="Y35" s="6"/>
      <c r="Z35" s="6"/>
      <c r="AD35" s="6"/>
      <c r="AE35" s="6"/>
      <c r="AF35" s="6"/>
    </row>
    <row r="36" spans="1:32" ht="150" x14ac:dyDescent="0.3">
      <c r="A36" s="1" t="s">
        <v>114</v>
      </c>
      <c r="B36" s="7">
        <v>46035</v>
      </c>
      <c r="C36" s="1" t="s">
        <v>100</v>
      </c>
      <c r="D36" s="8" t="s">
        <v>23</v>
      </c>
      <c r="E36" s="8" t="s">
        <v>24</v>
      </c>
      <c r="F36" s="2" t="s">
        <v>119</v>
      </c>
      <c r="G36" s="2" t="s">
        <v>101</v>
      </c>
      <c r="H36" s="2" t="s">
        <v>47</v>
      </c>
      <c r="I36" s="7" t="s">
        <v>78</v>
      </c>
      <c r="J36" s="2" t="s">
        <v>107</v>
      </c>
      <c r="K36" s="1" t="s">
        <v>108</v>
      </c>
      <c r="L36" s="7">
        <v>46418</v>
      </c>
      <c r="M36" s="7"/>
      <c r="N36" s="19">
        <f>Table1[[#This Row],[Completion Date]]-Table1[[#This Row],[Date Logged]]</f>
        <v>-46035</v>
      </c>
      <c r="O36" s="1" t="s">
        <v>59</v>
      </c>
      <c r="P36" s="1"/>
      <c r="Q36" s="2"/>
      <c r="R36" s="2"/>
      <c r="S36" s="2"/>
      <c r="T36" s="2" t="s">
        <v>133</v>
      </c>
      <c r="U36" s="1"/>
      <c r="W36" s="1"/>
      <c r="X36" s="6"/>
      <c r="Y36" s="6"/>
      <c r="Z36" s="6"/>
      <c r="AD36" s="6"/>
      <c r="AE36" s="6"/>
      <c r="AF36" s="6"/>
    </row>
    <row r="37" spans="1:32" ht="150" x14ac:dyDescent="0.3">
      <c r="A37" s="1" t="s">
        <v>115</v>
      </c>
      <c r="B37" s="7">
        <v>46035</v>
      </c>
      <c r="C37" s="1" t="s">
        <v>100</v>
      </c>
      <c r="D37" s="8" t="s">
        <v>23</v>
      </c>
      <c r="E37" s="8" t="s">
        <v>24</v>
      </c>
      <c r="F37" s="2" t="s">
        <v>119</v>
      </c>
      <c r="G37" s="2" t="s">
        <v>101</v>
      </c>
      <c r="H37" s="2" t="s">
        <v>47</v>
      </c>
      <c r="I37" s="7" t="s">
        <v>78</v>
      </c>
      <c r="J37" s="2" t="s">
        <v>109</v>
      </c>
      <c r="K37" s="2" t="s">
        <v>110</v>
      </c>
      <c r="L37" s="7">
        <v>46568</v>
      </c>
      <c r="M37" s="7"/>
      <c r="N37" s="19">
        <f>Table1[[#This Row],[Completion Date]]-Table1[[#This Row],[Date Logged]]</f>
        <v>-46035</v>
      </c>
      <c r="O37" s="1" t="s">
        <v>59</v>
      </c>
      <c r="P37" s="1"/>
      <c r="Q37" s="2"/>
      <c r="R37" s="2"/>
      <c r="S37" s="2"/>
      <c r="T37" s="2" t="s">
        <v>133</v>
      </c>
      <c r="U37" s="1"/>
      <c r="W37" s="1"/>
      <c r="X37" s="6"/>
      <c r="Y37" s="6"/>
      <c r="Z37" s="6"/>
      <c r="AD37" s="6"/>
      <c r="AE37" s="6"/>
      <c r="AF37" s="6"/>
    </row>
    <row r="38" spans="1:32" ht="150" x14ac:dyDescent="0.3">
      <c r="A38" s="1" t="s">
        <v>116</v>
      </c>
      <c r="B38" s="7">
        <v>46035</v>
      </c>
      <c r="C38" s="1" t="s">
        <v>100</v>
      </c>
      <c r="D38" s="8" t="s">
        <v>23</v>
      </c>
      <c r="E38" s="8" t="s">
        <v>24</v>
      </c>
      <c r="F38" s="2" t="s">
        <v>119</v>
      </c>
      <c r="G38" s="2" t="s">
        <v>101</v>
      </c>
      <c r="H38" s="2" t="s">
        <v>47</v>
      </c>
      <c r="I38" s="7" t="s">
        <v>78</v>
      </c>
      <c r="J38" s="2" t="s">
        <v>111</v>
      </c>
      <c r="K38" s="1" t="s">
        <v>42</v>
      </c>
      <c r="L38" s="7">
        <v>46568</v>
      </c>
      <c r="M38" s="7"/>
      <c r="N38" s="19">
        <f>Table1[[#This Row],[Completion Date]]-Table1[[#This Row],[Date Logged]]</f>
        <v>-46035</v>
      </c>
      <c r="O38" s="1" t="s">
        <v>59</v>
      </c>
      <c r="P38" s="1"/>
      <c r="Q38" s="2"/>
      <c r="R38" s="2"/>
      <c r="S38" s="2"/>
      <c r="T38" s="2" t="s">
        <v>133</v>
      </c>
      <c r="W38" s="1"/>
      <c r="X38" s="6"/>
      <c r="Y38" s="6"/>
      <c r="Z38" s="6"/>
      <c r="AD38" s="6"/>
      <c r="AE38" s="6"/>
      <c r="AF38" s="6"/>
    </row>
    <row r="39" spans="1:32" ht="225" x14ac:dyDescent="0.3">
      <c r="A39" s="1" t="s">
        <v>120</v>
      </c>
      <c r="B39" s="7">
        <v>46035</v>
      </c>
      <c r="C39" s="1" t="s">
        <v>100</v>
      </c>
      <c r="D39" s="8" t="s">
        <v>23</v>
      </c>
      <c r="E39" s="8" t="s">
        <v>24</v>
      </c>
      <c r="F39" s="2" t="s">
        <v>117</v>
      </c>
      <c r="G39" s="2" t="s">
        <v>118</v>
      </c>
      <c r="H39" s="2" t="s">
        <v>47</v>
      </c>
      <c r="I39" s="7" t="s">
        <v>78</v>
      </c>
      <c r="J39" s="2" t="s">
        <v>102</v>
      </c>
      <c r="K39" s="1" t="s">
        <v>42</v>
      </c>
      <c r="L39" s="7">
        <v>46081</v>
      </c>
      <c r="M39" s="7">
        <v>46079</v>
      </c>
      <c r="N39" s="19">
        <f>Table1[[#This Row],[Completion Date]]-Table1[[#This Row],[Date Logged]]</f>
        <v>44</v>
      </c>
      <c r="O39" s="1" t="s">
        <v>58</v>
      </c>
      <c r="P39" s="1"/>
      <c r="Q39" s="2"/>
      <c r="R39" s="2"/>
      <c r="S39" s="2"/>
      <c r="T39" s="2" t="s">
        <v>133</v>
      </c>
      <c r="W39" s="1"/>
      <c r="X39" s="6"/>
      <c r="Y39" s="6"/>
      <c r="Z39" s="6"/>
      <c r="AD39" s="6"/>
      <c r="AE39" s="6"/>
      <c r="AF39" s="6"/>
    </row>
    <row r="40" spans="1:32" ht="225" x14ac:dyDescent="0.3">
      <c r="A40" s="1" t="s">
        <v>121</v>
      </c>
      <c r="B40" s="7">
        <v>46035</v>
      </c>
      <c r="C40" s="1" t="s">
        <v>100</v>
      </c>
      <c r="D40" s="8" t="s">
        <v>23</v>
      </c>
      <c r="E40" s="8" t="s">
        <v>24</v>
      </c>
      <c r="F40" s="2" t="s">
        <v>117</v>
      </c>
      <c r="G40" s="2" t="s">
        <v>118</v>
      </c>
      <c r="H40" s="2" t="s">
        <v>47</v>
      </c>
      <c r="I40" s="7" t="s">
        <v>78</v>
      </c>
      <c r="J40" s="2" t="s">
        <v>104</v>
      </c>
      <c r="K40" s="1" t="s">
        <v>42</v>
      </c>
      <c r="L40" s="7">
        <v>46387</v>
      </c>
      <c r="M40" s="7"/>
      <c r="N40" s="19">
        <f>Table1[[#This Row],[Completion Date]]-Table1[[#This Row],[Date Logged]]</f>
        <v>-46035</v>
      </c>
      <c r="O40" s="1" t="s">
        <v>59</v>
      </c>
      <c r="P40" s="1"/>
      <c r="Q40" s="2"/>
      <c r="R40" s="2"/>
      <c r="S40" s="2"/>
      <c r="T40" s="2" t="s">
        <v>133</v>
      </c>
      <c r="U40" s="10"/>
      <c r="W40" s="1"/>
      <c r="X40" s="6"/>
      <c r="Y40" s="6"/>
      <c r="Z40" s="6"/>
      <c r="AD40" s="6"/>
      <c r="AE40" s="6"/>
      <c r="AF40" s="6"/>
    </row>
    <row r="41" spans="1:32" ht="225" x14ac:dyDescent="0.3">
      <c r="A41" s="1" t="s">
        <v>122</v>
      </c>
      <c r="B41" s="7">
        <v>46035</v>
      </c>
      <c r="C41" s="1" t="s">
        <v>100</v>
      </c>
      <c r="D41" s="8" t="s">
        <v>23</v>
      </c>
      <c r="E41" s="8" t="s">
        <v>24</v>
      </c>
      <c r="F41" s="2" t="s">
        <v>117</v>
      </c>
      <c r="G41" s="2" t="s">
        <v>118</v>
      </c>
      <c r="H41" s="2" t="s">
        <v>47</v>
      </c>
      <c r="I41" s="7" t="s">
        <v>78</v>
      </c>
      <c r="J41" s="2" t="s">
        <v>106</v>
      </c>
      <c r="K41" s="1" t="s">
        <v>42</v>
      </c>
      <c r="L41" s="7">
        <v>46418</v>
      </c>
      <c r="M41" s="7"/>
      <c r="N41" s="19">
        <f>Table1[[#This Row],[Completion Date]]-Table1[[#This Row],[Date Logged]]</f>
        <v>-46035</v>
      </c>
      <c r="O41" s="1" t="s">
        <v>59</v>
      </c>
      <c r="P41" s="1"/>
      <c r="Q41" s="2"/>
      <c r="R41" s="2"/>
      <c r="S41" s="2"/>
      <c r="T41" s="2" t="s">
        <v>133</v>
      </c>
      <c r="U41" s="10"/>
      <c r="W41" s="1"/>
      <c r="X41" s="6"/>
      <c r="Y41" s="6"/>
      <c r="Z41" s="6"/>
      <c r="AD41" s="6"/>
      <c r="AE41" s="6"/>
      <c r="AF41" s="6"/>
    </row>
    <row r="42" spans="1:32" ht="225" x14ac:dyDescent="0.3">
      <c r="A42" s="1" t="s">
        <v>123</v>
      </c>
      <c r="B42" s="7">
        <v>46035</v>
      </c>
      <c r="C42" s="1" t="s">
        <v>100</v>
      </c>
      <c r="D42" s="8" t="s">
        <v>23</v>
      </c>
      <c r="E42" s="8" t="s">
        <v>24</v>
      </c>
      <c r="F42" s="2" t="s">
        <v>117</v>
      </c>
      <c r="G42" s="2" t="s">
        <v>118</v>
      </c>
      <c r="H42" s="2" t="s">
        <v>47</v>
      </c>
      <c r="I42" s="7" t="s">
        <v>78</v>
      </c>
      <c r="J42" s="2" t="s">
        <v>107</v>
      </c>
      <c r="K42" s="1" t="s">
        <v>42</v>
      </c>
      <c r="L42" s="7">
        <v>46568</v>
      </c>
      <c r="M42" s="7"/>
      <c r="N42" s="19">
        <f>Table1[[#This Row],[Completion Date]]-Table1[[#This Row],[Date Logged]]</f>
        <v>-46035</v>
      </c>
      <c r="O42" s="1" t="s">
        <v>59</v>
      </c>
      <c r="P42" s="1"/>
      <c r="Q42" s="2"/>
      <c r="R42" s="2"/>
      <c r="S42" s="2"/>
      <c r="T42" s="2" t="s">
        <v>133</v>
      </c>
      <c r="U42" s="10"/>
      <c r="W42" s="1"/>
      <c r="X42" s="6"/>
      <c r="Y42" s="6"/>
      <c r="Z42" s="6"/>
      <c r="AD42" s="6"/>
      <c r="AE42" s="6"/>
      <c r="AF42" s="6"/>
    </row>
    <row r="43" spans="1:32" ht="225" x14ac:dyDescent="0.3">
      <c r="A43" s="1" t="s">
        <v>124</v>
      </c>
      <c r="B43" s="7">
        <v>46035</v>
      </c>
      <c r="C43" s="1" t="s">
        <v>100</v>
      </c>
      <c r="D43" s="8" t="s">
        <v>23</v>
      </c>
      <c r="E43" s="8" t="s">
        <v>24</v>
      </c>
      <c r="F43" s="2" t="s">
        <v>117</v>
      </c>
      <c r="G43" s="2" t="s">
        <v>118</v>
      </c>
      <c r="H43" s="2" t="s">
        <v>47</v>
      </c>
      <c r="I43" s="7" t="s">
        <v>78</v>
      </c>
      <c r="J43" s="2" t="s">
        <v>126</v>
      </c>
      <c r="K43" s="1" t="s">
        <v>42</v>
      </c>
      <c r="L43" s="7">
        <v>46568</v>
      </c>
      <c r="M43" s="7"/>
      <c r="N43" s="19">
        <f>Table1[[#This Row],[Completion Date]]-Table1[[#This Row],[Date Logged]]</f>
        <v>-46035</v>
      </c>
      <c r="O43" s="1" t="s">
        <v>59</v>
      </c>
      <c r="P43" s="1"/>
      <c r="Q43" s="2"/>
      <c r="R43" s="2"/>
      <c r="S43" s="2"/>
      <c r="T43" s="2" t="s">
        <v>133</v>
      </c>
      <c r="U43" s="10"/>
      <c r="W43" s="1"/>
      <c r="X43" s="6"/>
      <c r="Y43" s="6"/>
      <c r="Z43" s="6"/>
      <c r="AD43" s="6"/>
      <c r="AE43" s="6"/>
      <c r="AF43" s="6"/>
    </row>
    <row r="44" spans="1:32" ht="225" x14ac:dyDescent="0.3">
      <c r="A44" s="1" t="s">
        <v>125</v>
      </c>
      <c r="B44" s="7">
        <v>46035</v>
      </c>
      <c r="C44" s="1" t="s">
        <v>100</v>
      </c>
      <c r="D44" s="8" t="s">
        <v>23</v>
      </c>
      <c r="E44" s="8" t="s">
        <v>24</v>
      </c>
      <c r="F44" s="2" t="s">
        <v>117</v>
      </c>
      <c r="G44" s="2" t="s">
        <v>118</v>
      </c>
      <c r="H44" s="2" t="s">
        <v>47</v>
      </c>
      <c r="I44" s="7" t="s">
        <v>78</v>
      </c>
      <c r="J44" s="2" t="s">
        <v>127</v>
      </c>
      <c r="K44" s="1" t="s">
        <v>42</v>
      </c>
      <c r="L44" s="7">
        <v>46568</v>
      </c>
      <c r="M44" s="7"/>
      <c r="N44" s="19">
        <f>Table1[[#This Row],[Completion Date]]-Table1[[#This Row],[Date Logged]]</f>
        <v>-46035</v>
      </c>
      <c r="O44" s="1" t="s">
        <v>59</v>
      </c>
      <c r="P44" s="1"/>
      <c r="Q44" s="2"/>
      <c r="R44" s="2"/>
      <c r="S44" s="2"/>
      <c r="T44" s="2" t="s">
        <v>133</v>
      </c>
      <c r="U44" s="10"/>
      <c r="W44" s="1"/>
      <c r="X44" s="6"/>
      <c r="Y44" s="6"/>
      <c r="Z44" s="6"/>
      <c r="AD44" s="6"/>
      <c r="AE44" s="6"/>
      <c r="AF44" s="6"/>
    </row>
    <row r="45" spans="1:32" ht="90" x14ac:dyDescent="0.3">
      <c r="A45" s="1" t="s">
        <v>134</v>
      </c>
      <c r="B45" s="7">
        <v>46041</v>
      </c>
      <c r="C45" s="1" t="s">
        <v>135</v>
      </c>
      <c r="D45" s="8" t="s">
        <v>135</v>
      </c>
      <c r="E45" s="8" t="s">
        <v>24</v>
      </c>
      <c r="F45" s="2" t="s">
        <v>136</v>
      </c>
      <c r="G45" s="2" t="s">
        <v>137</v>
      </c>
      <c r="H45" s="2" t="s">
        <v>138</v>
      </c>
      <c r="I45" s="7" t="s">
        <v>38</v>
      </c>
      <c r="J45" s="2" t="s">
        <v>144</v>
      </c>
      <c r="K45" s="1" t="s">
        <v>135</v>
      </c>
      <c r="L45" s="7">
        <v>46041</v>
      </c>
      <c r="M45" s="7">
        <v>46041</v>
      </c>
      <c r="N45" s="19">
        <f>Table1[[#This Row],[Completion Date]]-Table1[[#This Row],[Date Logged]]</f>
        <v>0</v>
      </c>
      <c r="O45" s="1" t="s">
        <v>58</v>
      </c>
      <c r="P45" s="1" t="s">
        <v>161</v>
      </c>
      <c r="Q45" s="2" t="s">
        <v>130</v>
      </c>
      <c r="R45" s="2" t="s">
        <v>131</v>
      </c>
      <c r="S45" s="2" t="s">
        <v>131</v>
      </c>
      <c r="T45" s="2" t="s">
        <v>132</v>
      </c>
      <c r="W45" s="1"/>
      <c r="X45" s="6"/>
      <c r="Y45" s="6"/>
      <c r="Z45" s="6"/>
      <c r="AD45" s="6"/>
      <c r="AE45" s="6"/>
      <c r="AF45" s="6"/>
    </row>
    <row r="46" spans="1:32" ht="90" x14ac:dyDescent="0.3">
      <c r="A46" s="1" t="s">
        <v>139</v>
      </c>
      <c r="B46" s="7">
        <v>46041</v>
      </c>
      <c r="C46" s="1" t="s">
        <v>135</v>
      </c>
      <c r="D46" s="8" t="s">
        <v>135</v>
      </c>
      <c r="E46" s="8" t="s">
        <v>24</v>
      </c>
      <c r="F46" s="2" t="s">
        <v>136</v>
      </c>
      <c r="G46" s="2" t="s">
        <v>137</v>
      </c>
      <c r="H46" s="2" t="s">
        <v>138</v>
      </c>
      <c r="I46" s="7" t="s">
        <v>38</v>
      </c>
      <c r="J46" s="2" t="s">
        <v>32</v>
      </c>
      <c r="K46" s="1" t="s">
        <v>41</v>
      </c>
      <c r="L46" s="7">
        <v>46073</v>
      </c>
      <c r="M46" s="7">
        <v>46042</v>
      </c>
      <c r="N46" s="19">
        <f>Table1[[#This Row],[Completion Date]]-Table1[[#This Row],[Date Logged]]</f>
        <v>1</v>
      </c>
      <c r="O46" s="1" t="s">
        <v>58</v>
      </c>
      <c r="P46" s="1" t="s">
        <v>161</v>
      </c>
      <c r="Q46" s="2" t="s">
        <v>130</v>
      </c>
      <c r="R46" s="2" t="s">
        <v>131</v>
      </c>
      <c r="S46" s="2" t="s">
        <v>131</v>
      </c>
      <c r="T46" s="2" t="s">
        <v>132</v>
      </c>
      <c r="W46" s="1"/>
      <c r="X46" s="6"/>
      <c r="Y46" s="6"/>
      <c r="Z46" s="6"/>
      <c r="AD46" s="6"/>
      <c r="AE46" s="6"/>
      <c r="AF46" s="6"/>
    </row>
    <row r="47" spans="1:32" ht="90" x14ac:dyDescent="0.3">
      <c r="A47" s="1" t="s">
        <v>140</v>
      </c>
      <c r="B47" s="7">
        <v>46041</v>
      </c>
      <c r="C47" s="1" t="s">
        <v>135</v>
      </c>
      <c r="D47" s="8" t="s">
        <v>135</v>
      </c>
      <c r="E47" s="8" t="s">
        <v>24</v>
      </c>
      <c r="F47" s="2" t="s">
        <v>136</v>
      </c>
      <c r="G47" s="2" t="s">
        <v>137</v>
      </c>
      <c r="H47" s="2" t="s">
        <v>138</v>
      </c>
      <c r="I47" s="7" t="s">
        <v>38</v>
      </c>
      <c r="J47" s="2" t="s">
        <v>33</v>
      </c>
      <c r="K47" s="1" t="s">
        <v>135</v>
      </c>
      <c r="L47" s="7">
        <v>46073</v>
      </c>
      <c r="M47" s="7">
        <v>46043</v>
      </c>
      <c r="N47" s="19">
        <f>Table1[[#This Row],[Completion Date]]-Table1[[#This Row],[Date Logged]]</f>
        <v>2</v>
      </c>
      <c r="O47" s="1" t="s">
        <v>58</v>
      </c>
      <c r="P47" s="1" t="s">
        <v>161</v>
      </c>
      <c r="Q47" s="2" t="s">
        <v>130</v>
      </c>
      <c r="R47" s="2" t="s">
        <v>131</v>
      </c>
      <c r="S47" s="2" t="s">
        <v>131</v>
      </c>
      <c r="T47" s="2" t="s">
        <v>132</v>
      </c>
      <c r="W47" s="1"/>
      <c r="X47" s="6"/>
      <c r="Y47" s="6"/>
      <c r="Z47" s="6"/>
      <c r="AD47" s="6"/>
      <c r="AE47" s="6"/>
      <c r="AF47" s="6"/>
    </row>
    <row r="48" spans="1:32" ht="90" x14ac:dyDescent="0.3">
      <c r="A48" s="1" t="s">
        <v>141</v>
      </c>
      <c r="B48" s="7">
        <v>46041</v>
      </c>
      <c r="C48" s="1" t="s">
        <v>135</v>
      </c>
      <c r="D48" s="8" t="s">
        <v>135</v>
      </c>
      <c r="E48" s="8" t="s">
        <v>24</v>
      </c>
      <c r="F48" s="2" t="s">
        <v>136</v>
      </c>
      <c r="G48" s="2" t="s">
        <v>137</v>
      </c>
      <c r="H48" s="2" t="s">
        <v>138</v>
      </c>
      <c r="I48" s="7" t="s">
        <v>38</v>
      </c>
      <c r="J48" s="2" t="s">
        <v>34</v>
      </c>
      <c r="K48" s="1" t="s">
        <v>42</v>
      </c>
      <c r="L48" s="7">
        <v>46073</v>
      </c>
      <c r="M48" s="7">
        <v>46043</v>
      </c>
      <c r="N48" s="19">
        <f>Table1[[#This Row],[Completion Date]]-Table1[[#This Row],[Date Logged]]</f>
        <v>2</v>
      </c>
      <c r="O48" s="1" t="s">
        <v>58</v>
      </c>
      <c r="P48" s="1" t="s">
        <v>161</v>
      </c>
      <c r="Q48" s="2" t="s">
        <v>130</v>
      </c>
      <c r="R48" s="2" t="s">
        <v>131</v>
      </c>
      <c r="S48" s="2" t="s">
        <v>131</v>
      </c>
      <c r="T48" s="2" t="s">
        <v>132</v>
      </c>
      <c r="W48" s="1"/>
      <c r="X48" s="6"/>
      <c r="Y48" s="6"/>
      <c r="Z48" s="6"/>
      <c r="AD48" s="6"/>
      <c r="AE48" s="6"/>
      <c r="AF48" s="6"/>
    </row>
    <row r="49" spans="1:32" ht="90" x14ac:dyDescent="0.3">
      <c r="A49" s="1" t="s">
        <v>142</v>
      </c>
      <c r="B49" s="7">
        <v>46041</v>
      </c>
      <c r="C49" s="1" t="s">
        <v>135</v>
      </c>
      <c r="D49" s="8" t="s">
        <v>135</v>
      </c>
      <c r="E49" s="8" t="s">
        <v>24</v>
      </c>
      <c r="F49" s="2" t="s">
        <v>136</v>
      </c>
      <c r="G49" s="2" t="s">
        <v>137</v>
      </c>
      <c r="H49" s="2" t="s">
        <v>138</v>
      </c>
      <c r="I49" s="7" t="s">
        <v>38</v>
      </c>
      <c r="J49" s="2" t="s">
        <v>35</v>
      </c>
      <c r="K49" s="1" t="s">
        <v>135</v>
      </c>
      <c r="L49" s="7">
        <v>46073</v>
      </c>
      <c r="M49" s="7">
        <v>46042</v>
      </c>
      <c r="N49" s="19">
        <f>Table1[[#This Row],[Completion Date]]-Table1[[#This Row],[Date Logged]]</f>
        <v>1</v>
      </c>
      <c r="O49" s="1" t="s">
        <v>58</v>
      </c>
      <c r="P49" s="1" t="s">
        <v>161</v>
      </c>
      <c r="Q49" s="2" t="s">
        <v>130</v>
      </c>
      <c r="R49" s="2" t="s">
        <v>131</v>
      </c>
      <c r="S49" s="2" t="s">
        <v>131</v>
      </c>
      <c r="T49" s="2" t="s">
        <v>132</v>
      </c>
      <c r="W49" s="1"/>
      <c r="X49" s="6"/>
      <c r="Y49" s="6"/>
      <c r="Z49" s="6"/>
      <c r="AD49" s="6"/>
      <c r="AE49" s="6"/>
      <c r="AF49" s="6"/>
    </row>
    <row r="50" spans="1:32" ht="90" x14ac:dyDescent="0.3">
      <c r="A50" s="1" t="s">
        <v>143</v>
      </c>
      <c r="B50" s="7">
        <v>46041</v>
      </c>
      <c r="C50" s="1" t="s">
        <v>135</v>
      </c>
      <c r="D50" s="8" t="s">
        <v>135</v>
      </c>
      <c r="E50" s="8" t="s">
        <v>24</v>
      </c>
      <c r="F50" s="2" t="s">
        <v>136</v>
      </c>
      <c r="G50" s="2" t="s">
        <v>137</v>
      </c>
      <c r="H50" s="2" t="s">
        <v>138</v>
      </c>
      <c r="I50" s="7" t="s">
        <v>38</v>
      </c>
      <c r="J50" s="2" t="s">
        <v>36</v>
      </c>
      <c r="K50" s="1" t="s">
        <v>162</v>
      </c>
      <c r="L50" s="7">
        <v>46073</v>
      </c>
      <c r="M50" s="7">
        <v>46043</v>
      </c>
      <c r="N50" s="19">
        <f>Table1[[#This Row],[Completion Date]]-Table1[[#This Row],[Date Logged]]</f>
        <v>2</v>
      </c>
      <c r="O50" s="1" t="s">
        <v>58</v>
      </c>
      <c r="P50" s="1" t="s">
        <v>161</v>
      </c>
      <c r="Q50" s="2" t="s">
        <v>130</v>
      </c>
      <c r="R50" s="2" t="s">
        <v>131</v>
      </c>
      <c r="S50" s="2" t="s">
        <v>131</v>
      </c>
      <c r="T50" s="2" t="s">
        <v>132</v>
      </c>
      <c r="W50" s="1"/>
      <c r="X50" s="6"/>
      <c r="Y50" s="6"/>
      <c r="Z50" s="6"/>
      <c r="AD50" s="6"/>
      <c r="AE50" s="6"/>
      <c r="AF50" s="6"/>
    </row>
    <row r="51" spans="1:32" ht="45" x14ac:dyDescent="0.3">
      <c r="A51" s="1" t="s">
        <v>145</v>
      </c>
      <c r="B51" s="7">
        <v>46041</v>
      </c>
      <c r="C51" s="1" t="s">
        <v>146</v>
      </c>
      <c r="D51" s="8" t="s">
        <v>146</v>
      </c>
      <c r="E51" s="8" t="s">
        <v>24</v>
      </c>
      <c r="F51" s="2" t="s">
        <v>493</v>
      </c>
      <c r="G51" s="2" t="s">
        <v>444</v>
      </c>
      <c r="H51" s="2" t="s">
        <v>454</v>
      </c>
      <c r="I51" s="7" t="s">
        <v>78</v>
      </c>
      <c r="J51" s="2"/>
      <c r="K51" s="1"/>
      <c r="L51" s="7"/>
      <c r="M51" s="7"/>
      <c r="N51" s="19">
        <f>Table1[[#This Row],[Completion Date]]-Table1[[#This Row],[Date Logged]]</f>
        <v>-46041</v>
      </c>
      <c r="O51" s="1" t="s">
        <v>59</v>
      </c>
      <c r="P51" s="1"/>
      <c r="Q51" s="2"/>
      <c r="R51" s="2"/>
      <c r="S51" s="2"/>
      <c r="T51" s="2" t="s">
        <v>70</v>
      </c>
      <c r="W51" s="1"/>
      <c r="X51" s="6"/>
      <c r="Y51" s="6"/>
      <c r="Z51" s="6"/>
      <c r="AD51" s="6"/>
      <c r="AE51" s="6"/>
      <c r="AF51" s="6"/>
    </row>
    <row r="52" spans="1:32" ht="90" x14ac:dyDescent="0.3">
      <c r="A52" s="1" t="s">
        <v>149</v>
      </c>
      <c r="B52" s="7">
        <v>46043</v>
      </c>
      <c r="C52" s="1" t="s">
        <v>23</v>
      </c>
      <c r="D52" s="8" t="s">
        <v>148</v>
      </c>
      <c r="E52" s="8" t="s">
        <v>24</v>
      </c>
      <c r="F52" s="2" t="s">
        <v>155</v>
      </c>
      <c r="G52" s="2" t="s">
        <v>156</v>
      </c>
      <c r="H52" s="2" t="s">
        <v>147</v>
      </c>
      <c r="I52" s="7" t="s">
        <v>38</v>
      </c>
      <c r="J52" s="2" t="s">
        <v>157</v>
      </c>
      <c r="K52" s="1" t="s">
        <v>148</v>
      </c>
      <c r="L52" s="7">
        <v>46043</v>
      </c>
      <c r="M52" s="7">
        <v>46043</v>
      </c>
      <c r="N52" s="19">
        <f>Table1[[#This Row],[Completion Date]]-Table1[[#This Row],[Date Logged]]</f>
        <v>0</v>
      </c>
      <c r="O52" s="1" t="s">
        <v>58</v>
      </c>
      <c r="P52" s="1" t="s">
        <v>161</v>
      </c>
      <c r="Q52" s="2" t="s">
        <v>130</v>
      </c>
      <c r="R52" s="2" t="s">
        <v>131</v>
      </c>
      <c r="S52" s="2" t="s">
        <v>131</v>
      </c>
      <c r="T52" s="2" t="s">
        <v>132</v>
      </c>
      <c r="W52" s="1"/>
      <c r="X52" s="6"/>
      <c r="Y52" s="6"/>
      <c r="Z52" s="6"/>
      <c r="AD52" s="6"/>
      <c r="AE52" s="6"/>
      <c r="AF52" s="6"/>
    </row>
    <row r="53" spans="1:32" ht="90" x14ac:dyDescent="0.3">
      <c r="A53" s="1" t="s">
        <v>150</v>
      </c>
      <c r="B53" s="7">
        <v>46043</v>
      </c>
      <c r="C53" s="1" t="s">
        <v>23</v>
      </c>
      <c r="D53" s="8" t="s">
        <v>148</v>
      </c>
      <c r="E53" s="8" t="s">
        <v>24</v>
      </c>
      <c r="F53" s="2" t="s">
        <v>155</v>
      </c>
      <c r="G53" s="2" t="s">
        <v>156</v>
      </c>
      <c r="H53" s="2" t="s">
        <v>147</v>
      </c>
      <c r="I53" s="7" t="s">
        <v>38</v>
      </c>
      <c r="J53" s="2" t="s">
        <v>32</v>
      </c>
      <c r="K53" s="1" t="s">
        <v>41</v>
      </c>
      <c r="L53" s="7">
        <v>46043</v>
      </c>
      <c r="M53" s="7">
        <v>46043</v>
      </c>
      <c r="N53" s="19">
        <f>Table1[[#This Row],[Completion Date]]-Table1[[#This Row],[Date Logged]]</f>
        <v>0</v>
      </c>
      <c r="O53" s="1" t="s">
        <v>58</v>
      </c>
      <c r="P53" s="1" t="s">
        <v>161</v>
      </c>
      <c r="Q53" s="2" t="s">
        <v>130</v>
      </c>
      <c r="R53" s="2" t="s">
        <v>131</v>
      </c>
      <c r="S53" s="2" t="s">
        <v>131</v>
      </c>
      <c r="T53" s="2" t="s">
        <v>132</v>
      </c>
      <c r="W53" s="1"/>
      <c r="X53" s="6"/>
      <c r="Y53" s="6"/>
      <c r="Z53" s="6"/>
      <c r="AD53" s="6"/>
      <c r="AE53" s="6"/>
      <c r="AF53" s="6"/>
    </row>
    <row r="54" spans="1:32" ht="90" x14ac:dyDescent="0.3">
      <c r="A54" s="1" t="s">
        <v>151</v>
      </c>
      <c r="B54" s="7">
        <v>46043</v>
      </c>
      <c r="C54" s="1" t="s">
        <v>23</v>
      </c>
      <c r="D54" s="8" t="s">
        <v>148</v>
      </c>
      <c r="E54" s="8" t="s">
        <v>24</v>
      </c>
      <c r="F54" s="2" t="s">
        <v>155</v>
      </c>
      <c r="G54" s="2" t="s">
        <v>156</v>
      </c>
      <c r="H54" s="2" t="s">
        <v>147</v>
      </c>
      <c r="I54" s="7" t="s">
        <v>38</v>
      </c>
      <c r="J54" s="2" t="s">
        <v>158</v>
      </c>
      <c r="K54" s="1" t="s">
        <v>148</v>
      </c>
      <c r="L54" s="7">
        <v>46073</v>
      </c>
      <c r="M54" s="7">
        <v>46043</v>
      </c>
      <c r="N54" s="19">
        <f>Table1[[#This Row],[Completion Date]]-Table1[[#This Row],[Date Logged]]</f>
        <v>0</v>
      </c>
      <c r="O54" s="1" t="s">
        <v>58</v>
      </c>
      <c r="P54" s="1" t="s">
        <v>161</v>
      </c>
      <c r="Q54" s="2" t="s">
        <v>130</v>
      </c>
      <c r="R54" s="2" t="s">
        <v>131</v>
      </c>
      <c r="S54" s="2" t="s">
        <v>131</v>
      </c>
      <c r="T54" s="2" t="s">
        <v>132</v>
      </c>
      <c r="W54" s="1"/>
      <c r="X54" s="6"/>
      <c r="Y54" s="6"/>
      <c r="Z54" s="6"/>
      <c r="AD54" s="6"/>
      <c r="AE54" s="6"/>
      <c r="AF54" s="6"/>
    </row>
    <row r="55" spans="1:32" ht="90" x14ac:dyDescent="0.3">
      <c r="A55" s="1" t="s">
        <v>152</v>
      </c>
      <c r="B55" s="7">
        <v>46043</v>
      </c>
      <c r="C55" s="1" t="s">
        <v>23</v>
      </c>
      <c r="D55" s="8" t="s">
        <v>148</v>
      </c>
      <c r="E55" s="8" t="s">
        <v>24</v>
      </c>
      <c r="F55" s="2" t="s">
        <v>155</v>
      </c>
      <c r="G55" s="2" t="s">
        <v>156</v>
      </c>
      <c r="H55" s="2" t="s">
        <v>147</v>
      </c>
      <c r="I55" s="7" t="s">
        <v>38</v>
      </c>
      <c r="J55" s="2" t="s">
        <v>34</v>
      </c>
      <c r="K55" s="1" t="s">
        <v>42</v>
      </c>
      <c r="L55" s="7">
        <v>46073</v>
      </c>
      <c r="M55" s="7">
        <v>46043</v>
      </c>
      <c r="N55" s="19">
        <f>Table1[[#This Row],[Completion Date]]-Table1[[#This Row],[Date Logged]]</f>
        <v>0</v>
      </c>
      <c r="O55" s="1" t="s">
        <v>58</v>
      </c>
      <c r="P55" s="1" t="s">
        <v>161</v>
      </c>
      <c r="Q55" s="2" t="s">
        <v>130</v>
      </c>
      <c r="R55" s="2" t="s">
        <v>131</v>
      </c>
      <c r="S55" s="2" t="s">
        <v>131</v>
      </c>
      <c r="T55" s="2" t="s">
        <v>132</v>
      </c>
      <c r="W55" s="1"/>
      <c r="X55" s="6"/>
      <c r="Y55" s="6"/>
      <c r="Z55" s="6"/>
      <c r="AD55" s="6"/>
      <c r="AE55" s="6"/>
      <c r="AF55" s="6"/>
    </row>
    <row r="56" spans="1:32" ht="90" x14ac:dyDescent="0.3">
      <c r="A56" s="1" t="s">
        <v>153</v>
      </c>
      <c r="B56" s="7">
        <v>46043</v>
      </c>
      <c r="C56" s="1" t="s">
        <v>23</v>
      </c>
      <c r="D56" s="8" t="s">
        <v>148</v>
      </c>
      <c r="E56" s="8" t="s">
        <v>24</v>
      </c>
      <c r="F56" s="2" t="s">
        <v>155</v>
      </c>
      <c r="G56" s="2" t="s">
        <v>156</v>
      </c>
      <c r="H56" s="2" t="s">
        <v>147</v>
      </c>
      <c r="I56" s="7" t="s">
        <v>38</v>
      </c>
      <c r="J56" s="23" t="s">
        <v>35</v>
      </c>
      <c r="K56" s="1" t="s">
        <v>148</v>
      </c>
      <c r="L56" s="7">
        <v>46073</v>
      </c>
      <c r="M56" s="7">
        <v>46043</v>
      </c>
      <c r="N56" s="19">
        <f>Table1[[#This Row],[Completion Date]]-Table1[[#This Row],[Date Logged]]</f>
        <v>0</v>
      </c>
      <c r="O56" s="1" t="s">
        <v>58</v>
      </c>
      <c r="P56" s="1" t="s">
        <v>161</v>
      </c>
      <c r="Q56" s="2" t="s">
        <v>130</v>
      </c>
      <c r="R56" s="2" t="s">
        <v>131</v>
      </c>
      <c r="S56" s="2" t="s">
        <v>131</v>
      </c>
      <c r="T56" s="2" t="s">
        <v>132</v>
      </c>
      <c r="W56" s="1"/>
      <c r="X56" s="6"/>
      <c r="Y56" s="6"/>
      <c r="Z56" s="6"/>
      <c r="AD56" s="6"/>
      <c r="AE56" s="6"/>
      <c r="AF56" s="6"/>
    </row>
    <row r="57" spans="1:32" ht="90" x14ac:dyDescent="0.3">
      <c r="A57" s="1" t="s">
        <v>154</v>
      </c>
      <c r="B57" s="7">
        <v>46043</v>
      </c>
      <c r="C57" s="1" t="s">
        <v>23</v>
      </c>
      <c r="D57" s="8" t="s">
        <v>148</v>
      </c>
      <c r="E57" s="8" t="s">
        <v>24</v>
      </c>
      <c r="F57" s="2" t="s">
        <v>155</v>
      </c>
      <c r="G57" s="2" t="s">
        <v>156</v>
      </c>
      <c r="H57" s="2" t="s">
        <v>147</v>
      </c>
      <c r="I57" s="7" t="s">
        <v>38</v>
      </c>
      <c r="J57" s="2" t="s">
        <v>159</v>
      </c>
      <c r="K57" s="1" t="s">
        <v>160</v>
      </c>
      <c r="L57" s="7">
        <v>46073</v>
      </c>
      <c r="M57" s="7">
        <v>46043</v>
      </c>
      <c r="N57" s="19">
        <f>Table1[[#This Row],[Completion Date]]-Table1[[#This Row],[Date Logged]]</f>
        <v>0</v>
      </c>
      <c r="O57" s="1" t="s">
        <v>58</v>
      </c>
      <c r="P57" s="1" t="s">
        <v>161</v>
      </c>
      <c r="Q57" s="2" t="s">
        <v>130</v>
      </c>
      <c r="R57" s="2" t="s">
        <v>131</v>
      </c>
      <c r="S57" s="2" t="s">
        <v>131</v>
      </c>
      <c r="T57" s="2" t="s">
        <v>132</v>
      </c>
      <c r="W57" s="1"/>
      <c r="X57" s="6"/>
      <c r="Y57" s="6"/>
      <c r="Z57" s="6"/>
      <c r="AD57" s="6"/>
      <c r="AE57" s="6"/>
      <c r="AF57" s="6"/>
    </row>
    <row r="58" spans="1:32" ht="165" x14ac:dyDescent="0.3">
      <c r="A58" s="1" t="s">
        <v>171</v>
      </c>
      <c r="B58" s="7">
        <v>46052</v>
      </c>
      <c r="C58" s="1" t="s">
        <v>100</v>
      </c>
      <c r="D58" s="8" t="s">
        <v>23</v>
      </c>
      <c r="E58" s="8" t="s">
        <v>24</v>
      </c>
      <c r="F58" s="2" t="s">
        <v>164</v>
      </c>
      <c r="G58" s="2" t="s">
        <v>163</v>
      </c>
      <c r="H58" s="2" t="s">
        <v>47</v>
      </c>
      <c r="I58" s="7" t="s">
        <v>78</v>
      </c>
      <c r="J58" s="2" t="s">
        <v>165</v>
      </c>
      <c r="K58" s="1" t="s">
        <v>169</v>
      </c>
      <c r="L58" s="7">
        <v>46081</v>
      </c>
      <c r="M58" s="7">
        <v>46079</v>
      </c>
      <c r="N58" s="19">
        <f>Table1[[#This Row],[Completion Date]]-Table1[[#This Row],[Date Logged]]</f>
        <v>27</v>
      </c>
      <c r="O58" s="1" t="s">
        <v>58</v>
      </c>
      <c r="P58" s="1"/>
      <c r="Q58" s="2"/>
      <c r="R58" s="2"/>
      <c r="S58" s="2"/>
      <c r="T58" s="2" t="s">
        <v>133</v>
      </c>
      <c r="W58" s="1"/>
      <c r="X58" s="6"/>
      <c r="Y58" s="6"/>
      <c r="Z58" s="6"/>
      <c r="AD58" s="6"/>
      <c r="AE58" s="6"/>
      <c r="AF58" s="6"/>
    </row>
    <row r="59" spans="1:32" ht="165" x14ac:dyDescent="0.3">
      <c r="A59" s="1" t="s">
        <v>172</v>
      </c>
      <c r="B59" s="7">
        <v>46052</v>
      </c>
      <c r="C59" s="1" t="s">
        <v>100</v>
      </c>
      <c r="D59" s="8" t="s">
        <v>23</v>
      </c>
      <c r="E59" s="8" t="s">
        <v>24</v>
      </c>
      <c r="F59" s="2" t="s">
        <v>164</v>
      </c>
      <c r="G59" s="2" t="s">
        <v>163</v>
      </c>
      <c r="H59" s="2" t="s">
        <v>47</v>
      </c>
      <c r="I59" s="7" t="s">
        <v>78</v>
      </c>
      <c r="J59" s="2" t="s">
        <v>104</v>
      </c>
      <c r="K59" s="2" t="s">
        <v>170</v>
      </c>
      <c r="L59" s="7">
        <v>46387</v>
      </c>
      <c r="M59" s="7"/>
      <c r="N59" s="19">
        <f>Table1[[#This Row],[Completion Date]]-Table1[[#This Row],[Date Logged]]</f>
        <v>-46052</v>
      </c>
      <c r="O59" s="1" t="s">
        <v>59</v>
      </c>
      <c r="P59" s="1"/>
      <c r="Q59" s="2"/>
      <c r="R59" s="2"/>
      <c r="S59" s="2"/>
      <c r="T59" s="2" t="s">
        <v>133</v>
      </c>
      <c r="W59" s="1"/>
      <c r="X59" s="6"/>
      <c r="Y59" s="6"/>
      <c r="Z59" s="6"/>
      <c r="AD59" s="6"/>
      <c r="AE59" s="6"/>
      <c r="AF59" s="6"/>
    </row>
    <row r="60" spans="1:32" ht="165" x14ac:dyDescent="0.3">
      <c r="A60" s="1" t="s">
        <v>173</v>
      </c>
      <c r="B60" s="7">
        <v>46052</v>
      </c>
      <c r="C60" s="1" t="s">
        <v>100</v>
      </c>
      <c r="D60" s="8" t="s">
        <v>23</v>
      </c>
      <c r="E60" s="8" t="s">
        <v>24</v>
      </c>
      <c r="F60" s="2" t="s">
        <v>164</v>
      </c>
      <c r="G60" s="2" t="s">
        <v>163</v>
      </c>
      <c r="H60" s="2" t="s">
        <v>47</v>
      </c>
      <c r="I60" s="7" t="s">
        <v>78</v>
      </c>
      <c r="J60" s="2" t="s">
        <v>166</v>
      </c>
      <c r="K60" s="2" t="s">
        <v>170</v>
      </c>
      <c r="L60" s="7">
        <v>46418</v>
      </c>
      <c r="M60" s="7"/>
      <c r="N60" s="19">
        <f>Table1[[#This Row],[Completion Date]]-Table1[[#This Row],[Date Logged]]</f>
        <v>-46052</v>
      </c>
      <c r="O60" s="1" t="s">
        <v>59</v>
      </c>
      <c r="P60" s="1"/>
      <c r="Q60" s="2"/>
      <c r="R60" s="2"/>
      <c r="S60" s="2"/>
      <c r="T60" s="2" t="s">
        <v>133</v>
      </c>
      <c r="W60" s="1"/>
      <c r="X60" s="6"/>
      <c r="Y60" s="6"/>
      <c r="Z60" s="6"/>
      <c r="AD60" s="6"/>
      <c r="AE60" s="6"/>
      <c r="AF60" s="6"/>
    </row>
    <row r="61" spans="1:32" ht="165" x14ac:dyDescent="0.3">
      <c r="A61" s="1" t="s">
        <v>174</v>
      </c>
      <c r="B61" s="7">
        <v>46052</v>
      </c>
      <c r="C61" s="1" t="s">
        <v>100</v>
      </c>
      <c r="D61" s="8" t="s">
        <v>23</v>
      </c>
      <c r="E61" s="8" t="s">
        <v>24</v>
      </c>
      <c r="F61" s="2" t="s">
        <v>164</v>
      </c>
      <c r="G61" s="2" t="s">
        <v>163</v>
      </c>
      <c r="H61" s="2" t="s">
        <v>47</v>
      </c>
      <c r="I61" s="7" t="s">
        <v>78</v>
      </c>
      <c r="J61" s="2" t="s">
        <v>167</v>
      </c>
      <c r="K61" s="2" t="s">
        <v>170</v>
      </c>
      <c r="L61" s="7">
        <v>46568</v>
      </c>
      <c r="M61" s="7"/>
      <c r="N61" s="19">
        <f>Table1[[#This Row],[Completion Date]]-Table1[[#This Row],[Date Logged]]</f>
        <v>-46052</v>
      </c>
      <c r="O61" s="1" t="s">
        <v>59</v>
      </c>
      <c r="P61" s="1"/>
      <c r="Q61" s="2"/>
      <c r="R61" s="2"/>
      <c r="S61" s="2"/>
      <c r="T61" s="2" t="s">
        <v>133</v>
      </c>
      <c r="W61" s="1"/>
      <c r="X61" s="6"/>
      <c r="Y61" s="6"/>
      <c r="Z61" s="6"/>
      <c r="AD61" s="6"/>
      <c r="AE61" s="6"/>
      <c r="AF61" s="6"/>
    </row>
    <row r="62" spans="1:32" ht="165" x14ac:dyDescent="0.3">
      <c r="A62" s="1" t="s">
        <v>175</v>
      </c>
      <c r="B62" s="7">
        <v>46052</v>
      </c>
      <c r="C62" s="1" t="s">
        <v>100</v>
      </c>
      <c r="D62" s="8" t="s">
        <v>23</v>
      </c>
      <c r="E62" s="8" t="s">
        <v>24</v>
      </c>
      <c r="F62" s="2" t="s">
        <v>164</v>
      </c>
      <c r="G62" s="2" t="s">
        <v>163</v>
      </c>
      <c r="H62" s="2" t="s">
        <v>47</v>
      </c>
      <c r="I62" s="7" t="s">
        <v>78</v>
      </c>
      <c r="J62" s="2" t="s">
        <v>168</v>
      </c>
      <c r="K62" s="1" t="s">
        <v>108</v>
      </c>
      <c r="L62" s="7">
        <v>46568</v>
      </c>
      <c r="M62" s="7"/>
      <c r="N62" s="19">
        <f>Table1[[#This Row],[Completion Date]]-Table1[[#This Row],[Date Logged]]</f>
        <v>-46052</v>
      </c>
      <c r="O62" s="1" t="s">
        <v>59</v>
      </c>
      <c r="P62" s="1"/>
      <c r="Q62" s="2"/>
      <c r="R62" s="2"/>
      <c r="S62" s="2"/>
      <c r="T62" s="2" t="s">
        <v>133</v>
      </c>
      <c r="W62" s="1"/>
      <c r="X62" s="6"/>
      <c r="Y62" s="6"/>
      <c r="Z62" s="6"/>
      <c r="AD62" s="6"/>
      <c r="AE62" s="6"/>
      <c r="AF62" s="6"/>
    </row>
    <row r="63" spans="1:32" ht="165" x14ac:dyDescent="0.3">
      <c r="A63" s="1" t="s">
        <v>176</v>
      </c>
      <c r="B63" s="7">
        <v>46052</v>
      </c>
      <c r="C63" s="1" t="s">
        <v>100</v>
      </c>
      <c r="D63" s="8" t="s">
        <v>23</v>
      </c>
      <c r="E63" s="8" t="s">
        <v>24</v>
      </c>
      <c r="F63" s="2" t="s">
        <v>164</v>
      </c>
      <c r="G63" s="2" t="s">
        <v>163</v>
      </c>
      <c r="H63" s="2" t="s">
        <v>47</v>
      </c>
      <c r="I63" s="7" t="s">
        <v>78</v>
      </c>
      <c r="J63" s="2" t="s">
        <v>127</v>
      </c>
      <c r="K63" s="1" t="s">
        <v>42</v>
      </c>
      <c r="L63" s="7">
        <v>46568</v>
      </c>
      <c r="M63" s="7"/>
      <c r="N63" s="19">
        <f>Table1[[#This Row],[Completion Date]]-Table1[[#This Row],[Date Logged]]</f>
        <v>-46052</v>
      </c>
      <c r="O63" s="1" t="s">
        <v>59</v>
      </c>
      <c r="P63" s="1"/>
      <c r="Q63" s="2"/>
      <c r="R63" s="2"/>
      <c r="S63" s="2"/>
      <c r="T63" s="2" t="s">
        <v>133</v>
      </c>
      <c r="W63" s="1"/>
      <c r="X63" s="6"/>
      <c r="Y63" s="6"/>
      <c r="Z63" s="6"/>
      <c r="AD63" s="6"/>
      <c r="AE63" s="6"/>
      <c r="AF63" s="6"/>
    </row>
    <row r="64" spans="1:32" ht="45" x14ac:dyDescent="0.3">
      <c r="A64" s="1" t="s">
        <v>185</v>
      </c>
      <c r="B64" s="7">
        <v>46056</v>
      </c>
      <c r="C64" s="1" t="s">
        <v>41</v>
      </c>
      <c r="D64" s="8" t="s">
        <v>44</v>
      </c>
      <c r="E64" s="8" t="s">
        <v>24</v>
      </c>
      <c r="F64" s="2" t="s">
        <v>183</v>
      </c>
      <c r="G64" s="2" t="s">
        <v>190</v>
      </c>
      <c r="H64" s="2" t="s">
        <v>184</v>
      </c>
      <c r="I64" s="7" t="s">
        <v>38</v>
      </c>
      <c r="J64" s="2" t="s">
        <v>191</v>
      </c>
      <c r="K64" s="1" t="s">
        <v>196</v>
      </c>
      <c r="L64" s="7">
        <v>46083</v>
      </c>
      <c r="M64" s="7">
        <v>46057</v>
      </c>
      <c r="N64" s="19">
        <f>Table1[[#This Row],[Completion Date]]-Table1[[#This Row],[Date Logged]]</f>
        <v>1</v>
      </c>
      <c r="O64" s="1" t="s">
        <v>58</v>
      </c>
      <c r="P64" s="1" t="s">
        <v>161</v>
      </c>
      <c r="Q64" s="2" t="s">
        <v>131</v>
      </c>
      <c r="R64" s="2" t="s">
        <v>131</v>
      </c>
      <c r="S64" s="2" t="s">
        <v>131</v>
      </c>
      <c r="T64" s="2" t="s">
        <v>132</v>
      </c>
      <c r="W64" s="1"/>
      <c r="X64" s="6"/>
      <c r="Y64" s="6"/>
      <c r="Z64" s="6"/>
      <c r="AD64" s="6"/>
      <c r="AE64" s="6"/>
      <c r="AF64" s="6"/>
    </row>
    <row r="65" spans="1:32" ht="45" x14ac:dyDescent="0.3">
      <c r="A65" s="1" t="s">
        <v>186</v>
      </c>
      <c r="B65" s="7">
        <v>46056</v>
      </c>
      <c r="C65" s="1" t="s">
        <v>41</v>
      </c>
      <c r="D65" s="8" t="s">
        <v>44</v>
      </c>
      <c r="E65" s="8" t="s">
        <v>24</v>
      </c>
      <c r="F65" s="2" t="s">
        <v>183</v>
      </c>
      <c r="G65" s="2" t="s">
        <v>190</v>
      </c>
      <c r="H65" s="2" t="s">
        <v>184</v>
      </c>
      <c r="I65" s="7" t="s">
        <v>38</v>
      </c>
      <c r="J65" s="2" t="s">
        <v>192</v>
      </c>
      <c r="K65" s="1" t="s">
        <v>196</v>
      </c>
      <c r="L65" s="7">
        <v>46083</v>
      </c>
      <c r="M65" s="7">
        <v>46057</v>
      </c>
      <c r="N65" s="19">
        <f>Table1[[#This Row],[Completion Date]]-Table1[[#This Row],[Date Logged]]</f>
        <v>1</v>
      </c>
      <c r="O65" s="1" t="s">
        <v>58</v>
      </c>
      <c r="P65" s="1" t="s">
        <v>161</v>
      </c>
      <c r="Q65" s="2" t="s">
        <v>131</v>
      </c>
      <c r="R65" s="2" t="s">
        <v>131</v>
      </c>
      <c r="S65" s="2" t="s">
        <v>131</v>
      </c>
      <c r="T65" s="2" t="s">
        <v>132</v>
      </c>
      <c r="W65" s="1"/>
      <c r="X65" s="6"/>
      <c r="Y65" s="6"/>
      <c r="Z65" s="6"/>
      <c r="AD65" s="6"/>
      <c r="AE65" s="6"/>
      <c r="AF65" s="6"/>
    </row>
    <row r="66" spans="1:32" ht="45" x14ac:dyDescent="0.3">
      <c r="A66" s="1" t="s">
        <v>187</v>
      </c>
      <c r="B66" s="7">
        <v>46056</v>
      </c>
      <c r="C66" s="1" t="s">
        <v>41</v>
      </c>
      <c r="D66" s="8" t="s">
        <v>44</v>
      </c>
      <c r="E66" s="8" t="s">
        <v>24</v>
      </c>
      <c r="F66" s="2" t="s">
        <v>183</v>
      </c>
      <c r="G66" s="2" t="s">
        <v>190</v>
      </c>
      <c r="H66" s="2" t="s">
        <v>184</v>
      </c>
      <c r="I66" s="7" t="s">
        <v>38</v>
      </c>
      <c r="J66" s="2" t="s">
        <v>193</v>
      </c>
      <c r="K66" s="1" t="s">
        <v>42</v>
      </c>
      <c r="L66" s="7">
        <v>46084</v>
      </c>
      <c r="M66" s="7">
        <v>46057</v>
      </c>
      <c r="N66" s="19">
        <f>Table1[[#This Row],[Completion Date]]-Table1[[#This Row],[Date Logged]]</f>
        <v>1</v>
      </c>
      <c r="O66" s="1" t="s">
        <v>58</v>
      </c>
      <c r="P66" s="1" t="s">
        <v>161</v>
      </c>
      <c r="Q66" s="2" t="s">
        <v>131</v>
      </c>
      <c r="R66" s="2" t="s">
        <v>131</v>
      </c>
      <c r="S66" s="2" t="s">
        <v>131</v>
      </c>
      <c r="T66" s="2" t="s">
        <v>132</v>
      </c>
      <c r="W66" s="1"/>
      <c r="X66" s="6"/>
      <c r="Y66" s="6"/>
      <c r="Z66" s="6"/>
      <c r="AD66" s="6"/>
      <c r="AE66" s="6"/>
      <c r="AF66" s="6"/>
    </row>
    <row r="67" spans="1:32" ht="45" x14ac:dyDescent="0.3">
      <c r="A67" s="1" t="s">
        <v>188</v>
      </c>
      <c r="B67" s="7">
        <v>46056</v>
      </c>
      <c r="C67" s="1" t="s">
        <v>41</v>
      </c>
      <c r="D67" s="8" t="s">
        <v>44</v>
      </c>
      <c r="E67" s="8" t="s">
        <v>24</v>
      </c>
      <c r="F67" s="2" t="s">
        <v>183</v>
      </c>
      <c r="G67" s="2" t="s">
        <v>190</v>
      </c>
      <c r="H67" s="2" t="s">
        <v>184</v>
      </c>
      <c r="I67" s="7" t="s">
        <v>38</v>
      </c>
      <c r="J67" s="2" t="s">
        <v>194</v>
      </c>
      <c r="K67" s="1" t="s">
        <v>42</v>
      </c>
      <c r="L67" s="7">
        <v>46084</v>
      </c>
      <c r="M67" s="7">
        <v>46063</v>
      </c>
      <c r="N67" s="19">
        <f>Table1[[#This Row],[Completion Date]]-Table1[[#This Row],[Date Logged]]</f>
        <v>7</v>
      </c>
      <c r="O67" s="1" t="s">
        <v>58</v>
      </c>
      <c r="P67" s="1" t="s">
        <v>161</v>
      </c>
      <c r="Q67" s="2" t="s">
        <v>131</v>
      </c>
      <c r="R67" s="2" t="s">
        <v>131</v>
      </c>
      <c r="S67" s="2" t="s">
        <v>131</v>
      </c>
      <c r="T67" s="2" t="s">
        <v>132</v>
      </c>
      <c r="W67" s="1"/>
      <c r="X67" s="6"/>
      <c r="Y67" s="6"/>
      <c r="Z67" s="6"/>
      <c r="AD67" s="6"/>
      <c r="AE67" s="6"/>
      <c r="AF67" s="6"/>
    </row>
    <row r="68" spans="1:32" ht="45" x14ac:dyDescent="0.3">
      <c r="A68" s="1" t="s">
        <v>189</v>
      </c>
      <c r="B68" s="7">
        <v>46056</v>
      </c>
      <c r="C68" s="1" t="s">
        <v>41</v>
      </c>
      <c r="D68" s="8" t="s">
        <v>44</v>
      </c>
      <c r="E68" s="8" t="s">
        <v>24</v>
      </c>
      <c r="F68" s="2" t="s">
        <v>183</v>
      </c>
      <c r="G68" s="2" t="s">
        <v>190</v>
      </c>
      <c r="H68" s="2" t="s">
        <v>184</v>
      </c>
      <c r="I68" s="7" t="s">
        <v>38</v>
      </c>
      <c r="J68" s="2" t="s">
        <v>195</v>
      </c>
      <c r="K68" s="1" t="s">
        <v>42</v>
      </c>
      <c r="L68" s="7">
        <v>46085</v>
      </c>
      <c r="M68" s="7">
        <v>46063</v>
      </c>
      <c r="N68" s="19">
        <f>Table1[[#This Row],[Completion Date]]-Table1[[#This Row],[Date Logged]]</f>
        <v>7</v>
      </c>
      <c r="O68" s="1" t="s">
        <v>58</v>
      </c>
      <c r="P68" s="1" t="s">
        <v>161</v>
      </c>
      <c r="Q68" s="2" t="s">
        <v>131</v>
      </c>
      <c r="R68" s="2" t="s">
        <v>131</v>
      </c>
      <c r="S68" s="2" t="s">
        <v>131</v>
      </c>
      <c r="T68" s="2" t="s">
        <v>132</v>
      </c>
      <c r="W68" s="1"/>
      <c r="X68" s="6"/>
      <c r="Y68" s="6"/>
      <c r="Z68" s="6"/>
      <c r="AD68" s="6"/>
      <c r="AE68" s="6"/>
      <c r="AF68" s="6"/>
    </row>
    <row r="69" spans="1:32" ht="45" x14ac:dyDescent="0.3">
      <c r="A69" s="1" t="s">
        <v>197</v>
      </c>
      <c r="B69" s="7">
        <v>46057</v>
      </c>
      <c r="C69" s="1" t="s">
        <v>100</v>
      </c>
      <c r="D69" s="8" t="s">
        <v>44</v>
      </c>
      <c r="E69" s="8" t="s">
        <v>24</v>
      </c>
      <c r="F69" s="2" t="s">
        <v>206</v>
      </c>
      <c r="G69" s="2" t="s">
        <v>205</v>
      </c>
      <c r="H69" s="2" t="s">
        <v>207</v>
      </c>
      <c r="I69" s="7" t="s">
        <v>38</v>
      </c>
      <c r="J69" s="2" t="s">
        <v>209</v>
      </c>
      <c r="K69" s="1" t="s">
        <v>41</v>
      </c>
      <c r="L69" s="7">
        <v>46066</v>
      </c>
      <c r="M69" s="7">
        <v>46066</v>
      </c>
      <c r="N69" s="19">
        <f>Table1[[#This Row],[Completion Date]]-Table1[[#This Row],[Date Logged]]</f>
        <v>9</v>
      </c>
      <c r="O69" s="1" t="s">
        <v>58</v>
      </c>
      <c r="P69" s="1" t="s">
        <v>161</v>
      </c>
      <c r="Q69" s="2" t="s">
        <v>131</v>
      </c>
      <c r="R69" s="2" t="s">
        <v>131</v>
      </c>
      <c r="S69" s="2" t="s">
        <v>131</v>
      </c>
      <c r="T69" s="2" t="s">
        <v>132</v>
      </c>
      <c r="W69" s="1"/>
      <c r="X69" s="6"/>
      <c r="Y69" s="6"/>
      <c r="Z69" s="6"/>
      <c r="AD69" s="6"/>
      <c r="AE69" s="6"/>
      <c r="AF69" s="6"/>
    </row>
    <row r="70" spans="1:32" ht="45" x14ac:dyDescent="0.3">
      <c r="A70" s="1" t="s">
        <v>198</v>
      </c>
      <c r="B70" s="7">
        <v>46057</v>
      </c>
      <c r="C70" s="1" t="s">
        <v>100</v>
      </c>
      <c r="D70" s="8" t="s">
        <v>44</v>
      </c>
      <c r="E70" s="8" t="s">
        <v>24</v>
      </c>
      <c r="F70" s="2" t="s">
        <v>206</v>
      </c>
      <c r="G70" s="2" t="s">
        <v>205</v>
      </c>
      <c r="H70" s="2" t="s">
        <v>207</v>
      </c>
      <c r="I70" s="7" t="s">
        <v>38</v>
      </c>
      <c r="J70" s="2" t="s">
        <v>210</v>
      </c>
      <c r="K70" s="1" t="s">
        <v>41</v>
      </c>
      <c r="L70" s="7">
        <v>46066</v>
      </c>
      <c r="M70" s="7">
        <v>46066</v>
      </c>
      <c r="N70" s="19">
        <f>Table1[[#This Row],[Completion Date]]-Table1[[#This Row],[Date Logged]]</f>
        <v>9</v>
      </c>
      <c r="O70" s="1" t="s">
        <v>58</v>
      </c>
      <c r="P70" s="1" t="s">
        <v>161</v>
      </c>
      <c r="Q70" s="2" t="s">
        <v>131</v>
      </c>
      <c r="R70" s="2" t="s">
        <v>131</v>
      </c>
      <c r="S70" s="2" t="s">
        <v>131</v>
      </c>
      <c r="T70" s="2" t="s">
        <v>132</v>
      </c>
      <c r="W70" s="1"/>
      <c r="X70" s="6"/>
      <c r="Y70" s="6"/>
      <c r="Z70" s="6"/>
      <c r="AD70" s="6"/>
      <c r="AE70" s="6"/>
      <c r="AF70" s="6"/>
    </row>
    <row r="71" spans="1:32" ht="45" x14ac:dyDescent="0.3">
      <c r="A71" s="1" t="s">
        <v>199</v>
      </c>
      <c r="B71" s="7">
        <v>46057</v>
      </c>
      <c r="C71" s="1" t="s">
        <v>100</v>
      </c>
      <c r="D71" s="8" t="s">
        <v>44</v>
      </c>
      <c r="E71" s="8" t="s">
        <v>24</v>
      </c>
      <c r="F71" s="2" t="s">
        <v>206</v>
      </c>
      <c r="G71" s="2" t="s">
        <v>205</v>
      </c>
      <c r="H71" s="2" t="s">
        <v>207</v>
      </c>
      <c r="I71" s="7" t="s">
        <v>38</v>
      </c>
      <c r="J71" s="2" t="s">
        <v>211</v>
      </c>
      <c r="K71" s="1" t="s">
        <v>79</v>
      </c>
      <c r="L71" s="7">
        <v>46073</v>
      </c>
      <c r="M71" s="7">
        <v>46066</v>
      </c>
      <c r="N71" s="19">
        <f>Table1[[#This Row],[Completion Date]]-Table1[[#This Row],[Date Logged]]</f>
        <v>9</v>
      </c>
      <c r="O71" s="1" t="s">
        <v>58</v>
      </c>
      <c r="P71" s="1" t="s">
        <v>161</v>
      </c>
      <c r="Q71" s="2" t="s">
        <v>131</v>
      </c>
      <c r="R71" s="2" t="s">
        <v>131</v>
      </c>
      <c r="S71" s="2" t="s">
        <v>131</v>
      </c>
      <c r="T71" s="2" t="s">
        <v>132</v>
      </c>
      <c r="W71" s="1"/>
      <c r="X71" s="6"/>
      <c r="Y71" s="6"/>
      <c r="Z71" s="6"/>
      <c r="AD71" s="6"/>
      <c r="AE71" s="6"/>
      <c r="AF71" s="6"/>
    </row>
    <row r="72" spans="1:32" ht="45" x14ac:dyDescent="0.3">
      <c r="A72" s="1" t="s">
        <v>200</v>
      </c>
      <c r="B72" s="7">
        <v>46057</v>
      </c>
      <c r="C72" s="1" t="s">
        <v>100</v>
      </c>
      <c r="D72" s="8" t="s">
        <v>44</v>
      </c>
      <c r="E72" s="8" t="s">
        <v>24</v>
      </c>
      <c r="F72" s="2" t="s">
        <v>206</v>
      </c>
      <c r="G72" s="2" t="s">
        <v>205</v>
      </c>
      <c r="H72" s="2" t="s">
        <v>207</v>
      </c>
      <c r="I72" s="7" t="s">
        <v>38</v>
      </c>
      <c r="J72" s="2" t="s">
        <v>84</v>
      </c>
      <c r="K72" s="1" t="s">
        <v>42</v>
      </c>
      <c r="L72" s="7">
        <v>46077</v>
      </c>
      <c r="M72" s="7">
        <v>46073</v>
      </c>
      <c r="N72" s="19">
        <f>Table1[[#This Row],[Completion Date]]-Table1[[#This Row],[Date Logged]]</f>
        <v>16</v>
      </c>
      <c r="O72" s="1" t="s">
        <v>58</v>
      </c>
      <c r="P72" s="1" t="s">
        <v>161</v>
      </c>
      <c r="Q72" s="2" t="s">
        <v>131</v>
      </c>
      <c r="R72" s="2" t="s">
        <v>131</v>
      </c>
      <c r="S72" s="2" t="s">
        <v>131</v>
      </c>
      <c r="T72" s="2" t="s">
        <v>132</v>
      </c>
      <c r="W72" s="1"/>
      <c r="X72" s="6"/>
      <c r="Y72" s="6"/>
      <c r="Z72" s="6"/>
      <c r="AD72" s="6"/>
      <c r="AE72" s="6"/>
      <c r="AF72" s="6"/>
    </row>
    <row r="73" spans="1:32" ht="45" x14ac:dyDescent="0.3">
      <c r="A73" s="1" t="s">
        <v>201</v>
      </c>
      <c r="B73" s="7">
        <v>46057</v>
      </c>
      <c r="C73" s="1" t="s">
        <v>100</v>
      </c>
      <c r="D73" s="8" t="s">
        <v>44</v>
      </c>
      <c r="E73" s="8" t="s">
        <v>24</v>
      </c>
      <c r="F73" s="2" t="s">
        <v>206</v>
      </c>
      <c r="G73" s="2" t="s">
        <v>205</v>
      </c>
      <c r="H73" s="2" t="s">
        <v>207</v>
      </c>
      <c r="I73" s="7" t="s">
        <v>38</v>
      </c>
      <c r="J73" s="2" t="s">
        <v>212</v>
      </c>
      <c r="K73" s="1" t="s">
        <v>80</v>
      </c>
      <c r="L73" s="7">
        <v>46077</v>
      </c>
      <c r="M73" s="7">
        <v>46077</v>
      </c>
      <c r="N73" s="19">
        <f>Table1[[#This Row],[Completion Date]]-Table1[[#This Row],[Date Logged]]</f>
        <v>20</v>
      </c>
      <c r="O73" s="1" t="s">
        <v>58</v>
      </c>
      <c r="P73" s="1" t="s">
        <v>161</v>
      </c>
      <c r="Q73" s="2" t="s">
        <v>131</v>
      </c>
      <c r="R73" s="2" t="s">
        <v>131</v>
      </c>
      <c r="S73" s="2" t="s">
        <v>131</v>
      </c>
      <c r="T73" s="2" t="s">
        <v>132</v>
      </c>
      <c r="W73" s="1"/>
      <c r="X73" s="6"/>
      <c r="Y73" s="6"/>
      <c r="Z73" s="6"/>
      <c r="AD73" s="6"/>
      <c r="AE73" s="6"/>
      <c r="AF73" s="6"/>
    </row>
    <row r="74" spans="1:32" ht="45" x14ac:dyDescent="0.3">
      <c r="A74" s="1" t="s">
        <v>202</v>
      </c>
      <c r="B74" s="7">
        <v>46057</v>
      </c>
      <c r="C74" s="1" t="s">
        <v>100</v>
      </c>
      <c r="D74" s="8" t="s">
        <v>44</v>
      </c>
      <c r="E74" s="8" t="s">
        <v>24</v>
      </c>
      <c r="F74" s="2" t="s">
        <v>206</v>
      </c>
      <c r="G74" s="2" t="s">
        <v>205</v>
      </c>
      <c r="H74" s="2" t="s">
        <v>207</v>
      </c>
      <c r="I74" s="7" t="s">
        <v>38</v>
      </c>
      <c r="J74" s="2" t="s">
        <v>85</v>
      </c>
      <c r="K74" s="1" t="s">
        <v>208</v>
      </c>
      <c r="L74" s="7">
        <v>46077</v>
      </c>
      <c r="M74" s="7">
        <v>46077</v>
      </c>
      <c r="N74" s="19">
        <f>Table1[[#This Row],[Completion Date]]-Table1[[#This Row],[Date Logged]]</f>
        <v>20</v>
      </c>
      <c r="O74" s="1" t="s">
        <v>58</v>
      </c>
      <c r="P74" s="1" t="s">
        <v>161</v>
      </c>
      <c r="Q74" s="2" t="s">
        <v>131</v>
      </c>
      <c r="R74" s="2" t="s">
        <v>131</v>
      </c>
      <c r="S74" s="2" t="s">
        <v>131</v>
      </c>
      <c r="T74" s="2" t="s">
        <v>132</v>
      </c>
      <c r="W74" s="1"/>
      <c r="X74" s="6"/>
      <c r="Y74" s="6"/>
      <c r="Z74" s="6"/>
      <c r="AD74" s="6"/>
      <c r="AE74" s="6"/>
      <c r="AF74" s="6"/>
    </row>
    <row r="75" spans="1:32" ht="45" x14ac:dyDescent="0.3">
      <c r="A75" s="1" t="s">
        <v>203</v>
      </c>
      <c r="B75" s="7">
        <v>46057</v>
      </c>
      <c r="C75" s="1" t="s">
        <v>100</v>
      </c>
      <c r="D75" s="8" t="s">
        <v>44</v>
      </c>
      <c r="E75" s="8" t="s">
        <v>24</v>
      </c>
      <c r="F75" s="2" t="s">
        <v>206</v>
      </c>
      <c r="G75" s="2" t="s">
        <v>205</v>
      </c>
      <c r="H75" s="2" t="s">
        <v>207</v>
      </c>
      <c r="I75" s="7" t="s">
        <v>38</v>
      </c>
      <c r="J75" s="2" t="s">
        <v>213</v>
      </c>
      <c r="K75" s="1" t="s">
        <v>42</v>
      </c>
      <c r="L75" s="7">
        <v>46077</v>
      </c>
      <c r="M75" s="7">
        <v>46077</v>
      </c>
      <c r="N75" s="19">
        <f>Table1[[#This Row],[Completion Date]]-Table1[[#This Row],[Date Logged]]</f>
        <v>20</v>
      </c>
      <c r="O75" s="1" t="s">
        <v>58</v>
      </c>
      <c r="P75" s="1" t="s">
        <v>161</v>
      </c>
      <c r="Q75" s="2" t="s">
        <v>131</v>
      </c>
      <c r="R75" s="2" t="s">
        <v>131</v>
      </c>
      <c r="S75" s="2" t="s">
        <v>131</v>
      </c>
      <c r="T75" s="2" t="s">
        <v>132</v>
      </c>
      <c r="W75" s="1"/>
      <c r="X75" s="6"/>
      <c r="Y75" s="6"/>
      <c r="Z75" s="6"/>
      <c r="AD75" s="6"/>
      <c r="AE75" s="6"/>
      <c r="AF75" s="6"/>
    </row>
    <row r="76" spans="1:32" ht="45" x14ac:dyDescent="0.3">
      <c r="A76" s="1" t="s">
        <v>204</v>
      </c>
      <c r="B76" s="7">
        <v>46057</v>
      </c>
      <c r="C76" s="1" t="s">
        <v>100</v>
      </c>
      <c r="D76" s="8" t="s">
        <v>44</v>
      </c>
      <c r="E76" s="8" t="s">
        <v>24</v>
      </c>
      <c r="F76" s="2" t="s">
        <v>206</v>
      </c>
      <c r="G76" s="2" t="s">
        <v>205</v>
      </c>
      <c r="H76" s="2" t="s">
        <v>207</v>
      </c>
      <c r="I76" s="7" t="s">
        <v>38</v>
      </c>
      <c r="J76" s="2" t="s">
        <v>214</v>
      </c>
      <c r="K76" s="1" t="s">
        <v>42</v>
      </c>
      <c r="L76" s="7">
        <v>46083</v>
      </c>
      <c r="M76" s="7">
        <v>46077</v>
      </c>
      <c r="N76" s="19">
        <f>Table1[[#This Row],[Completion Date]]-Table1[[#This Row],[Date Logged]]</f>
        <v>20</v>
      </c>
      <c r="O76" s="1" t="s">
        <v>58</v>
      </c>
      <c r="P76" s="1" t="s">
        <v>161</v>
      </c>
      <c r="Q76" s="2" t="s">
        <v>131</v>
      </c>
      <c r="R76" s="2" t="s">
        <v>131</v>
      </c>
      <c r="S76" s="2" t="s">
        <v>131</v>
      </c>
      <c r="T76" s="2" t="s">
        <v>132</v>
      </c>
      <c r="W76" s="1"/>
      <c r="X76" s="6"/>
      <c r="Y76" s="6"/>
      <c r="Z76" s="6"/>
      <c r="AD76" s="6"/>
      <c r="AE76" s="6"/>
      <c r="AF76" s="6"/>
    </row>
    <row r="77" spans="1:32" ht="60" x14ac:dyDescent="0.3">
      <c r="A77" s="1" t="s">
        <v>412</v>
      </c>
      <c r="B77" s="7">
        <v>46058</v>
      </c>
      <c r="C77" s="1" t="s">
        <v>44</v>
      </c>
      <c r="D77" s="8" t="s">
        <v>44</v>
      </c>
      <c r="E77" s="8" t="s">
        <v>24</v>
      </c>
      <c r="F77" s="2" t="s">
        <v>215</v>
      </c>
      <c r="G77" s="2" t="s">
        <v>216</v>
      </c>
      <c r="H77" s="2" t="s">
        <v>217</v>
      </c>
      <c r="I77" s="7" t="s">
        <v>78</v>
      </c>
      <c r="J77" s="2" t="s">
        <v>948</v>
      </c>
      <c r="K77" s="1" t="s">
        <v>44</v>
      </c>
      <c r="L77" s="7">
        <v>46142</v>
      </c>
      <c r="M77" s="7">
        <v>46142</v>
      </c>
      <c r="N77" s="19">
        <f>Table1[[#This Row],[Completion Date]]-Table1[[#This Row],[Date Logged]]</f>
        <v>84</v>
      </c>
      <c r="O77" s="1" t="s">
        <v>58</v>
      </c>
      <c r="P77" s="1" t="s">
        <v>129</v>
      </c>
      <c r="Q77" s="2" t="s">
        <v>131</v>
      </c>
      <c r="R77" s="2" t="s">
        <v>131</v>
      </c>
      <c r="S77" s="2" t="s">
        <v>131</v>
      </c>
      <c r="T77" s="2" t="s">
        <v>223</v>
      </c>
      <c r="W77" s="1"/>
      <c r="X77" s="6"/>
      <c r="Y77" s="6"/>
      <c r="Z77" s="6"/>
      <c r="AD77" s="6"/>
      <c r="AE77" s="6"/>
      <c r="AF77" s="6"/>
    </row>
    <row r="78" spans="1:32" ht="75" x14ac:dyDescent="0.3">
      <c r="A78" s="29" t="s">
        <v>413</v>
      </c>
      <c r="B78" s="30">
        <v>46058</v>
      </c>
      <c r="C78" s="29" t="s">
        <v>44</v>
      </c>
      <c r="D78" s="31" t="s">
        <v>44</v>
      </c>
      <c r="E78" s="31" t="s">
        <v>24</v>
      </c>
      <c r="F78" s="32" t="s">
        <v>215</v>
      </c>
      <c r="G78" s="34" t="s">
        <v>216</v>
      </c>
      <c r="H78" s="34" t="s">
        <v>217</v>
      </c>
      <c r="I78" s="30" t="s">
        <v>78</v>
      </c>
      <c r="J78" s="9" t="s">
        <v>949</v>
      </c>
      <c r="K78" s="29" t="s">
        <v>44</v>
      </c>
      <c r="L78" s="30">
        <v>46142</v>
      </c>
      <c r="M78" s="30">
        <v>46142</v>
      </c>
      <c r="N78" s="36"/>
      <c r="O78" s="30" t="s">
        <v>58</v>
      </c>
      <c r="P78" s="1" t="s">
        <v>129</v>
      </c>
      <c r="Q78" s="1" t="s">
        <v>131</v>
      </c>
      <c r="R78" s="2" t="s">
        <v>131</v>
      </c>
      <c r="S78" s="2" t="s">
        <v>131</v>
      </c>
      <c r="T78" s="34" t="s">
        <v>223</v>
      </c>
      <c r="U78" s="34"/>
      <c r="W78" s="1"/>
      <c r="X78" s="6"/>
      <c r="Y78" s="6"/>
      <c r="Z78" s="6"/>
      <c r="AD78" s="6"/>
      <c r="AE78" s="6"/>
      <c r="AF78" s="6"/>
    </row>
    <row r="79" spans="1:32" ht="60" x14ac:dyDescent="0.3">
      <c r="A79" s="29" t="s">
        <v>414</v>
      </c>
      <c r="B79" s="30">
        <v>46058</v>
      </c>
      <c r="C79" s="29" t="s">
        <v>44</v>
      </c>
      <c r="D79" s="31" t="s">
        <v>44</v>
      </c>
      <c r="E79" s="31" t="s">
        <v>24</v>
      </c>
      <c r="F79" s="32" t="s">
        <v>215</v>
      </c>
      <c r="G79" s="34" t="s">
        <v>216</v>
      </c>
      <c r="H79" s="34" t="s">
        <v>217</v>
      </c>
      <c r="I79" s="30" t="s">
        <v>78</v>
      </c>
      <c r="J79" s="9" t="s">
        <v>950</v>
      </c>
      <c r="K79" s="29" t="s">
        <v>44</v>
      </c>
      <c r="L79" s="30">
        <v>46142</v>
      </c>
      <c r="M79" s="30">
        <v>46142</v>
      </c>
      <c r="N79" s="36"/>
      <c r="O79" s="30" t="s">
        <v>58</v>
      </c>
      <c r="P79" s="1" t="s">
        <v>129</v>
      </c>
      <c r="Q79" s="1" t="s">
        <v>131</v>
      </c>
      <c r="R79" s="2" t="s">
        <v>131</v>
      </c>
      <c r="S79" s="2" t="s">
        <v>131</v>
      </c>
      <c r="T79" s="34" t="s">
        <v>223</v>
      </c>
      <c r="U79" s="34"/>
      <c r="W79" s="1"/>
      <c r="X79" s="6"/>
      <c r="Y79" s="6"/>
      <c r="Z79" s="6"/>
      <c r="AD79" s="6"/>
      <c r="AE79" s="6"/>
      <c r="AF79" s="6"/>
    </row>
    <row r="80" spans="1:32" ht="135" x14ac:dyDescent="0.3">
      <c r="A80" s="29" t="s">
        <v>415</v>
      </c>
      <c r="B80" s="30">
        <v>46058</v>
      </c>
      <c r="C80" s="29" t="s">
        <v>44</v>
      </c>
      <c r="D80" s="31" t="s">
        <v>44</v>
      </c>
      <c r="E80" s="31" t="s">
        <v>24</v>
      </c>
      <c r="F80" s="32" t="s">
        <v>215</v>
      </c>
      <c r="G80" s="34" t="s">
        <v>216</v>
      </c>
      <c r="H80" s="34" t="s">
        <v>217</v>
      </c>
      <c r="I80" s="30" t="s">
        <v>78</v>
      </c>
      <c r="J80" s="9" t="s">
        <v>951</v>
      </c>
      <c r="K80" s="29" t="s">
        <v>44</v>
      </c>
      <c r="L80" s="30">
        <v>46218</v>
      </c>
      <c r="M80" s="30">
        <v>46217</v>
      </c>
      <c r="N80" s="36"/>
      <c r="O80" s="30" t="s">
        <v>58</v>
      </c>
      <c r="P80" s="1" t="s">
        <v>129</v>
      </c>
      <c r="Q80" s="1" t="s">
        <v>131</v>
      </c>
      <c r="R80" s="2" t="s">
        <v>131</v>
      </c>
      <c r="S80" s="2" t="s">
        <v>131</v>
      </c>
      <c r="T80" s="34" t="s">
        <v>223</v>
      </c>
      <c r="U80" s="34"/>
      <c r="W80" s="1"/>
      <c r="X80" s="6"/>
      <c r="Y80" s="6"/>
      <c r="Z80" s="6"/>
      <c r="AD80" s="6"/>
      <c r="AE80" s="6"/>
      <c r="AF80" s="6"/>
    </row>
    <row r="81" spans="1:32" ht="60" x14ac:dyDescent="0.3">
      <c r="A81" s="29" t="s">
        <v>416</v>
      </c>
      <c r="B81" s="30">
        <v>46058</v>
      </c>
      <c r="C81" s="29" t="s">
        <v>44</v>
      </c>
      <c r="D81" s="31" t="s">
        <v>44</v>
      </c>
      <c r="E81" s="31" t="s">
        <v>24</v>
      </c>
      <c r="F81" s="32" t="s">
        <v>215</v>
      </c>
      <c r="G81" s="34" t="s">
        <v>216</v>
      </c>
      <c r="H81" s="34" t="s">
        <v>217</v>
      </c>
      <c r="I81" s="30" t="s">
        <v>78</v>
      </c>
      <c r="J81" s="9" t="s">
        <v>417</v>
      </c>
      <c r="K81" s="29" t="s">
        <v>44</v>
      </c>
      <c r="L81" s="30">
        <v>46233</v>
      </c>
      <c r="M81" s="7">
        <v>46234</v>
      </c>
      <c r="N81" s="36"/>
      <c r="O81" s="30" t="s">
        <v>58</v>
      </c>
      <c r="P81" s="1" t="s">
        <v>129</v>
      </c>
      <c r="Q81" s="1" t="s">
        <v>131</v>
      </c>
      <c r="R81" s="2" t="s">
        <v>131</v>
      </c>
      <c r="S81" s="2" t="s">
        <v>131</v>
      </c>
      <c r="T81" s="34" t="s">
        <v>223</v>
      </c>
      <c r="U81" s="34"/>
      <c r="W81" s="1"/>
      <c r="X81" s="6"/>
      <c r="Y81" s="6"/>
      <c r="Z81" s="6"/>
      <c r="AD81" s="6"/>
      <c r="AE81" s="6"/>
      <c r="AF81" s="6"/>
    </row>
    <row r="82" spans="1:32" ht="165" x14ac:dyDescent="0.3">
      <c r="A82" s="1" t="s">
        <v>574</v>
      </c>
      <c r="B82" s="7">
        <v>46058</v>
      </c>
      <c r="C82" s="1" t="s">
        <v>100</v>
      </c>
      <c r="D82" s="8" t="s">
        <v>23</v>
      </c>
      <c r="E82" s="8" t="s">
        <v>24</v>
      </c>
      <c r="F82" s="2" t="s">
        <v>218</v>
      </c>
      <c r="G82" s="2" t="s">
        <v>571</v>
      </c>
      <c r="H82" s="2" t="s">
        <v>47</v>
      </c>
      <c r="I82" s="7" t="s">
        <v>78</v>
      </c>
      <c r="J82" s="2" t="s">
        <v>581</v>
      </c>
      <c r="K82" s="1" t="s">
        <v>588</v>
      </c>
      <c r="L82" s="7">
        <v>46387</v>
      </c>
      <c r="M82" s="7"/>
      <c r="N82" s="19">
        <f>Table1[[#This Row],[Completion Date]]-Table1[[#This Row],[Date Logged]]</f>
        <v>-46058</v>
      </c>
      <c r="O82" s="1" t="s">
        <v>59</v>
      </c>
      <c r="P82" s="1"/>
      <c r="Q82" s="2"/>
      <c r="R82" s="2"/>
      <c r="S82" s="2"/>
      <c r="T82" s="2" t="s">
        <v>133</v>
      </c>
      <c r="W82" s="1"/>
      <c r="X82" s="6"/>
      <c r="Y82" s="6"/>
      <c r="Z82" s="6"/>
      <c r="AD82" s="6"/>
      <c r="AE82" s="6"/>
      <c r="AF82" s="6"/>
    </row>
    <row r="83" spans="1:32" ht="155.25" customHeight="1" x14ac:dyDescent="0.3">
      <c r="A83" s="1" t="s">
        <v>575</v>
      </c>
      <c r="B83" s="48">
        <v>46058</v>
      </c>
      <c r="C83" s="47" t="s">
        <v>100</v>
      </c>
      <c r="D83" s="49" t="s">
        <v>23</v>
      </c>
      <c r="E83" s="49" t="s">
        <v>24</v>
      </c>
      <c r="F83" s="50" t="s">
        <v>218</v>
      </c>
      <c r="G83" s="2" t="s">
        <v>573</v>
      </c>
      <c r="H83" s="2" t="s">
        <v>47</v>
      </c>
      <c r="I83" s="48" t="s">
        <v>78</v>
      </c>
      <c r="J83" s="9" t="s">
        <v>584</v>
      </c>
      <c r="K83" s="2" t="s">
        <v>589</v>
      </c>
      <c r="L83" s="48">
        <v>46418</v>
      </c>
      <c r="M83" s="48"/>
      <c r="N83" s="52"/>
      <c r="O83" s="48" t="s">
        <v>59</v>
      </c>
      <c r="P83" s="47"/>
      <c r="Q83" s="47"/>
      <c r="R83" s="51"/>
      <c r="S83" s="51"/>
      <c r="T83" s="51" t="s">
        <v>133</v>
      </c>
      <c r="U83" s="51"/>
      <c r="W83" s="1"/>
      <c r="X83" s="6"/>
      <c r="Y83" s="6"/>
      <c r="Z83" s="6"/>
      <c r="AD83" s="6"/>
      <c r="AE83" s="6"/>
      <c r="AF83" s="6"/>
    </row>
    <row r="84" spans="1:32" ht="165" x14ac:dyDescent="0.3">
      <c r="A84" s="1" t="s">
        <v>576</v>
      </c>
      <c r="B84" s="48">
        <v>46058</v>
      </c>
      <c r="C84" s="47" t="s">
        <v>100</v>
      </c>
      <c r="D84" s="49" t="s">
        <v>23</v>
      </c>
      <c r="E84" s="49" t="s">
        <v>24</v>
      </c>
      <c r="F84" s="50" t="s">
        <v>218</v>
      </c>
      <c r="G84" s="2" t="s">
        <v>571</v>
      </c>
      <c r="H84" s="2" t="s">
        <v>47</v>
      </c>
      <c r="I84" s="48" t="s">
        <v>78</v>
      </c>
      <c r="J84" s="9" t="s">
        <v>582</v>
      </c>
      <c r="K84" s="2" t="s">
        <v>589</v>
      </c>
      <c r="L84" s="48">
        <v>46418</v>
      </c>
      <c r="M84" s="48"/>
      <c r="N84" s="52"/>
      <c r="O84" s="48" t="s">
        <v>59</v>
      </c>
      <c r="P84" s="47"/>
      <c r="Q84" s="47"/>
      <c r="R84" s="51"/>
      <c r="S84" s="51"/>
      <c r="T84" s="51" t="s">
        <v>133</v>
      </c>
      <c r="U84" s="51"/>
      <c r="W84" s="1"/>
      <c r="X84" s="6"/>
      <c r="Y84" s="6"/>
      <c r="Z84" s="6"/>
      <c r="AD84" s="6"/>
      <c r="AE84" s="6"/>
      <c r="AF84" s="6"/>
    </row>
    <row r="85" spans="1:32" ht="165" x14ac:dyDescent="0.3">
      <c r="A85" s="1" t="s">
        <v>577</v>
      </c>
      <c r="B85" s="48">
        <v>46058</v>
      </c>
      <c r="C85" s="47" t="s">
        <v>100</v>
      </c>
      <c r="D85" s="49" t="s">
        <v>23</v>
      </c>
      <c r="E85" s="49" t="s">
        <v>24</v>
      </c>
      <c r="F85" s="50" t="s">
        <v>218</v>
      </c>
      <c r="G85" s="2" t="s">
        <v>571</v>
      </c>
      <c r="H85" s="2" t="s">
        <v>47</v>
      </c>
      <c r="I85" s="48" t="s">
        <v>78</v>
      </c>
      <c r="J85" s="9" t="s">
        <v>585</v>
      </c>
      <c r="K85" s="1" t="s">
        <v>108</v>
      </c>
      <c r="L85" s="48">
        <v>46568</v>
      </c>
      <c r="M85" s="48"/>
      <c r="N85" s="52"/>
      <c r="O85" s="48" t="s">
        <v>59</v>
      </c>
      <c r="P85" s="47"/>
      <c r="Q85" s="47"/>
      <c r="R85" s="51"/>
      <c r="S85" s="51"/>
      <c r="T85" s="51" t="s">
        <v>133</v>
      </c>
      <c r="U85" s="51"/>
      <c r="W85" s="1"/>
      <c r="X85" s="6"/>
      <c r="Y85" s="6"/>
      <c r="Z85" s="6"/>
      <c r="AD85" s="6"/>
      <c r="AE85" s="6"/>
      <c r="AF85" s="6"/>
    </row>
    <row r="86" spans="1:32" ht="165" x14ac:dyDescent="0.3">
      <c r="A86" s="1" t="s">
        <v>578</v>
      </c>
      <c r="B86" s="48">
        <v>46058</v>
      </c>
      <c r="C86" s="47" t="s">
        <v>100</v>
      </c>
      <c r="D86" s="49" t="s">
        <v>23</v>
      </c>
      <c r="E86" s="49" t="s">
        <v>24</v>
      </c>
      <c r="F86" s="50" t="s">
        <v>218</v>
      </c>
      <c r="G86" s="2" t="s">
        <v>571</v>
      </c>
      <c r="H86" s="2" t="s">
        <v>47</v>
      </c>
      <c r="I86" s="48" t="s">
        <v>78</v>
      </c>
      <c r="J86" s="9" t="s">
        <v>583</v>
      </c>
      <c r="K86" s="2" t="s">
        <v>589</v>
      </c>
      <c r="L86" s="48">
        <v>46568</v>
      </c>
      <c r="M86" s="48"/>
      <c r="N86" s="52"/>
      <c r="O86" s="48" t="s">
        <v>59</v>
      </c>
      <c r="P86" s="47"/>
      <c r="Q86" s="47"/>
      <c r="R86" s="51"/>
      <c r="S86" s="51"/>
      <c r="T86" s="51" t="s">
        <v>133</v>
      </c>
      <c r="U86" s="51"/>
      <c r="W86" s="1"/>
      <c r="X86" s="6"/>
      <c r="Y86" s="6"/>
      <c r="Z86" s="6"/>
      <c r="AD86" s="6"/>
      <c r="AE86" s="6"/>
      <c r="AF86" s="6"/>
    </row>
    <row r="87" spans="1:32" ht="165" x14ac:dyDescent="0.3">
      <c r="A87" s="1" t="s">
        <v>579</v>
      </c>
      <c r="B87" s="48">
        <v>46058</v>
      </c>
      <c r="C87" s="47" t="s">
        <v>100</v>
      </c>
      <c r="D87" s="49" t="s">
        <v>23</v>
      </c>
      <c r="E87" s="49" t="s">
        <v>24</v>
      </c>
      <c r="F87" s="50" t="s">
        <v>218</v>
      </c>
      <c r="G87" s="2" t="s">
        <v>571</v>
      </c>
      <c r="H87" s="2" t="s">
        <v>47</v>
      </c>
      <c r="I87" s="48" t="s">
        <v>78</v>
      </c>
      <c r="J87" s="9" t="s">
        <v>586</v>
      </c>
      <c r="K87" s="2" t="s">
        <v>590</v>
      </c>
      <c r="L87" s="48">
        <v>46568</v>
      </c>
      <c r="M87" s="48"/>
      <c r="N87" s="52"/>
      <c r="O87" s="48" t="s">
        <v>59</v>
      </c>
      <c r="P87" s="47"/>
      <c r="Q87" s="47"/>
      <c r="R87" s="51"/>
      <c r="S87" s="51"/>
      <c r="T87" s="51" t="s">
        <v>133</v>
      </c>
      <c r="U87" s="51"/>
      <c r="W87" s="1"/>
      <c r="X87" s="6"/>
      <c r="Y87" s="6"/>
      <c r="Z87" s="6"/>
      <c r="AD87" s="6"/>
      <c r="AE87" s="6"/>
      <c r="AF87" s="6"/>
    </row>
    <row r="88" spans="1:32" ht="165" x14ac:dyDescent="0.3">
      <c r="A88" s="1" t="s">
        <v>580</v>
      </c>
      <c r="B88" s="48">
        <v>46058</v>
      </c>
      <c r="C88" s="47" t="s">
        <v>100</v>
      </c>
      <c r="D88" s="49" t="s">
        <v>23</v>
      </c>
      <c r="E88" s="49" t="s">
        <v>24</v>
      </c>
      <c r="F88" s="50" t="s">
        <v>218</v>
      </c>
      <c r="G88" s="2" t="s">
        <v>572</v>
      </c>
      <c r="H88" s="2" t="s">
        <v>47</v>
      </c>
      <c r="I88" s="48" t="s">
        <v>78</v>
      </c>
      <c r="J88" s="9" t="s">
        <v>587</v>
      </c>
      <c r="K88" s="1" t="s">
        <v>108</v>
      </c>
      <c r="L88" s="48">
        <v>46568</v>
      </c>
      <c r="M88" s="48"/>
      <c r="N88" s="52"/>
      <c r="O88" s="48" t="s">
        <v>59</v>
      </c>
      <c r="P88" s="47"/>
      <c r="Q88" s="47"/>
      <c r="R88" s="51"/>
      <c r="S88" s="51"/>
      <c r="T88" s="51" t="s">
        <v>133</v>
      </c>
      <c r="U88" s="51"/>
      <c r="W88" s="1"/>
      <c r="X88" s="6"/>
      <c r="Y88" s="6"/>
      <c r="Z88" s="6"/>
      <c r="AD88" s="6"/>
      <c r="AE88" s="6"/>
      <c r="AF88" s="6"/>
    </row>
    <row r="89" spans="1:32" ht="409.6" x14ac:dyDescent="0.3">
      <c r="A89" s="1" t="s">
        <v>220</v>
      </c>
      <c r="B89" s="7">
        <v>46059</v>
      </c>
      <c r="C89" s="1" t="s">
        <v>129</v>
      </c>
      <c r="D89" s="8" t="s">
        <v>129</v>
      </c>
      <c r="E89" s="8" t="s">
        <v>24</v>
      </c>
      <c r="F89" s="2" t="s">
        <v>219</v>
      </c>
      <c r="G89" s="2" t="s">
        <v>418</v>
      </c>
      <c r="H89" s="2" t="s">
        <v>419</v>
      </c>
      <c r="I89" s="7" t="s">
        <v>78</v>
      </c>
      <c r="J89" s="2" t="s">
        <v>600</v>
      </c>
      <c r="K89" s="1" t="s">
        <v>81</v>
      </c>
      <c r="L89" s="7">
        <v>46233</v>
      </c>
      <c r="M89" s="7"/>
      <c r="N89" s="19">
        <f>Table1[[#This Row],[Completion Date]]-Table1[[#This Row],[Date Logged]]</f>
        <v>-46059</v>
      </c>
      <c r="O89" s="1" t="s">
        <v>59</v>
      </c>
      <c r="P89" s="1"/>
      <c r="Q89" s="2"/>
      <c r="R89" s="2"/>
      <c r="S89" s="2"/>
      <c r="T89" s="2" t="s">
        <v>133</v>
      </c>
      <c r="U89" s="4"/>
      <c r="W89" s="1"/>
      <c r="X89" s="6"/>
      <c r="Y89" s="6"/>
      <c r="Z89" s="6"/>
      <c r="AD89" s="6"/>
      <c r="AE89" s="6"/>
      <c r="AF89" s="6"/>
    </row>
    <row r="90" spans="1:32" ht="165" x14ac:dyDescent="0.3">
      <c r="A90" s="1" t="s">
        <v>236</v>
      </c>
      <c r="B90" s="7">
        <v>46059</v>
      </c>
      <c r="C90" s="1" t="s">
        <v>23</v>
      </c>
      <c r="D90" s="8" t="s">
        <v>148</v>
      </c>
      <c r="E90" s="8" t="s">
        <v>24</v>
      </c>
      <c r="F90" s="2" t="s">
        <v>222</v>
      </c>
      <c r="G90" s="2" t="s">
        <v>237</v>
      </c>
      <c r="H90" s="2" t="s">
        <v>221</v>
      </c>
      <c r="I90" s="7" t="s">
        <v>78</v>
      </c>
      <c r="J90" s="2" t="s">
        <v>238</v>
      </c>
      <c r="K90" s="1" t="s">
        <v>148</v>
      </c>
      <c r="L90" s="7">
        <v>46066</v>
      </c>
      <c r="M90" s="7">
        <v>46065</v>
      </c>
      <c r="N90" s="19">
        <f>Table1[[#This Row],[Completion Date]]-Table1[[#This Row],[Date Logged]]</f>
        <v>6</v>
      </c>
      <c r="O90" s="1" t="s">
        <v>58</v>
      </c>
      <c r="P90" s="1" t="s">
        <v>161</v>
      </c>
      <c r="Q90" s="2" t="s">
        <v>131</v>
      </c>
      <c r="R90" s="2" t="s">
        <v>131</v>
      </c>
      <c r="S90" s="2" t="s">
        <v>131</v>
      </c>
      <c r="T90" s="2" t="s">
        <v>223</v>
      </c>
      <c r="U90" s="4" t="s">
        <v>910</v>
      </c>
      <c r="W90" s="1"/>
      <c r="X90" s="6"/>
      <c r="Y90" s="6"/>
      <c r="Z90" s="6"/>
      <c r="AD90" s="6"/>
      <c r="AE90" s="6"/>
      <c r="AF90" s="6"/>
    </row>
    <row r="91" spans="1:32" ht="165" x14ac:dyDescent="0.3">
      <c r="A91" s="1" t="s">
        <v>239</v>
      </c>
      <c r="B91" s="7">
        <v>46059</v>
      </c>
      <c r="C91" s="1" t="s">
        <v>23</v>
      </c>
      <c r="D91" s="8" t="s">
        <v>148</v>
      </c>
      <c r="E91" s="8" t="s">
        <v>24</v>
      </c>
      <c r="F91" s="24" t="s">
        <v>222</v>
      </c>
      <c r="G91" s="9" t="s">
        <v>237</v>
      </c>
      <c r="H91" s="2" t="s">
        <v>221</v>
      </c>
      <c r="I91" s="7" t="s">
        <v>78</v>
      </c>
      <c r="J91" s="9" t="s">
        <v>245</v>
      </c>
      <c r="K91" s="1" t="s">
        <v>42</v>
      </c>
      <c r="L91" s="7">
        <v>46070</v>
      </c>
      <c r="M91" s="25">
        <v>46065</v>
      </c>
      <c r="N91" s="19">
        <f>Table1[[#This Row],[Completion Date]]-Table1[[#This Row],[Date Logged]]</f>
        <v>6</v>
      </c>
      <c r="O91" s="1" t="s">
        <v>58</v>
      </c>
      <c r="P91" s="1" t="s">
        <v>161</v>
      </c>
      <c r="Q91" s="2" t="s">
        <v>131</v>
      </c>
      <c r="R91" s="2" t="s">
        <v>131</v>
      </c>
      <c r="S91" s="2" t="s">
        <v>131</v>
      </c>
      <c r="T91" s="2" t="s">
        <v>223</v>
      </c>
      <c r="U91" s="4" t="s">
        <v>910</v>
      </c>
      <c r="W91" s="1"/>
      <c r="X91" s="6"/>
      <c r="Y91" s="6"/>
      <c r="Z91" s="6"/>
      <c r="AD91" s="6"/>
      <c r="AE91" s="6"/>
      <c r="AF91" s="6"/>
    </row>
    <row r="92" spans="1:32" ht="165" x14ac:dyDescent="0.3">
      <c r="A92" s="1" t="s">
        <v>240</v>
      </c>
      <c r="B92" s="7">
        <v>46059</v>
      </c>
      <c r="C92" s="1" t="s">
        <v>23</v>
      </c>
      <c r="D92" s="8" t="s">
        <v>148</v>
      </c>
      <c r="E92" s="8" t="s">
        <v>24</v>
      </c>
      <c r="F92" s="24" t="s">
        <v>222</v>
      </c>
      <c r="G92" s="9" t="s">
        <v>237</v>
      </c>
      <c r="H92" s="2" t="s">
        <v>221</v>
      </c>
      <c r="I92" s="7" t="s">
        <v>78</v>
      </c>
      <c r="J92" s="9" t="s">
        <v>246</v>
      </c>
      <c r="K92" s="1" t="s">
        <v>148</v>
      </c>
      <c r="L92" s="26">
        <v>46070</v>
      </c>
      <c r="M92" s="25">
        <v>46065</v>
      </c>
      <c r="N92" s="19">
        <f>Table1[[#This Row],[Completion Date]]-Table1[[#This Row],[Date Logged]]</f>
        <v>6</v>
      </c>
      <c r="O92" s="1" t="s">
        <v>58</v>
      </c>
      <c r="P92" s="1" t="s">
        <v>161</v>
      </c>
      <c r="Q92" s="2" t="s">
        <v>131</v>
      </c>
      <c r="R92" s="2" t="s">
        <v>131</v>
      </c>
      <c r="S92" s="2" t="s">
        <v>131</v>
      </c>
      <c r="T92" s="2" t="s">
        <v>223</v>
      </c>
      <c r="U92" s="4" t="s">
        <v>910</v>
      </c>
      <c r="W92" s="1"/>
      <c r="X92" s="6"/>
      <c r="Y92" s="6"/>
      <c r="Z92" s="6"/>
      <c r="AD92" s="6"/>
      <c r="AE92" s="6"/>
      <c r="AF92" s="6"/>
    </row>
    <row r="93" spans="1:32" ht="165" x14ac:dyDescent="0.3">
      <c r="A93" s="1" t="s">
        <v>241</v>
      </c>
      <c r="B93" s="7">
        <v>46059</v>
      </c>
      <c r="C93" s="1" t="s">
        <v>23</v>
      </c>
      <c r="D93" s="8" t="s">
        <v>148</v>
      </c>
      <c r="E93" s="8" t="s">
        <v>24</v>
      </c>
      <c r="F93" s="24" t="s">
        <v>222</v>
      </c>
      <c r="G93" s="9" t="s">
        <v>237</v>
      </c>
      <c r="H93" s="2" t="s">
        <v>221</v>
      </c>
      <c r="I93" s="7" t="s">
        <v>78</v>
      </c>
      <c r="J93" s="9" t="s">
        <v>247</v>
      </c>
      <c r="K93" s="1" t="s">
        <v>148</v>
      </c>
      <c r="L93" s="26">
        <v>46150</v>
      </c>
      <c r="M93" s="25">
        <v>46147</v>
      </c>
      <c r="N93" s="19">
        <f>Table1[[#This Row],[Completion Date]]-Table1[[#This Row],[Date Logged]]</f>
        <v>88</v>
      </c>
      <c r="O93" s="1" t="s">
        <v>58</v>
      </c>
      <c r="P93" s="1" t="s">
        <v>161</v>
      </c>
      <c r="Q93" s="2" t="s">
        <v>131</v>
      </c>
      <c r="R93" s="2" t="s">
        <v>131</v>
      </c>
      <c r="S93" s="2" t="s">
        <v>131</v>
      </c>
      <c r="T93" s="2" t="s">
        <v>223</v>
      </c>
      <c r="U93" s="4" t="s">
        <v>910</v>
      </c>
      <c r="W93" s="1"/>
      <c r="X93" s="6"/>
      <c r="Y93" s="6"/>
      <c r="Z93" s="6"/>
      <c r="AD93" s="6"/>
      <c r="AE93" s="6"/>
      <c r="AF93" s="6"/>
    </row>
    <row r="94" spans="1:32" ht="165" x14ac:dyDescent="0.3">
      <c r="A94" s="1" t="s">
        <v>242</v>
      </c>
      <c r="B94" s="7">
        <v>46059</v>
      </c>
      <c r="C94" s="1" t="s">
        <v>23</v>
      </c>
      <c r="D94" s="8" t="s">
        <v>148</v>
      </c>
      <c r="E94" s="8" t="s">
        <v>24</v>
      </c>
      <c r="F94" s="24" t="s">
        <v>222</v>
      </c>
      <c r="G94" s="9" t="s">
        <v>237</v>
      </c>
      <c r="H94" s="2" t="s">
        <v>221</v>
      </c>
      <c r="I94" s="7" t="s">
        <v>78</v>
      </c>
      <c r="J94" s="9" t="s">
        <v>248</v>
      </c>
      <c r="K94" s="1" t="s">
        <v>148</v>
      </c>
      <c r="L94" s="27">
        <v>46154</v>
      </c>
      <c r="M94" s="25">
        <v>46147</v>
      </c>
      <c r="N94" s="19">
        <f>Table1[[#This Row],[Completion Date]]-Table1[[#This Row],[Date Logged]]</f>
        <v>88</v>
      </c>
      <c r="O94" s="1" t="s">
        <v>58</v>
      </c>
      <c r="P94" s="1" t="s">
        <v>161</v>
      </c>
      <c r="Q94" s="2" t="s">
        <v>131</v>
      </c>
      <c r="R94" s="2" t="s">
        <v>131</v>
      </c>
      <c r="S94" s="2" t="s">
        <v>131</v>
      </c>
      <c r="T94" s="2" t="s">
        <v>223</v>
      </c>
      <c r="U94" s="4" t="s">
        <v>910</v>
      </c>
      <c r="W94" s="1"/>
      <c r="X94" s="6"/>
      <c r="Y94" s="6"/>
      <c r="Z94" s="6"/>
      <c r="AD94" s="6"/>
      <c r="AE94" s="6"/>
      <c r="AF94" s="6"/>
    </row>
    <row r="95" spans="1:32" ht="165" x14ac:dyDescent="0.3">
      <c r="A95" s="1" t="s">
        <v>243</v>
      </c>
      <c r="B95" s="7">
        <v>46059</v>
      </c>
      <c r="C95" s="1" t="s">
        <v>23</v>
      </c>
      <c r="D95" s="8" t="s">
        <v>148</v>
      </c>
      <c r="E95" s="8" t="s">
        <v>24</v>
      </c>
      <c r="F95" s="24" t="s">
        <v>222</v>
      </c>
      <c r="G95" s="9" t="s">
        <v>237</v>
      </c>
      <c r="H95" s="2" t="s">
        <v>221</v>
      </c>
      <c r="I95" s="7" t="s">
        <v>78</v>
      </c>
      <c r="J95" s="9" t="s">
        <v>249</v>
      </c>
      <c r="K95" s="1" t="s">
        <v>42</v>
      </c>
      <c r="L95" s="26">
        <v>46154</v>
      </c>
      <c r="M95" s="25">
        <v>46148</v>
      </c>
      <c r="N95" s="19">
        <f>Table1[[#This Row],[Completion Date]]-Table1[[#This Row],[Date Logged]]</f>
        <v>89</v>
      </c>
      <c r="O95" s="1" t="s">
        <v>58</v>
      </c>
      <c r="P95" s="1" t="s">
        <v>161</v>
      </c>
      <c r="Q95" s="2" t="s">
        <v>131</v>
      </c>
      <c r="R95" s="2" t="s">
        <v>131</v>
      </c>
      <c r="S95" s="2" t="s">
        <v>131</v>
      </c>
      <c r="T95" s="2" t="s">
        <v>223</v>
      </c>
      <c r="U95" s="2" t="s">
        <v>910</v>
      </c>
      <c r="W95" s="1"/>
      <c r="X95" s="6"/>
      <c r="Y95" s="6"/>
      <c r="Z95" s="6"/>
      <c r="AD95" s="6"/>
      <c r="AE95" s="6"/>
      <c r="AF95" s="6"/>
    </row>
    <row r="96" spans="1:32" ht="165" x14ac:dyDescent="0.3">
      <c r="A96" s="1" t="s">
        <v>244</v>
      </c>
      <c r="B96" s="7">
        <v>46059</v>
      </c>
      <c r="C96" s="1" t="s">
        <v>23</v>
      </c>
      <c r="D96" s="8" t="s">
        <v>148</v>
      </c>
      <c r="E96" s="8" t="s">
        <v>24</v>
      </c>
      <c r="F96" s="24" t="s">
        <v>222</v>
      </c>
      <c r="G96" s="9" t="s">
        <v>237</v>
      </c>
      <c r="H96" s="2" t="s">
        <v>221</v>
      </c>
      <c r="I96" s="7" t="s">
        <v>78</v>
      </c>
      <c r="J96" s="9" t="s">
        <v>246</v>
      </c>
      <c r="K96" s="1" t="s">
        <v>148</v>
      </c>
      <c r="L96" s="26">
        <v>46154</v>
      </c>
      <c r="M96" s="25">
        <v>46148</v>
      </c>
      <c r="N96" s="19">
        <f>Table1[[#This Row],[Completion Date]]-Table1[[#This Row],[Date Logged]]</f>
        <v>89</v>
      </c>
      <c r="O96" s="1" t="s">
        <v>58</v>
      </c>
      <c r="P96" s="1" t="s">
        <v>161</v>
      </c>
      <c r="Q96" s="2" t="s">
        <v>131</v>
      </c>
      <c r="R96" s="2" t="s">
        <v>131</v>
      </c>
      <c r="S96" s="2" t="s">
        <v>131</v>
      </c>
      <c r="T96" s="2" t="s">
        <v>223</v>
      </c>
      <c r="U96" s="2" t="s">
        <v>910</v>
      </c>
      <c r="W96" s="1"/>
      <c r="X96" s="6"/>
      <c r="Y96" s="6"/>
      <c r="Z96" s="6"/>
      <c r="AD96" s="6"/>
      <c r="AE96" s="6"/>
      <c r="AF96" s="6"/>
    </row>
    <row r="97" spans="1:32" ht="75" x14ac:dyDescent="0.3">
      <c r="A97" s="1" t="s">
        <v>227</v>
      </c>
      <c r="B97" s="7">
        <v>46063</v>
      </c>
      <c r="C97" s="1" t="s">
        <v>23</v>
      </c>
      <c r="D97" s="8" t="s">
        <v>23</v>
      </c>
      <c r="E97" s="8" t="s">
        <v>24</v>
      </c>
      <c r="F97" s="2" t="s">
        <v>225</v>
      </c>
      <c r="G97" s="2" t="s">
        <v>226</v>
      </c>
      <c r="H97" s="2" t="s">
        <v>224</v>
      </c>
      <c r="I97" s="7" t="s">
        <v>38</v>
      </c>
      <c r="J97" s="2" t="s">
        <v>233</v>
      </c>
      <c r="K97" s="1" t="s">
        <v>23</v>
      </c>
      <c r="L97" s="7">
        <v>46063</v>
      </c>
      <c r="M97" s="7">
        <v>46063</v>
      </c>
      <c r="N97" s="19">
        <f>Table1[[#This Row],[Completion Date]]-Table1[[#This Row],[Date Logged]]</f>
        <v>0</v>
      </c>
      <c r="O97" s="1" t="s">
        <v>58</v>
      </c>
      <c r="P97" s="1" t="s">
        <v>161</v>
      </c>
      <c r="Q97" s="2" t="s">
        <v>130</v>
      </c>
      <c r="R97" s="2" t="s">
        <v>131</v>
      </c>
      <c r="S97" s="2" t="s">
        <v>131</v>
      </c>
      <c r="T97" s="2" t="s">
        <v>132</v>
      </c>
      <c r="W97" s="1"/>
      <c r="X97" s="6"/>
      <c r="Y97" s="6"/>
      <c r="Z97" s="6"/>
      <c r="AD97" s="6"/>
      <c r="AE97" s="6"/>
      <c r="AF97" s="6"/>
    </row>
    <row r="98" spans="1:32" ht="75" x14ac:dyDescent="0.3">
      <c r="A98" s="1" t="s">
        <v>228</v>
      </c>
      <c r="B98" s="7">
        <v>46063</v>
      </c>
      <c r="C98" s="1" t="s">
        <v>23</v>
      </c>
      <c r="D98" s="8" t="s">
        <v>23</v>
      </c>
      <c r="E98" s="8" t="s">
        <v>24</v>
      </c>
      <c r="F98" s="2" t="s">
        <v>225</v>
      </c>
      <c r="G98" s="2" t="s">
        <v>226</v>
      </c>
      <c r="H98" s="2" t="s">
        <v>224</v>
      </c>
      <c r="I98" s="7" t="s">
        <v>38</v>
      </c>
      <c r="J98" s="2" t="s">
        <v>32</v>
      </c>
      <c r="K98" s="1" t="s">
        <v>41</v>
      </c>
      <c r="L98" s="7">
        <v>45726</v>
      </c>
      <c r="M98" s="7">
        <v>46063</v>
      </c>
      <c r="N98" s="19">
        <f>Table1[[#This Row],[Completion Date]]-Table1[[#This Row],[Date Logged]]</f>
        <v>0</v>
      </c>
      <c r="O98" s="1" t="s">
        <v>58</v>
      </c>
      <c r="P98" s="1" t="s">
        <v>161</v>
      </c>
      <c r="Q98" s="2" t="s">
        <v>130</v>
      </c>
      <c r="R98" s="2" t="s">
        <v>131</v>
      </c>
      <c r="S98" s="2" t="s">
        <v>131</v>
      </c>
      <c r="T98" s="2" t="s">
        <v>132</v>
      </c>
      <c r="W98" s="1"/>
      <c r="X98" s="6"/>
      <c r="Y98" s="6"/>
      <c r="Z98" s="6"/>
      <c r="AD98" s="6"/>
      <c r="AE98" s="6"/>
      <c r="AF98" s="6"/>
    </row>
    <row r="99" spans="1:32" ht="75" x14ac:dyDescent="0.3">
      <c r="A99" s="1" t="s">
        <v>229</v>
      </c>
      <c r="B99" s="7">
        <v>46063</v>
      </c>
      <c r="C99" s="1" t="s">
        <v>23</v>
      </c>
      <c r="D99" s="8" t="s">
        <v>23</v>
      </c>
      <c r="E99" s="8" t="s">
        <v>24</v>
      </c>
      <c r="F99" s="2" t="s">
        <v>225</v>
      </c>
      <c r="G99" s="2" t="s">
        <v>226</v>
      </c>
      <c r="H99" s="2" t="s">
        <v>224</v>
      </c>
      <c r="I99" s="7" t="s">
        <v>38</v>
      </c>
      <c r="J99" s="2" t="s">
        <v>158</v>
      </c>
      <c r="K99" s="1" t="s">
        <v>23</v>
      </c>
      <c r="L99" s="7">
        <v>45726</v>
      </c>
      <c r="M99" s="7">
        <v>46063</v>
      </c>
      <c r="N99" s="19">
        <f>Table1[[#This Row],[Completion Date]]-Table1[[#This Row],[Date Logged]]</f>
        <v>0</v>
      </c>
      <c r="O99" s="1" t="s">
        <v>58</v>
      </c>
      <c r="P99" s="1" t="s">
        <v>161</v>
      </c>
      <c r="Q99" s="2" t="s">
        <v>130</v>
      </c>
      <c r="R99" s="2" t="s">
        <v>131</v>
      </c>
      <c r="S99" s="2" t="s">
        <v>131</v>
      </c>
      <c r="T99" s="2" t="s">
        <v>132</v>
      </c>
      <c r="W99" s="1"/>
      <c r="X99" s="6"/>
      <c r="Y99" s="6"/>
      <c r="Z99" s="6"/>
      <c r="AD99" s="6"/>
      <c r="AE99" s="6"/>
      <c r="AF99" s="6"/>
    </row>
    <row r="100" spans="1:32" ht="75" x14ac:dyDescent="0.3">
      <c r="A100" s="1" t="s">
        <v>230</v>
      </c>
      <c r="B100" s="7">
        <v>46063</v>
      </c>
      <c r="C100" s="1" t="s">
        <v>23</v>
      </c>
      <c r="D100" s="8" t="s">
        <v>23</v>
      </c>
      <c r="E100" s="8" t="s">
        <v>24</v>
      </c>
      <c r="F100" s="2" t="s">
        <v>225</v>
      </c>
      <c r="G100" s="2" t="s">
        <v>226</v>
      </c>
      <c r="H100" s="2" t="s">
        <v>224</v>
      </c>
      <c r="I100" s="7" t="s">
        <v>38</v>
      </c>
      <c r="J100" s="2" t="s">
        <v>34</v>
      </c>
      <c r="K100" s="1" t="s">
        <v>42</v>
      </c>
      <c r="L100" s="7">
        <v>45726</v>
      </c>
      <c r="M100" s="7">
        <v>46064</v>
      </c>
      <c r="N100" s="19">
        <f>Table1[[#This Row],[Completion Date]]-Table1[[#This Row],[Date Logged]]</f>
        <v>1</v>
      </c>
      <c r="O100" s="1" t="s">
        <v>58</v>
      </c>
      <c r="P100" s="1" t="s">
        <v>161</v>
      </c>
      <c r="Q100" s="2" t="s">
        <v>130</v>
      </c>
      <c r="R100" s="2" t="s">
        <v>131</v>
      </c>
      <c r="S100" s="2" t="s">
        <v>131</v>
      </c>
      <c r="T100" s="2" t="s">
        <v>132</v>
      </c>
      <c r="U100" s="1"/>
      <c r="W100" s="1"/>
      <c r="X100" s="6"/>
      <c r="Y100" s="6"/>
      <c r="Z100" s="6"/>
      <c r="AD100" s="6"/>
      <c r="AE100" s="6"/>
      <c r="AF100" s="6"/>
    </row>
    <row r="101" spans="1:32" ht="93.6" x14ac:dyDescent="0.3">
      <c r="A101" s="1" t="s">
        <v>231</v>
      </c>
      <c r="B101" s="7">
        <v>46063</v>
      </c>
      <c r="C101" s="1" t="s">
        <v>23</v>
      </c>
      <c r="D101" s="8" t="s">
        <v>23</v>
      </c>
      <c r="E101" s="8" t="s">
        <v>24</v>
      </c>
      <c r="F101" s="24" t="s">
        <v>225</v>
      </c>
      <c r="G101" s="2" t="s">
        <v>226</v>
      </c>
      <c r="H101" s="2" t="s">
        <v>224</v>
      </c>
      <c r="I101" s="7" t="s">
        <v>38</v>
      </c>
      <c r="J101" s="9" t="s">
        <v>35</v>
      </c>
      <c r="K101" s="1" t="s">
        <v>23</v>
      </c>
      <c r="L101" s="9">
        <v>45726</v>
      </c>
      <c r="M101" s="7">
        <v>46063</v>
      </c>
      <c r="N101" s="19">
        <f>Table1[[#This Row],[Completion Date]]-Table1[[#This Row],[Date Logged]]</f>
        <v>0</v>
      </c>
      <c r="O101" s="1" t="s">
        <v>58</v>
      </c>
      <c r="P101" s="1" t="s">
        <v>161</v>
      </c>
      <c r="Q101" s="2" t="s">
        <v>130</v>
      </c>
      <c r="R101" s="2" t="s">
        <v>131</v>
      </c>
      <c r="S101" s="2" t="s">
        <v>131</v>
      </c>
      <c r="T101" s="2" t="s">
        <v>132</v>
      </c>
      <c r="U101" s="1"/>
      <c r="W101" s="1"/>
      <c r="X101" s="6"/>
      <c r="Y101" s="6"/>
      <c r="Z101" s="6"/>
      <c r="AD101" s="6"/>
      <c r="AE101" s="6"/>
      <c r="AF101" s="6"/>
    </row>
    <row r="102" spans="1:32" ht="93.6" x14ac:dyDescent="0.3">
      <c r="A102" s="1" t="s">
        <v>232</v>
      </c>
      <c r="B102" s="7">
        <v>46063</v>
      </c>
      <c r="C102" s="1" t="s">
        <v>23</v>
      </c>
      <c r="D102" s="8" t="s">
        <v>23</v>
      </c>
      <c r="E102" s="8" t="s">
        <v>24</v>
      </c>
      <c r="F102" s="24" t="s">
        <v>225</v>
      </c>
      <c r="G102" s="2" t="s">
        <v>226</v>
      </c>
      <c r="H102" s="2" t="s">
        <v>224</v>
      </c>
      <c r="I102" s="7" t="s">
        <v>38</v>
      </c>
      <c r="J102" s="9" t="s">
        <v>250</v>
      </c>
      <c r="K102" s="1" t="s">
        <v>23</v>
      </c>
      <c r="L102" s="9">
        <v>45726</v>
      </c>
      <c r="M102" s="7">
        <v>46064</v>
      </c>
      <c r="N102" s="19">
        <f>Table1[[#This Row],[Completion Date]]-Table1[[#This Row],[Date Logged]]</f>
        <v>1</v>
      </c>
      <c r="O102" s="1" t="s">
        <v>58</v>
      </c>
      <c r="P102" s="1" t="s">
        <v>161</v>
      </c>
      <c r="Q102" s="2" t="s">
        <v>130</v>
      </c>
      <c r="R102" s="2" t="s">
        <v>131</v>
      </c>
      <c r="S102" s="2" t="s">
        <v>131</v>
      </c>
      <c r="T102" s="2" t="s">
        <v>132</v>
      </c>
      <c r="U102" s="1"/>
      <c r="W102" s="1"/>
      <c r="X102" s="6"/>
      <c r="Y102" s="6"/>
      <c r="Z102" s="6"/>
      <c r="AD102" s="6"/>
      <c r="AE102" s="6"/>
      <c r="AF102" s="6"/>
    </row>
    <row r="103" spans="1:32" ht="93.6" x14ac:dyDescent="0.3">
      <c r="A103" s="1" t="s">
        <v>234</v>
      </c>
      <c r="B103" s="7">
        <v>46063</v>
      </c>
      <c r="C103" s="1" t="s">
        <v>23</v>
      </c>
      <c r="D103" s="8" t="s">
        <v>23</v>
      </c>
      <c r="E103" s="8" t="s">
        <v>24</v>
      </c>
      <c r="F103" s="24" t="s">
        <v>225</v>
      </c>
      <c r="G103" s="2" t="s">
        <v>226</v>
      </c>
      <c r="H103" s="2" t="s">
        <v>224</v>
      </c>
      <c r="I103" s="7" t="s">
        <v>38</v>
      </c>
      <c r="J103" s="9" t="s">
        <v>235</v>
      </c>
      <c r="K103" s="1" t="s">
        <v>23</v>
      </c>
      <c r="L103" s="9">
        <v>45726</v>
      </c>
      <c r="M103" s="7">
        <v>46064</v>
      </c>
      <c r="N103" s="19">
        <f>Table1[[#This Row],[Completion Date]]-Table1[[#This Row],[Date Logged]]</f>
        <v>1</v>
      </c>
      <c r="O103" s="1" t="s">
        <v>58</v>
      </c>
      <c r="P103" s="1" t="s">
        <v>161</v>
      </c>
      <c r="Q103" s="2" t="s">
        <v>130</v>
      </c>
      <c r="R103" s="2" t="s">
        <v>131</v>
      </c>
      <c r="S103" s="2" t="s">
        <v>131</v>
      </c>
      <c r="T103" s="2" t="s">
        <v>132</v>
      </c>
      <c r="W103" s="1"/>
      <c r="X103" s="6"/>
      <c r="Y103" s="6"/>
      <c r="Z103" s="6"/>
      <c r="AD103" s="6"/>
      <c r="AE103" s="6"/>
      <c r="AF103" s="6"/>
    </row>
    <row r="104" spans="1:32" ht="78" x14ac:dyDescent="0.3">
      <c r="A104" s="1" t="s">
        <v>251</v>
      </c>
      <c r="B104" s="7">
        <v>46065</v>
      </c>
      <c r="C104" s="1" t="s">
        <v>23</v>
      </c>
      <c r="D104" s="8" t="s">
        <v>23</v>
      </c>
      <c r="E104" s="8" t="s">
        <v>24</v>
      </c>
      <c r="F104" s="24" t="s">
        <v>258</v>
      </c>
      <c r="G104" s="9" t="s">
        <v>259</v>
      </c>
      <c r="H104" s="2" t="s">
        <v>260</v>
      </c>
      <c r="I104" s="7" t="s">
        <v>38</v>
      </c>
      <c r="J104" s="9" t="s">
        <v>262</v>
      </c>
      <c r="K104" s="1" t="s">
        <v>23</v>
      </c>
      <c r="L104" s="26">
        <v>46065</v>
      </c>
      <c r="M104" s="25">
        <v>46065</v>
      </c>
      <c r="N104" s="19">
        <f>Table1[[#This Row],[Completion Date]]-Table1[[#This Row],[Date Logged]]</f>
        <v>0</v>
      </c>
      <c r="O104" s="1" t="s">
        <v>58</v>
      </c>
      <c r="P104" s="1" t="s">
        <v>161</v>
      </c>
      <c r="Q104" s="2" t="s">
        <v>130</v>
      </c>
      <c r="R104" s="2" t="s">
        <v>131</v>
      </c>
      <c r="S104" s="2" t="s">
        <v>131</v>
      </c>
      <c r="T104" s="2" t="s">
        <v>132</v>
      </c>
      <c r="W104" s="1"/>
      <c r="X104" s="6"/>
      <c r="Y104" s="6"/>
      <c r="Z104" s="6"/>
      <c r="AD104" s="6"/>
      <c r="AE104" s="6"/>
      <c r="AF104" s="6"/>
    </row>
    <row r="105" spans="1:32" ht="78" x14ac:dyDescent="0.3">
      <c r="A105" s="1" t="s">
        <v>252</v>
      </c>
      <c r="B105" s="7">
        <v>46065</v>
      </c>
      <c r="C105" s="1" t="s">
        <v>23</v>
      </c>
      <c r="D105" s="8" t="s">
        <v>23</v>
      </c>
      <c r="E105" s="8" t="s">
        <v>24</v>
      </c>
      <c r="F105" s="24" t="s">
        <v>258</v>
      </c>
      <c r="G105" s="9" t="s">
        <v>226</v>
      </c>
      <c r="H105" s="2" t="s">
        <v>260</v>
      </c>
      <c r="I105" s="7" t="s">
        <v>38</v>
      </c>
      <c r="J105" s="9" t="s">
        <v>261</v>
      </c>
      <c r="K105" s="1" t="s">
        <v>41</v>
      </c>
      <c r="L105" s="26">
        <v>46093</v>
      </c>
      <c r="M105" s="25">
        <v>46065</v>
      </c>
      <c r="N105" s="19">
        <f>Table1[[#This Row],[Completion Date]]-Table1[[#This Row],[Date Logged]]</f>
        <v>0</v>
      </c>
      <c r="O105" s="1" t="s">
        <v>58</v>
      </c>
      <c r="P105" s="1" t="s">
        <v>161</v>
      </c>
      <c r="Q105" s="2" t="s">
        <v>130</v>
      </c>
      <c r="R105" s="2" t="s">
        <v>131</v>
      </c>
      <c r="S105" s="2" t="s">
        <v>131</v>
      </c>
      <c r="T105" s="2" t="s">
        <v>132</v>
      </c>
      <c r="W105" s="1"/>
      <c r="X105" s="6"/>
      <c r="Y105" s="6"/>
      <c r="Z105" s="6"/>
      <c r="AD105" s="6"/>
      <c r="AE105" s="6"/>
      <c r="AF105" s="6"/>
    </row>
    <row r="106" spans="1:32" ht="78" x14ac:dyDescent="0.3">
      <c r="A106" s="1" t="s">
        <v>253</v>
      </c>
      <c r="B106" s="7">
        <v>46065</v>
      </c>
      <c r="C106" s="1" t="s">
        <v>23</v>
      </c>
      <c r="D106" s="8" t="s">
        <v>23</v>
      </c>
      <c r="E106" s="8" t="s">
        <v>24</v>
      </c>
      <c r="F106" s="24" t="s">
        <v>258</v>
      </c>
      <c r="G106" s="9" t="s">
        <v>226</v>
      </c>
      <c r="H106" s="2" t="s">
        <v>260</v>
      </c>
      <c r="I106" s="7" t="s">
        <v>38</v>
      </c>
      <c r="J106" s="9" t="s">
        <v>158</v>
      </c>
      <c r="K106" s="1" t="s">
        <v>23</v>
      </c>
      <c r="L106" s="26">
        <v>46093</v>
      </c>
      <c r="M106" s="25">
        <v>46065</v>
      </c>
      <c r="N106" s="19">
        <f>Table1[[#This Row],[Completion Date]]-Table1[[#This Row],[Date Logged]]</f>
        <v>0</v>
      </c>
      <c r="O106" s="1" t="s">
        <v>58</v>
      </c>
      <c r="P106" s="1" t="s">
        <v>161</v>
      </c>
      <c r="Q106" s="2" t="s">
        <v>130</v>
      </c>
      <c r="R106" s="2" t="s">
        <v>131</v>
      </c>
      <c r="S106" s="2" t="s">
        <v>131</v>
      </c>
      <c r="T106" s="2" t="s">
        <v>132</v>
      </c>
      <c r="W106" s="1"/>
      <c r="X106" s="6"/>
      <c r="Y106" s="6"/>
      <c r="Z106" s="6"/>
      <c r="AD106" s="6"/>
      <c r="AE106" s="6"/>
      <c r="AF106" s="6"/>
    </row>
    <row r="107" spans="1:32" ht="78" x14ac:dyDescent="0.3">
      <c r="A107" s="1" t="s">
        <v>254</v>
      </c>
      <c r="B107" s="7">
        <v>46065</v>
      </c>
      <c r="C107" s="1" t="s">
        <v>23</v>
      </c>
      <c r="D107" s="8" t="s">
        <v>23</v>
      </c>
      <c r="E107" s="8" t="s">
        <v>24</v>
      </c>
      <c r="F107" s="24" t="s">
        <v>258</v>
      </c>
      <c r="G107" s="9" t="s">
        <v>226</v>
      </c>
      <c r="H107" s="2" t="s">
        <v>260</v>
      </c>
      <c r="I107" s="7" t="s">
        <v>38</v>
      </c>
      <c r="J107" s="9" t="s">
        <v>34</v>
      </c>
      <c r="K107" s="1" t="s">
        <v>42</v>
      </c>
      <c r="L107" s="26">
        <v>46093</v>
      </c>
      <c r="M107" s="25">
        <v>46066</v>
      </c>
      <c r="N107" s="19">
        <f>Table1[[#This Row],[Completion Date]]-Table1[[#This Row],[Date Logged]]</f>
        <v>1</v>
      </c>
      <c r="O107" s="1" t="s">
        <v>58</v>
      </c>
      <c r="P107" s="1" t="s">
        <v>161</v>
      </c>
      <c r="Q107" s="2" t="s">
        <v>130</v>
      </c>
      <c r="R107" s="2" t="s">
        <v>131</v>
      </c>
      <c r="S107" s="2" t="s">
        <v>131</v>
      </c>
      <c r="T107" s="2" t="s">
        <v>132</v>
      </c>
      <c r="U107" s="4"/>
      <c r="W107" s="1"/>
      <c r="X107" s="6"/>
      <c r="Y107" s="6"/>
      <c r="Z107" s="6"/>
      <c r="AD107" s="6"/>
      <c r="AE107" s="6"/>
      <c r="AF107" s="6"/>
    </row>
    <row r="108" spans="1:32" ht="75" x14ac:dyDescent="0.3">
      <c r="A108" s="1" t="s">
        <v>255</v>
      </c>
      <c r="B108" s="7">
        <v>46065</v>
      </c>
      <c r="C108" s="1" t="s">
        <v>23</v>
      </c>
      <c r="D108" s="8" t="s">
        <v>23</v>
      </c>
      <c r="E108" s="8" t="s">
        <v>24</v>
      </c>
      <c r="F108" s="2" t="s">
        <v>258</v>
      </c>
      <c r="G108" s="2" t="s">
        <v>226</v>
      </c>
      <c r="H108" s="2" t="s">
        <v>260</v>
      </c>
      <c r="I108" s="7" t="s">
        <v>38</v>
      </c>
      <c r="J108" s="2" t="s">
        <v>35</v>
      </c>
      <c r="K108" s="1" t="s">
        <v>23</v>
      </c>
      <c r="L108" s="26">
        <v>46093</v>
      </c>
      <c r="M108" s="7">
        <v>46065</v>
      </c>
      <c r="N108" s="19">
        <f>Table1[[#This Row],[Completion Date]]-Table1[[#This Row],[Date Logged]]</f>
        <v>0</v>
      </c>
      <c r="O108" s="1" t="s">
        <v>58</v>
      </c>
      <c r="P108" s="1" t="s">
        <v>161</v>
      </c>
      <c r="Q108" s="2" t="s">
        <v>130</v>
      </c>
      <c r="R108" s="2" t="s">
        <v>131</v>
      </c>
      <c r="S108" s="2" t="s">
        <v>131</v>
      </c>
      <c r="T108" s="2" t="s">
        <v>132</v>
      </c>
      <c r="U108" s="4"/>
      <c r="W108" s="1"/>
      <c r="X108" s="6"/>
      <c r="Y108" s="6"/>
      <c r="Z108" s="6"/>
      <c r="AD108" s="6"/>
      <c r="AE108" s="6"/>
      <c r="AF108" s="6"/>
    </row>
    <row r="109" spans="1:32" ht="75" x14ac:dyDescent="0.3">
      <c r="A109" s="1" t="s">
        <v>256</v>
      </c>
      <c r="B109" s="7">
        <v>46065</v>
      </c>
      <c r="C109" s="1" t="s">
        <v>23</v>
      </c>
      <c r="D109" s="8" t="s">
        <v>23</v>
      </c>
      <c r="E109" s="8" t="s">
        <v>24</v>
      </c>
      <c r="F109" s="2" t="s">
        <v>258</v>
      </c>
      <c r="G109" s="2" t="s">
        <v>226</v>
      </c>
      <c r="H109" s="2" t="s">
        <v>260</v>
      </c>
      <c r="I109" s="7" t="s">
        <v>38</v>
      </c>
      <c r="J109" s="2" t="s">
        <v>250</v>
      </c>
      <c r="K109" s="1" t="s">
        <v>23</v>
      </c>
      <c r="L109" s="26">
        <v>46093</v>
      </c>
      <c r="M109" s="7">
        <v>46070</v>
      </c>
      <c r="N109" s="19">
        <f>Table1[[#This Row],[Completion Date]]-Table1[[#This Row],[Date Logged]]</f>
        <v>5</v>
      </c>
      <c r="O109" s="2" t="s">
        <v>58</v>
      </c>
      <c r="P109" s="1" t="s">
        <v>161</v>
      </c>
      <c r="Q109" s="1" t="s">
        <v>130</v>
      </c>
      <c r="R109" s="2" t="s">
        <v>131</v>
      </c>
      <c r="S109" s="2" t="s">
        <v>131</v>
      </c>
      <c r="T109" s="2" t="s">
        <v>132</v>
      </c>
      <c r="U109" s="1"/>
      <c r="W109" s="1"/>
      <c r="X109" s="6"/>
      <c r="Y109" s="6"/>
      <c r="Z109" s="6"/>
      <c r="AD109" s="6"/>
      <c r="AE109" s="6"/>
      <c r="AF109" s="6"/>
    </row>
    <row r="110" spans="1:32" ht="75" x14ac:dyDescent="0.3">
      <c r="A110" s="1" t="s">
        <v>257</v>
      </c>
      <c r="B110" s="7">
        <v>46065</v>
      </c>
      <c r="C110" s="1" t="s">
        <v>23</v>
      </c>
      <c r="D110" s="8" t="s">
        <v>23</v>
      </c>
      <c r="E110" s="8" t="s">
        <v>24</v>
      </c>
      <c r="F110" s="2" t="s">
        <v>258</v>
      </c>
      <c r="G110" s="2" t="s">
        <v>226</v>
      </c>
      <c r="H110" s="2" t="s">
        <v>260</v>
      </c>
      <c r="I110" s="7" t="s">
        <v>38</v>
      </c>
      <c r="J110" s="2" t="s">
        <v>235</v>
      </c>
      <c r="K110" s="2" t="s">
        <v>23</v>
      </c>
      <c r="L110" s="26">
        <v>46093</v>
      </c>
      <c r="M110" s="7">
        <v>46070</v>
      </c>
      <c r="N110" s="19">
        <f>Table1[[#This Row],[Completion Date]]-Table1[[#This Row],[Date Logged]]</f>
        <v>5</v>
      </c>
      <c r="O110" s="1" t="s">
        <v>58</v>
      </c>
      <c r="P110" s="1" t="s">
        <v>161</v>
      </c>
      <c r="Q110" s="1" t="s">
        <v>130</v>
      </c>
      <c r="R110" s="2" t="s">
        <v>131</v>
      </c>
      <c r="S110" s="2" t="s">
        <v>131</v>
      </c>
      <c r="T110" s="2" t="s">
        <v>132</v>
      </c>
      <c r="U110" s="1"/>
      <c r="W110" s="1"/>
      <c r="X110" s="6"/>
      <c r="Y110" s="6"/>
      <c r="Z110" s="6"/>
      <c r="AD110" s="6"/>
      <c r="AE110" s="6"/>
      <c r="AF110" s="6"/>
    </row>
    <row r="111" spans="1:32" ht="75" x14ac:dyDescent="0.3">
      <c r="A111" s="1" t="s">
        <v>263</v>
      </c>
      <c r="B111" s="7">
        <v>46071</v>
      </c>
      <c r="C111" s="1" t="s">
        <v>135</v>
      </c>
      <c r="D111" s="8" t="s">
        <v>135</v>
      </c>
      <c r="E111" s="8" t="s">
        <v>24</v>
      </c>
      <c r="F111" s="2" t="s">
        <v>264</v>
      </c>
      <c r="G111" s="2" t="s">
        <v>265</v>
      </c>
      <c r="H111" s="2" t="s">
        <v>266</v>
      </c>
      <c r="I111" s="7" t="s">
        <v>38</v>
      </c>
      <c r="J111" s="2" t="s">
        <v>267</v>
      </c>
      <c r="K111" s="1" t="s">
        <v>135</v>
      </c>
      <c r="L111" s="7">
        <v>46071</v>
      </c>
      <c r="M111" s="7">
        <v>46071</v>
      </c>
      <c r="N111" s="19">
        <f>Table1[[#This Row],[Completion Date]]-Table1[[#This Row],[Date Logged]]</f>
        <v>0</v>
      </c>
      <c r="O111" s="1" t="s">
        <v>58</v>
      </c>
      <c r="P111" s="1" t="s">
        <v>161</v>
      </c>
      <c r="Q111" s="1" t="s">
        <v>130</v>
      </c>
      <c r="R111" s="2" t="s">
        <v>131</v>
      </c>
      <c r="S111" s="2" t="s">
        <v>131</v>
      </c>
      <c r="T111" s="2" t="s">
        <v>132</v>
      </c>
      <c r="U111" s="1"/>
      <c r="W111" s="1"/>
      <c r="X111" s="6"/>
      <c r="Y111" s="6"/>
      <c r="Z111" s="6"/>
      <c r="AD111" s="6"/>
      <c r="AE111" s="6"/>
      <c r="AF111" s="6"/>
    </row>
    <row r="112" spans="1:32" ht="75" x14ac:dyDescent="0.3">
      <c r="A112" s="1" t="s">
        <v>268</v>
      </c>
      <c r="B112" s="7">
        <v>46071</v>
      </c>
      <c r="C112" s="1" t="s">
        <v>135</v>
      </c>
      <c r="D112" s="8" t="s">
        <v>135</v>
      </c>
      <c r="E112" s="8" t="s">
        <v>24</v>
      </c>
      <c r="F112" s="2" t="s">
        <v>264</v>
      </c>
      <c r="G112" s="2" t="s">
        <v>265</v>
      </c>
      <c r="H112" s="2" t="s">
        <v>266</v>
      </c>
      <c r="I112" s="7" t="s">
        <v>38</v>
      </c>
      <c r="J112" s="2" t="s">
        <v>261</v>
      </c>
      <c r="K112" s="1" t="s">
        <v>41</v>
      </c>
      <c r="L112" s="7">
        <v>46099</v>
      </c>
      <c r="M112" s="7">
        <v>46071</v>
      </c>
      <c r="N112" s="19">
        <f>Table1[[#This Row],[Completion Date]]-Table1[[#This Row],[Date Logged]]</f>
        <v>0</v>
      </c>
      <c r="O112" s="1" t="s">
        <v>58</v>
      </c>
      <c r="P112" s="1" t="s">
        <v>161</v>
      </c>
      <c r="Q112" s="1" t="s">
        <v>130</v>
      </c>
      <c r="R112" s="2" t="s">
        <v>131</v>
      </c>
      <c r="S112" s="2" t="s">
        <v>131</v>
      </c>
      <c r="T112" s="2" t="s">
        <v>132</v>
      </c>
      <c r="U112" s="1"/>
      <c r="W112" s="1"/>
      <c r="X112" s="6"/>
      <c r="Y112" s="6"/>
      <c r="Z112" s="6"/>
      <c r="AD112" s="6"/>
      <c r="AE112" s="6"/>
      <c r="AF112" s="6"/>
    </row>
    <row r="113" spans="1:32" ht="75" x14ac:dyDescent="0.3">
      <c r="A113" s="1" t="s">
        <v>269</v>
      </c>
      <c r="B113" s="7">
        <v>46071</v>
      </c>
      <c r="C113" s="1" t="s">
        <v>135</v>
      </c>
      <c r="D113" s="8" t="s">
        <v>135</v>
      </c>
      <c r="E113" s="8" t="s">
        <v>24</v>
      </c>
      <c r="F113" s="2" t="s">
        <v>264</v>
      </c>
      <c r="G113" s="2" t="s">
        <v>265</v>
      </c>
      <c r="H113" s="2" t="s">
        <v>266</v>
      </c>
      <c r="I113" s="7" t="s">
        <v>38</v>
      </c>
      <c r="J113" s="2" t="s">
        <v>158</v>
      </c>
      <c r="K113" s="1" t="s">
        <v>135</v>
      </c>
      <c r="L113" s="7">
        <v>46099</v>
      </c>
      <c r="M113" s="7">
        <v>46071</v>
      </c>
      <c r="N113" s="19">
        <f>Table1[[#This Row],[Completion Date]]-Table1[[#This Row],[Date Logged]]</f>
        <v>0</v>
      </c>
      <c r="O113" s="1" t="s">
        <v>58</v>
      </c>
      <c r="P113" s="1" t="s">
        <v>161</v>
      </c>
      <c r="Q113" s="1" t="s">
        <v>130</v>
      </c>
      <c r="R113" s="2" t="s">
        <v>131</v>
      </c>
      <c r="S113" s="2" t="s">
        <v>131</v>
      </c>
      <c r="T113" s="2" t="s">
        <v>132</v>
      </c>
      <c r="U113" s="1"/>
      <c r="W113" s="1"/>
      <c r="X113" s="6"/>
      <c r="Y113" s="6"/>
      <c r="Z113" s="6"/>
      <c r="AD113" s="6"/>
      <c r="AE113" s="6"/>
      <c r="AF113" s="6"/>
    </row>
    <row r="114" spans="1:32" ht="75" x14ac:dyDescent="0.3">
      <c r="A114" s="1" t="s">
        <v>270</v>
      </c>
      <c r="B114" s="7">
        <v>46071</v>
      </c>
      <c r="C114" s="1" t="s">
        <v>135</v>
      </c>
      <c r="D114" s="8" t="s">
        <v>135</v>
      </c>
      <c r="E114" s="8" t="s">
        <v>24</v>
      </c>
      <c r="F114" s="2" t="s">
        <v>264</v>
      </c>
      <c r="G114" s="2" t="s">
        <v>265</v>
      </c>
      <c r="H114" s="2" t="s">
        <v>266</v>
      </c>
      <c r="I114" s="7" t="s">
        <v>38</v>
      </c>
      <c r="J114" s="2" t="s">
        <v>34</v>
      </c>
      <c r="K114" s="1" t="s">
        <v>135</v>
      </c>
      <c r="L114" s="7">
        <v>46099</v>
      </c>
      <c r="M114" s="7">
        <v>46071</v>
      </c>
      <c r="N114" s="19">
        <f>Table1[[#This Row],[Completion Date]]-Table1[[#This Row],[Date Logged]]</f>
        <v>0</v>
      </c>
      <c r="O114" s="1" t="s">
        <v>58</v>
      </c>
      <c r="P114" s="1" t="s">
        <v>161</v>
      </c>
      <c r="Q114" s="1" t="s">
        <v>130</v>
      </c>
      <c r="R114" s="2" t="s">
        <v>131</v>
      </c>
      <c r="S114" s="2" t="s">
        <v>131</v>
      </c>
      <c r="T114" s="2" t="s">
        <v>132</v>
      </c>
      <c r="U114" s="1"/>
      <c r="W114" s="1"/>
      <c r="X114" s="6"/>
      <c r="Y114" s="6"/>
      <c r="Z114" s="6"/>
      <c r="AD114" s="6"/>
      <c r="AE114" s="6"/>
      <c r="AF114" s="6"/>
    </row>
    <row r="115" spans="1:32" ht="75" x14ac:dyDescent="0.3">
      <c r="A115" s="1" t="s">
        <v>271</v>
      </c>
      <c r="B115" s="7">
        <v>46071</v>
      </c>
      <c r="C115" s="1" t="s">
        <v>135</v>
      </c>
      <c r="D115" s="8" t="s">
        <v>135</v>
      </c>
      <c r="E115" s="8" t="s">
        <v>24</v>
      </c>
      <c r="F115" s="2" t="s">
        <v>264</v>
      </c>
      <c r="G115" s="2" t="s">
        <v>265</v>
      </c>
      <c r="H115" s="2" t="s">
        <v>266</v>
      </c>
      <c r="I115" s="7" t="s">
        <v>38</v>
      </c>
      <c r="J115" s="2" t="s">
        <v>35</v>
      </c>
      <c r="K115" s="2" t="s">
        <v>135</v>
      </c>
      <c r="L115" s="7">
        <v>46099</v>
      </c>
      <c r="M115" s="7">
        <v>46071</v>
      </c>
      <c r="N115" s="19">
        <f>Table1[[#This Row],[Completion Date]]-Table1[[#This Row],[Date Logged]]</f>
        <v>0</v>
      </c>
      <c r="O115" s="1" t="s">
        <v>58</v>
      </c>
      <c r="P115" s="1" t="s">
        <v>161</v>
      </c>
      <c r="Q115" s="1" t="s">
        <v>130</v>
      </c>
      <c r="R115" s="2" t="s">
        <v>131</v>
      </c>
      <c r="S115" s="2" t="s">
        <v>131</v>
      </c>
      <c r="T115" s="2" t="s">
        <v>132</v>
      </c>
      <c r="U115" s="1"/>
      <c r="W115" s="1"/>
      <c r="X115" s="6"/>
      <c r="Y115" s="6"/>
      <c r="Z115" s="6"/>
      <c r="AD115" s="6"/>
      <c r="AE115" s="6"/>
      <c r="AF115" s="6"/>
    </row>
    <row r="116" spans="1:32" ht="75" x14ac:dyDescent="0.3">
      <c r="A116" s="1" t="s">
        <v>272</v>
      </c>
      <c r="B116" s="7">
        <v>46071</v>
      </c>
      <c r="C116" s="1" t="s">
        <v>135</v>
      </c>
      <c r="D116" s="8" t="s">
        <v>135</v>
      </c>
      <c r="E116" s="8" t="s">
        <v>24</v>
      </c>
      <c r="F116" s="2" t="s">
        <v>264</v>
      </c>
      <c r="G116" s="2" t="s">
        <v>265</v>
      </c>
      <c r="H116" s="2" t="s">
        <v>266</v>
      </c>
      <c r="I116" s="7" t="s">
        <v>38</v>
      </c>
      <c r="J116" s="2" t="s">
        <v>250</v>
      </c>
      <c r="K116" s="2" t="s">
        <v>135</v>
      </c>
      <c r="L116" s="7">
        <v>46099</v>
      </c>
      <c r="M116" s="7">
        <v>46071</v>
      </c>
      <c r="N116" s="19">
        <f>Table1[[#This Row],[Completion Date]]-Table1[[#This Row],[Date Logged]]</f>
        <v>0</v>
      </c>
      <c r="O116" s="1" t="s">
        <v>58</v>
      </c>
      <c r="P116" s="1" t="s">
        <v>161</v>
      </c>
      <c r="Q116" s="1" t="s">
        <v>130</v>
      </c>
      <c r="R116" s="2" t="s">
        <v>131</v>
      </c>
      <c r="S116" s="2" t="s">
        <v>131</v>
      </c>
      <c r="T116" s="2" t="s">
        <v>132</v>
      </c>
      <c r="U116" s="1"/>
      <c r="W116" s="1"/>
      <c r="X116" s="6"/>
      <c r="Y116" s="6"/>
      <c r="Z116" s="6"/>
      <c r="AD116" s="6"/>
      <c r="AE116" s="6"/>
      <c r="AF116" s="6"/>
    </row>
    <row r="117" spans="1:32" ht="75" x14ac:dyDescent="0.3">
      <c r="A117" s="1" t="s">
        <v>273</v>
      </c>
      <c r="B117" s="7">
        <v>46071</v>
      </c>
      <c r="C117" s="1" t="s">
        <v>135</v>
      </c>
      <c r="D117" s="8" t="s">
        <v>135</v>
      </c>
      <c r="E117" s="8" t="s">
        <v>24</v>
      </c>
      <c r="F117" s="2" t="s">
        <v>264</v>
      </c>
      <c r="G117" s="2" t="s">
        <v>265</v>
      </c>
      <c r="H117" s="2" t="s">
        <v>266</v>
      </c>
      <c r="I117" s="7" t="s">
        <v>38</v>
      </c>
      <c r="J117" s="2" t="s">
        <v>235</v>
      </c>
      <c r="K117" s="2" t="s">
        <v>135</v>
      </c>
      <c r="L117" s="7">
        <v>46099</v>
      </c>
      <c r="M117" s="7">
        <v>46071</v>
      </c>
      <c r="N117" s="19">
        <f>Table1[[#This Row],[Completion Date]]-Table1[[#This Row],[Date Logged]]</f>
        <v>0</v>
      </c>
      <c r="O117" s="1" t="s">
        <v>58</v>
      </c>
      <c r="P117" s="1" t="s">
        <v>161</v>
      </c>
      <c r="Q117" s="1" t="s">
        <v>130</v>
      </c>
      <c r="R117" s="2" t="s">
        <v>131</v>
      </c>
      <c r="S117" s="2" t="s">
        <v>131</v>
      </c>
      <c r="T117" s="2" t="s">
        <v>132</v>
      </c>
      <c r="U117" s="1"/>
      <c r="W117" s="1"/>
      <c r="X117" s="6"/>
      <c r="Y117" s="6"/>
      <c r="Z117" s="6"/>
      <c r="AD117" s="6"/>
      <c r="AE117" s="6"/>
      <c r="AF117" s="6"/>
    </row>
    <row r="118" spans="1:32" ht="75" x14ac:dyDescent="0.3">
      <c r="A118" s="1" t="s">
        <v>284</v>
      </c>
      <c r="B118" s="7">
        <v>46073</v>
      </c>
      <c r="C118" s="1" t="s">
        <v>23</v>
      </c>
      <c r="D118" s="8" t="s">
        <v>23</v>
      </c>
      <c r="E118" s="8" t="s">
        <v>24</v>
      </c>
      <c r="F118" s="2" t="s">
        <v>274</v>
      </c>
      <c r="G118" s="2" t="s">
        <v>275</v>
      </c>
      <c r="H118" s="2" t="s">
        <v>276</v>
      </c>
      <c r="I118" s="7" t="s">
        <v>38</v>
      </c>
      <c r="J118" s="2" t="s">
        <v>292</v>
      </c>
      <c r="K118" s="2" t="s">
        <v>23</v>
      </c>
      <c r="L118" s="7">
        <v>46073</v>
      </c>
      <c r="M118" s="7">
        <v>46073</v>
      </c>
      <c r="N118" s="19">
        <f>Table1[[#This Row],[Completion Date]]-Table1[[#This Row],[Date Logged]]</f>
        <v>0</v>
      </c>
      <c r="O118" s="1" t="s">
        <v>58</v>
      </c>
      <c r="P118" s="1" t="s">
        <v>161</v>
      </c>
      <c r="Q118" s="1" t="s">
        <v>130</v>
      </c>
      <c r="R118" s="2" t="s">
        <v>131</v>
      </c>
      <c r="S118" s="2" t="s">
        <v>131</v>
      </c>
      <c r="T118" s="2" t="s">
        <v>132</v>
      </c>
      <c r="U118" s="1"/>
      <c r="W118" s="1"/>
      <c r="X118" s="6"/>
      <c r="Y118" s="6"/>
      <c r="Z118" s="6"/>
      <c r="AD118" s="6"/>
      <c r="AE118" s="6"/>
      <c r="AF118" s="6"/>
    </row>
    <row r="119" spans="1:32" ht="78" x14ac:dyDescent="0.3">
      <c r="A119" s="29" t="s">
        <v>285</v>
      </c>
      <c r="B119" s="30">
        <v>46073</v>
      </c>
      <c r="C119" s="29" t="s">
        <v>23</v>
      </c>
      <c r="D119" s="31" t="s">
        <v>23</v>
      </c>
      <c r="E119" s="31" t="s">
        <v>24</v>
      </c>
      <c r="F119" s="32" t="s">
        <v>274</v>
      </c>
      <c r="G119" s="33" t="s">
        <v>275</v>
      </c>
      <c r="H119" s="34" t="s">
        <v>276</v>
      </c>
      <c r="I119" s="30" t="s">
        <v>38</v>
      </c>
      <c r="J119" s="9" t="s">
        <v>293</v>
      </c>
      <c r="K119" s="1" t="s">
        <v>41</v>
      </c>
      <c r="L119" s="7">
        <v>46101</v>
      </c>
      <c r="M119" s="7">
        <v>46073</v>
      </c>
      <c r="N119" s="19">
        <f>Table1[[#This Row],[Completion Date]]-Table1[[#This Row],[Date Logged]]</f>
        <v>0</v>
      </c>
      <c r="O119" s="1" t="s">
        <v>58</v>
      </c>
      <c r="P119" s="1" t="s">
        <v>161</v>
      </c>
      <c r="Q119" s="1" t="s">
        <v>130</v>
      </c>
      <c r="R119" s="2" t="s">
        <v>131</v>
      </c>
      <c r="S119" s="2" t="s">
        <v>131</v>
      </c>
      <c r="T119" s="2" t="s">
        <v>132</v>
      </c>
      <c r="U119" s="1"/>
      <c r="W119" s="1"/>
      <c r="X119" s="6"/>
      <c r="Y119" s="6"/>
      <c r="Z119" s="6"/>
      <c r="AD119" s="6"/>
      <c r="AE119" s="6"/>
      <c r="AF119" s="6"/>
    </row>
    <row r="120" spans="1:32" ht="78" x14ac:dyDescent="0.3">
      <c r="A120" s="29" t="s">
        <v>286</v>
      </c>
      <c r="B120" s="30">
        <v>46073</v>
      </c>
      <c r="C120" s="29" t="s">
        <v>23</v>
      </c>
      <c r="D120" s="31" t="s">
        <v>23</v>
      </c>
      <c r="E120" s="31" t="s">
        <v>24</v>
      </c>
      <c r="F120" s="32" t="s">
        <v>274</v>
      </c>
      <c r="G120" s="33" t="s">
        <v>275</v>
      </c>
      <c r="H120" s="34" t="s">
        <v>276</v>
      </c>
      <c r="I120" s="30" t="s">
        <v>38</v>
      </c>
      <c r="J120" s="9" t="s">
        <v>294</v>
      </c>
      <c r="K120" s="1" t="s">
        <v>42</v>
      </c>
      <c r="L120" s="7">
        <v>46101</v>
      </c>
      <c r="M120" s="7">
        <v>46076</v>
      </c>
      <c r="N120" s="19">
        <f>Table1[[#This Row],[Completion Date]]-Table1[[#This Row],[Date Logged]]</f>
        <v>3</v>
      </c>
      <c r="O120" s="1" t="s">
        <v>58</v>
      </c>
      <c r="P120" s="1" t="s">
        <v>161</v>
      </c>
      <c r="Q120" s="1" t="s">
        <v>130</v>
      </c>
      <c r="R120" s="2" t="s">
        <v>131</v>
      </c>
      <c r="S120" s="2" t="s">
        <v>131</v>
      </c>
      <c r="T120" s="2" t="s">
        <v>132</v>
      </c>
      <c r="U120" s="1"/>
      <c r="W120" s="1"/>
      <c r="X120" s="6"/>
      <c r="Y120" s="6"/>
      <c r="Z120" s="6"/>
      <c r="AD120" s="6"/>
      <c r="AE120" s="6"/>
      <c r="AF120" s="6"/>
    </row>
    <row r="121" spans="1:32" ht="78" x14ac:dyDescent="0.3">
      <c r="A121" s="29" t="s">
        <v>287</v>
      </c>
      <c r="B121" s="30">
        <v>46073</v>
      </c>
      <c r="C121" s="29" t="s">
        <v>23</v>
      </c>
      <c r="D121" s="31" t="s">
        <v>23</v>
      </c>
      <c r="E121" s="31" t="s">
        <v>24</v>
      </c>
      <c r="F121" s="32" t="s">
        <v>274</v>
      </c>
      <c r="G121" s="33" t="s">
        <v>275</v>
      </c>
      <c r="H121" s="34" t="s">
        <v>276</v>
      </c>
      <c r="I121" s="30" t="s">
        <v>38</v>
      </c>
      <c r="J121" s="9" t="s">
        <v>295</v>
      </c>
      <c r="K121" s="1" t="s">
        <v>23</v>
      </c>
      <c r="L121" s="7">
        <v>46101</v>
      </c>
      <c r="M121" s="7">
        <v>46076</v>
      </c>
      <c r="N121" s="19">
        <f>Table1[[#This Row],[Completion Date]]-Table1[[#This Row],[Date Logged]]</f>
        <v>3</v>
      </c>
      <c r="O121" s="1" t="s">
        <v>58</v>
      </c>
      <c r="P121" s="1" t="s">
        <v>161</v>
      </c>
      <c r="Q121" s="1" t="s">
        <v>130</v>
      </c>
      <c r="R121" s="2" t="s">
        <v>131</v>
      </c>
      <c r="S121" s="2" t="s">
        <v>131</v>
      </c>
      <c r="T121" s="2" t="s">
        <v>132</v>
      </c>
      <c r="U121" s="1"/>
      <c r="W121" s="1"/>
      <c r="X121" s="6"/>
      <c r="Y121" s="6"/>
      <c r="Z121" s="6"/>
      <c r="AD121" s="6"/>
      <c r="AE121" s="6"/>
      <c r="AF121" s="6"/>
    </row>
    <row r="122" spans="1:32" ht="75" x14ac:dyDescent="0.3">
      <c r="A122" s="1" t="s">
        <v>288</v>
      </c>
      <c r="B122" s="7">
        <v>46073</v>
      </c>
      <c r="C122" s="1" t="s">
        <v>23</v>
      </c>
      <c r="D122" s="8" t="s">
        <v>23</v>
      </c>
      <c r="E122" s="8" t="s">
        <v>24</v>
      </c>
      <c r="F122" s="2" t="s">
        <v>274</v>
      </c>
      <c r="G122" s="2" t="s">
        <v>275</v>
      </c>
      <c r="H122" s="2" t="s">
        <v>276</v>
      </c>
      <c r="I122" s="7" t="s">
        <v>38</v>
      </c>
      <c r="J122" s="2" t="s">
        <v>296</v>
      </c>
      <c r="K122" s="1" t="s">
        <v>42</v>
      </c>
      <c r="L122" s="7">
        <v>46101</v>
      </c>
      <c r="M122" s="7">
        <v>46077</v>
      </c>
      <c r="N122" s="19">
        <f>Table1[[#This Row],[Completion Date]]-Table1[[#This Row],[Date Logged]]</f>
        <v>4</v>
      </c>
      <c r="O122" s="1" t="s">
        <v>58</v>
      </c>
      <c r="P122" s="1" t="s">
        <v>161</v>
      </c>
      <c r="Q122" s="1" t="s">
        <v>130</v>
      </c>
      <c r="R122" s="2" t="s">
        <v>131</v>
      </c>
      <c r="S122" s="2" t="s">
        <v>131</v>
      </c>
      <c r="T122" s="2" t="s">
        <v>132</v>
      </c>
      <c r="U122" s="1"/>
      <c r="W122" s="1"/>
      <c r="X122" s="6"/>
      <c r="Y122" s="6"/>
      <c r="Z122" s="6"/>
      <c r="AD122" s="6"/>
      <c r="AE122" s="6"/>
      <c r="AF122" s="6"/>
    </row>
    <row r="123" spans="1:32" ht="19.5" customHeight="1" x14ac:dyDescent="0.3">
      <c r="A123" s="1" t="s">
        <v>289</v>
      </c>
      <c r="B123" s="7">
        <v>46073</v>
      </c>
      <c r="C123" s="1" t="s">
        <v>23</v>
      </c>
      <c r="D123" s="8" t="s">
        <v>23</v>
      </c>
      <c r="E123" s="8" t="s">
        <v>24</v>
      </c>
      <c r="F123" s="2" t="s">
        <v>274</v>
      </c>
      <c r="G123" s="2" t="s">
        <v>275</v>
      </c>
      <c r="H123" s="2" t="s">
        <v>276</v>
      </c>
      <c r="I123" s="7" t="s">
        <v>38</v>
      </c>
      <c r="J123" s="2" t="s">
        <v>297</v>
      </c>
      <c r="K123" s="1" t="s">
        <v>23</v>
      </c>
      <c r="L123" s="7">
        <v>46101</v>
      </c>
      <c r="M123" s="7">
        <v>46073</v>
      </c>
      <c r="N123" s="19">
        <f>Table1[[#This Row],[Completion Date]]-Table1[[#This Row],[Date Logged]]</f>
        <v>0</v>
      </c>
      <c r="O123" s="1" t="s">
        <v>58</v>
      </c>
      <c r="P123" s="1" t="s">
        <v>161</v>
      </c>
      <c r="Q123" s="1" t="s">
        <v>130</v>
      </c>
      <c r="R123" s="2" t="s">
        <v>131</v>
      </c>
      <c r="S123" s="2" t="s">
        <v>131</v>
      </c>
      <c r="T123" s="2" t="s">
        <v>132</v>
      </c>
      <c r="U123" s="1"/>
      <c r="W123" s="1"/>
      <c r="X123" s="6"/>
      <c r="Y123" s="6"/>
      <c r="Z123" s="6"/>
      <c r="AD123" s="6"/>
      <c r="AE123" s="6"/>
      <c r="AF123" s="6"/>
    </row>
    <row r="124" spans="1:32" ht="78" x14ac:dyDescent="0.3">
      <c r="A124" s="1" t="s">
        <v>290</v>
      </c>
      <c r="B124" s="13">
        <v>46073</v>
      </c>
      <c r="C124" s="12" t="s">
        <v>23</v>
      </c>
      <c r="D124" s="8" t="s">
        <v>23</v>
      </c>
      <c r="E124" s="8" t="s">
        <v>24</v>
      </c>
      <c r="F124" s="24" t="s">
        <v>274</v>
      </c>
      <c r="G124" s="15" t="s">
        <v>275</v>
      </c>
      <c r="H124" s="15" t="s">
        <v>276</v>
      </c>
      <c r="I124" s="13" t="s">
        <v>38</v>
      </c>
      <c r="J124" s="9" t="s">
        <v>298</v>
      </c>
      <c r="K124" s="1" t="s">
        <v>23</v>
      </c>
      <c r="L124" s="7">
        <v>46101</v>
      </c>
      <c r="M124" s="13">
        <v>46077</v>
      </c>
      <c r="N124" s="20">
        <f>Table1[[#This Row],[Completion Date]]-Table1[[#This Row],[Date Logged]]</f>
        <v>4</v>
      </c>
      <c r="O124" s="13" t="s">
        <v>58</v>
      </c>
      <c r="P124" s="12" t="s">
        <v>161</v>
      </c>
      <c r="Q124" s="12" t="s">
        <v>130</v>
      </c>
      <c r="R124" s="15" t="s">
        <v>131</v>
      </c>
      <c r="S124" s="15" t="s">
        <v>131</v>
      </c>
      <c r="T124" s="15" t="s">
        <v>132</v>
      </c>
      <c r="U124" s="12"/>
    </row>
    <row r="125" spans="1:32" ht="78" x14ac:dyDescent="0.3">
      <c r="A125" s="29" t="s">
        <v>291</v>
      </c>
      <c r="B125" s="30">
        <v>46073</v>
      </c>
      <c r="C125" s="29" t="s">
        <v>23</v>
      </c>
      <c r="D125" s="31" t="s">
        <v>23</v>
      </c>
      <c r="E125" s="31" t="s">
        <v>24</v>
      </c>
      <c r="F125" s="32" t="s">
        <v>274</v>
      </c>
      <c r="G125" s="33" t="s">
        <v>275</v>
      </c>
      <c r="H125" s="34" t="s">
        <v>276</v>
      </c>
      <c r="I125" s="30" t="s">
        <v>38</v>
      </c>
      <c r="J125" s="9" t="s">
        <v>299</v>
      </c>
      <c r="K125" s="1" t="s">
        <v>23</v>
      </c>
      <c r="L125" s="7">
        <v>46101</v>
      </c>
      <c r="M125" s="13">
        <v>46077</v>
      </c>
      <c r="N125" s="20">
        <f>Table1[[#This Row],[Completion Date]]-Table1[[#This Row],[Date Logged]]</f>
        <v>4</v>
      </c>
      <c r="O125" s="13" t="s">
        <v>58</v>
      </c>
      <c r="P125" s="12" t="s">
        <v>161</v>
      </c>
      <c r="Q125" s="12" t="s">
        <v>130</v>
      </c>
      <c r="R125" s="15" t="s">
        <v>131</v>
      </c>
      <c r="S125" s="15" t="s">
        <v>131</v>
      </c>
      <c r="T125" s="15" t="s">
        <v>132</v>
      </c>
      <c r="U125" s="12"/>
    </row>
    <row r="126" spans="1:32" ht="45" x14ac:dyDescent="0.3">
      <c r="A126" s="29" t="s">
        <v>325</v>
      </c>
      <c r="B126" s="30">
        <v>46076</v>
      </c>
      <c r="C126" s="29" t="s">
        <v>135</v>
      </c>
      <c r="D126" s="31" t="s">
        <v>135</v>
      </c>
      <c r="E126" s="31" t="s">
        <v>24</v>
      </c>
      <c r="F126" s="32" t="s">
        <v>278</v>
      </c>
      <c r="G126" s="34" t="s">
        <v>277</v>
      </c>
      <c r="H126" s="34" t="s">
        <v>47</v>
      </c>
      <c r="I126" s="30" t="s">
        <v>38</v>
      </c>
      <c r="J126" s="33" t="s">
        <v>328</v>
      </c>
      <c r="K126" s="29" t="s">
        <v>135</v>
      </c>
      <c r="L126" s="7">
        <v>46111</v>
      </c>
      <c r="M126" s="13">
        <v>46112</v>
      </c>
      <c r="N126" s="20">
        <f>Table1[[#This Row],[Completion Date]]-Table1[[#This Row],[Date Logged]]</f>
        <v>36</v>
      </c>
      <c r="O126" s="13" t="s">
        <v>58</v>
      </c>
      <c r="P126" s="12" t="s">
        <v>161</v>
      </c>
      <c r="Q126" s="15" t="s">
        <v>131</v>
      </c>
      <c r="R126" s="15" t="s">
        <v>131</v>
      </c>
      <c r="S126" s="15" t="s">
        <v>131</v>
      </c>
      <c r="T126" s="15" t="s">
        <v>223</v>
      </c>
      <c r="U126" s="1" t="s">
        <v>616</v>
      </c>
    </row>
    <row r="127" spans="1:32" ht="45" x14ac:dyDescent="0.3">
      <c r="A127" s="29" t="s">
        <v>326</v>
      </c>
      <c r="B127" s="30">
        <v>46076</v>
      </c>
      <c r="C127" s="29" t="s">
        <v>135</v>
      </c>
      <c r="D127" s="31" t="s">
        <v>135</v>
      </c>
      <c r="E127" s="31" t="s">
        <v>24</v>
      </c>
      <c r="F127" s="32" t="s">
        <v>278</v>
      </c>
      <c r="G127" s="34" t="s">
        <v>277</v>
      </c>
      <c r="H127" s="34" t="s">
        <v>47</v>
      </c>
      <c r="I127" s="30" t="s">
        <v>38</v>
      </c>
      <c r="J127" s="33" t="s">
        <v>329</v>
      </c>
      <c r="K127" s="29" t="s">
        <v>332</v>
      </c>
      <c r="L127" s="30">
        <v>46111</v>
      </c>
      <c r="M127" s="30">
        <v>46091</v>
      </c>
      <c r="N127" s="36"/>
      <c r="O127" s="30" t="s">
        <v>58</v>
      </c>
      <c r="P127" s="12" t="s">
        <v>161</v>
      </c>
      <c r="Q127" s="15" t="s">
        <v>131</v>
      </c>
      <c r="R127" s="15" t="s">
        <v>131</v>
      </c>
      <c r="S127" s="15" t="s">
        <v>131</v>
      </c>
      <c r="T127" s="15" t="s">
        <v>223</v>
      </c>
      <c r="U127" s="29"/>
    </row>
    <row r="128" spans="1:32" ht="45" x14ac:dyDescent="0.3">
      <c r="A128" s="29" t="s">
        <v>327</v>
      </c>
      <c r="B128" s="30">
        <v>46076</v>
      </c>
      <c r="C128" s="29" t="s">
        <v>135</v>
      </c>
      <c r="D128" s="31" t="s">
        <v>135</v>
      </c>
      <c r="E128" s="31" t="s">
        <v>24</v>
      </c>
      <c r="F128" s="32" t="s">
        <v>278</v>
      </c>
      <c r="G128" s="34" t="s">
        <v>277</v>
      </c>
      <c r="H128" s="34" t="s">
        <v>47</v>
      </c>
      <c r="I128" s="30" t="s">
        <v>38</v>
      </c>
      <c r="J128" s="33" t="s">
        <v>330</v>
      </c>
      <c r="K128" s="29" t="s">
        <v>332</v>
      </c>
      <c r="L128" s="30">
        <v>46142</v>
      </c>
      <c r="M128" s="30">
        <v>46120</v>
      </c>
      <c r="N128" s="36"/>
      <c r="O128" s="30" t="s">
        <v>58</v>
      </c>
      <c r="P128" s="12" t="s">
        <v>161</v>
      </c>
      <c r="Q128" s="15" t="s">
        <v>131</v>
      </c>
      <c r="R128" s="15" t="s">
        <v>131</v>
      </c>
      <c r="S128" s="15" t="s">
        <v>131</v>
      </c>
      <c r="T128" s="15" t="s">
        <v>223</v>
      </c>
      <c r="U128" s="29"/>
    </row>
    <row r="129" spans="1:21" ht="60" x14ac:dyDescent="0.3">
      <c r="A129" s="29" t="s">
        <v>366</v>
      </c>
      <c r="B129" s="30">
        <v>46076</v>
      </c>
      <c r="C129" s="29" t="s">
        <v>135</v>
      </c>
      <c r="D129" s="31" t="s">
        <v>135</v>
      </c>
      <c r="E129" s="31" t="s">
        <v>24</v>
      </c>
      <c r="F129" s="32" t="s">
        <v>278</v>
      </c>
      <c r="G129" s="34" t="s">
        <v>277</v>
      </c>
      <c r="H129" s="34" t="s">
        <v>47</v>
      </c>
      <c r="I129" s="30" t="s">
        <v>38</v>
      </c>
      <c r="J129" s="33" t="s">
        <v>331</v>
      </c>
      <c r="K129" s="29" t="s">
        <v>332</v>
      </c>
      <c r="L129" s="30">
        <v>46172</v>
      </c>
      <c r="M129" s="30">
        <v>46142</v>
      </c>
      <c r="N129" s="36"/>
      <c r="O129" s="30" t="s">
        <v>58</v>
      </c>
      <c r="P129" s="12" t="s">
        <v>161</v>
      </c>
      <c r="Q129" s="15" t="s">
        <v>131</v>
      </c>
      <c r="R129" s="15" t="s">
        <v>131</v>
      </c>
      <c r="S129" s="15" t="s">
        <v>131</v>
      </c>
      <c r="T129" s="15" t="s">
        <v>223</v>
      </c>
      <c r="U129" s="29"/>
    </row>
    <row r="130" spans="1:21" ht="120" x14ac:dyDescent="0.3">
      <c r="A130" s="1" t="s">
        <v>279</v>
      </c>
      <c r="B130" s="7">
        <v>46076</v>
      </c>
      <c r="C130" s="1" t="s">
        <v>161</v>
      </c>
      <c r="D130" s="8" t="s">
        <v>161</v>
      </c>
      <c r="E130" s="8" t="s">
        <v>24</v>
      </c>
      <c r="F130" s="2" t="s">
        <v>280</v>
      </c>
      <c r="G130" s="2" t="s">
        <v>281</v>
      </c>
      <c r="H130" s="2" t="s">
        <v>282</v>
      </c>
      <c r="I130" s="7" t="s">
        <v>38</v>
      </c>
      <c r="J130" s="2" t="s">
        <v>283</v>
      </c>
      <c r="K130" s="1" t="s">
        <v>161</v>
      </c>
      <c r="L130" s="7">
        <v>46080</v>
      </c>
      <c r="M130" s="13">
        <v>46080</v>
      </c>
      <c r="N130" s="20">
        <f>Table1[[#This Row],[Completion Date]]-Table1[[#This Row],[Date Logged]]</f>
        <v>4</v>
      </c>
      <c r="O130" s="13" t="s">
        <v>58</v>
      </c>
      <c r="P130" s="1" t="s">
        <v>129</v>
      </c>
      <c r="Q130" s="1" t="s">
        <v>131</v>
      </c>
      <c r="R130" s="2" t="s">
        <v>131</v>
      </c>
      <c r="S130" s="2" t="s">
        <v>131</v>
      </c>
      <c r="T130" s="15" t="s">
        <v>132</v>
      </c>
      <c r="U130" s="12"/>
    </row>
    <row r="131" spans="1:21" ht="105" x14ac:dyDescent="0.3">
      <c r="A131" s="1" t="s">
        <v>356</v>
      </c>
      <c r="B131" s="13">
        <v>46076</v>
      </c>
      <c r="C131" s="1" t="s">
        <v>135</v>
      </c>
      <c r="D131" s="8" t="s">
        <v>135</v>
      </c>
      <c r="E131" s="8" t="s">
        <v>48</v>
      </c>
      <c r="F131" s="24" t="s">
        <v>300</v>
      </c>
      <c r="G131" s="2" t="s">
        <v>355</v>
      </c>
      <c r="H131" s="2" t="s">
        <v>47</v>
      </c>
      <c r="I131" s="13" t="s">
        <v>38</v>
      </c>
      <c r="J131" s="9" t="s">
        <v>361</v>
      </c>
      <c r="K131" s="1" t="s">
        <v>45</v>
      </c>
      <c r="L131" s="7">
        <v>46079</v>
      </c>
      <c r="M131" s="13">
        <v>46079</v>
      </c>
      <c r="N131" s="20">
        <f>Table1[[#This Row],[Completion Date]]-Table1[[#This Row],[Date Logged]]</f>
        <v>3</v>
      </c>
      <c r="O131" s="13" t="s">
        <v>58</v>
      </c>
      <c r="P131" s="1" t="s">
        <v>161</v>
      </c>
      <c r="Q131" s="1" t="s">
        <v>131</v>
      </c>
      <c r="R131" s="2" t="s">
        <v>131</v>
      </c>
      <c r="S131" s="2" t="s">
        <v>131</v>
      </c>
      <c r="T131" s="15" t="s">
        <v>223</v>
      </c>
      <c r="U131" s="1" t="s">
        <v>437</v>
      </c>
    </row>
    <row r="132" spans="1:21" ht="105" x14ac:dyDescent="0.3">
      <c r="A132" s="29" t="s">
        <v>357</v>
      </c>
      <c r="B132" s="30">
        <v>46076</v>
      </c>
      <c r="C132" s="29" t="s">
        <v>135</v>
      </c>
      <c r="D132" s="31" t="s">
        <v>135</v>
      </c>
      <c r="E132" s="31" t="s">
        <v>48</v>
      </c>
      <c r="F132" s="32" t="s">
        <v>300</v>
      </c>
      <c r="G132" s="34" t="s">
        <v>355</v>
      </c>
      <c r="H132" s="34" t="s">
        <v>47</v>
      </c>
      <c r="I132" s="30" t="s">
        <v>38</v>
      </c>
      <c r="J132" s="33" t="s">
        <v>362</v>
      </c>
      <c r="K132" s="29" t="s">
        <v>45</v>
      </c>
      <c r="L132" s="30">
        <v>46079</v>
      </c>
      <c r="M132" s="30">
        <v>46079</v>
      </c>
      <c r="N132" s="36"/>
      <c r="O132" s="30" t="s">
        <v>58</v>
      </c>
      <c r="P132" s="29" t="s">
        <v>161</v>
      </c>
      <c r="Q132" s="29" t="s">
        <v>131</v>
      </c>
      <c r="R132" s="34" t="s">
        <v>131</v>
      </c>
      <c r="S132" s="34" t="s">
        <v>131</v>
      </c>
      <c r="T132" s="34" t="s">
        <v>223</v>
      </c>
      <c r="U132" s="29" t="s">
        <v>437</v>
      </c>
    </row>
    <row r="133" spans="1:21" ht="105" x14ac:dyDescent="0.3">
      <c r="A133" s="29" t="s">
        <v>358</v>
      </c>
      <c r="B133" s="30">
        <v>46076</v>
      </c>
      <c r="C133" s="29" t="s">
        <v>135</v>
      </c>
      <c r="D133" s="31" t="s">
        <v>135</v>
      </c>
      <c r="E133" s="31" t="s">
        <v>48</v>
      </c>
      <c r="F133" s="32" t="s">
        <v>300</v>
      </c>
      <c r="G133" s="34" t="s">
        <v>355</v>
      </c>
      <c r="H133" s="34" t="s">
        <v>47</v>
      </c>
      <c r="I133" s="30" t="s">
        <v>38</v>
      </c>
      <c r="J133" s="33" t="s">
        <v>363</v>
      </c>
      <c r="K133" s="29" t="s">
        <v>45</v>
      </c>
      <c r="L133" s="30">
        <v>46084</v>
      </c>
      <c r="M133" s="30">
        <v>46080</v>
      </c>
      <c r="N133" s="36"/>
      <c r="O133" s="30" t="s">
        <v>58</v>
      </c>
      <c r="P133" s="29" t="s">
        <v>161</v>
      </c>
      <c r="Q133" s="29" t="s">
        <v>131</v>
      </c>
      <c r="R133" s="34" t="s">
        <v>131</v>
      </c>
      <c r="S133" s="34" t="s">
        <v>131</v>
      </c>
      <c r="T133" s="34" t="s">
        <v>223</v>
      </c>
      <c r="U133" s="29" t="s">
        <v>437</v>
      </c>
    </row>
    <row r="134" spans="1:21" ht="105" x14ac:dyDescent="0.3">
      <c r="A134" s="29" t="s">
        <v>359</v>
      </c>
      <c r="B134" s="30">
        <v>46076</v>
      </c>
      <c r="C134" s="29" t="s">
        <v>135</v>
      </c>
      <c r="D134" s="31" t="s">
        <v>135</v>
      </c>
      <c r="E134" s="31" t="s">
        <v>48</v>
      </c>
      <c r="F134" s="32" t="s">
        <v>300</v>
      </c>
      <c r="G134" s="34" t="s">
        <v>355</v>
      </c>
      <c r="H134" s="34" t="s">
        <v>47</v>
      </c>
      <c r="I134" s="30" t="s">
        <v>38</v>
      </c>
      <c r="J134" s="33" t="s">
        <v>364</v>
      </c>
      <c r="K134" s="29" t="s">
        <v>45</v>
      </c>
      <c r="L134" s="30">
        <v>46112</v>
      </c>
      <c r="M134" s="30">
        <v>46112</v>
      </c>
      <c r="N134" s="36"/>
      <c r="O134" s="30" t="s">
        <v>58</v>
      </c>
      <c r="P134" s="29" t="s">
        <v>161</v>
      </c>
      <c r="Q134" s="29" t="s">
        <v>131</v>
      </c>
      <c r="R134" s="34" t="s">
        <v>131</v>
      </c>
      <c r="S134" s="34" t="s">
        <v>131</v>
      </c>
      <c r="T134" s="34" t="s">
        <v>223</v>
      </c>
      <c r="U134" s="29" t="s">
        <v>437</v>
      </c>
    </row>
    <row r="135" spans="1:21" ht="105" x14ac:dyDescent="0.3">
      <c r="A135" s="29" t="s">
        <v>360</v>
      </c>
      <c r="B135" s="30">
        <v>46076</v>
      </c>
      <c r="C135" s="29" t="s">
        <v>135</v>
      </c>
      <c r="D135" s="31" t="s">
        <v>135</v>
      </c>
      <c r="E135" s="31" t="s">
        <v>48</v>
      </c>
      <c r="F135" s="32" t="s">
        <v>300</v>
      </c>
      <c r="G135" s="34" t="s">
        <v>355</v>
      </c>
      <c r="H135" s="34" t="s">
        <v>47</v>
      </c>
      <c r="I135" s="30" t="s">
        <v>38</v>
      </c>
      <c r="J135" s="33" t="s">
        <v>365</v>
      </c>
      <c r="K135" s="29" t="s">
        <v>45</v>
      </c>
      <c r="L135" s="30">
        <v>46094</v>
      </c>
      <c r="M135" s="30">
        <v>46086</v>
      </c>
      <c r="N135" s="36"/>
      <c r="O135" s="30" t="s">
        <v>58</v>
      </c>
      <c r="P135" s="29" t="s">
        <v>161</v>
      </c>
      <c r="Q135" s="29" t="s">
        <v>131</v>
      </c>
      <c r="R135" s="34" t="s">
        <v>131</v>
      </c>
      <c r="S135" s="34" t="s">
        <v>131</v>
      </c>
      <c r="T135" s="34" t="s">
        <v>223</v>
      </c>
      <c r="U135" s="29" t="s">
        <v>437</v>
      </c>
    </row>
    <row r="136" spans="1:21" ht="165" x14ac:dyDescent="0.3">
      <c r="A136" s="1" t="s">
        <v>339</v>
      </c>
      <c r="B136" s="13">
        <v>46079</v>
      </c>
      <c r="C136" s="1" t="s">
        <v>23</v>
      </c>
      <c r="D136" s="8" t="s">
        <v>23</v>
      </c>
      <c r="E136" s="8" t="s">
        <v>24</v>
      </c>
      <c r="F136" s="24" t="s">
        <v>345</v>
      </c>
      <c r="G136" s="2" t="s">
        <v>346</v>
      </c>
      <c r="H136" s="2" t="s">
        <v>301</v>
      </c>
      <c r="I136" s="13" t="s">
        <v>78</v>
      </c>
      <c r="J136" s="9" t="s">
        <v>347</v>
      </c>
      <c r="K136" s="1" t="s">
        <v>352</v>
      </c>
      <c r="L136" s="7">
        <v>46122</v>
      </c>
      <c r="M136" s="13">
        <v>46106</v>
      </c>
      <c r="N136" s="20">
        <f>Table1[[#This Row],[Completion Date]]-Table1[[#This Row],[Date Logged]]</f>
        <v>27</v>
      </c>
      <c r="O136" s="13" t="s">
        <v>58</v>
      </c>
      <c r="P136" s="12"/>
      <c r="Q136" s="12"/>
      <c r="R136" s="15"/>
      <c r="S136" s="15"/>
      <c r="T136" s="15" t="s">
        <v>133</v>
      </c>
      <c r="U136" s="12"/>
    </row>
    <row r="137" spans="1:21" ht="165" x14ac:dyDescent="0.3">
      <c r="A137" s="29" t="s">
        <v>340</v>
      </c>
      <c r="B137" s="30">
        <v>46079</v>
      </c>
      <c r="C137" s="29" t="s">
        <v>23</v>
      </c>
      <c r="D137" s="31" t="s">
        <v>23</v>
      </c>
      <c r="E137" s="31" t="s">
        <v>24</v>
      </c>
      <c r="F137" s="24" t="s">
        <v>623</v>
      </c>
      <c r="G137" s="34" t="s">
        <v>346</v>
      </c>
      <c r="H137" s="34" t="s">
        <v>301</v>
      </c>
      <c r="I137" s="30" t="s">
        <v>78</v>
      </c>
      <c r="J137" s="33" t="s">
        <v>348</v>
      </c>
      <c r="K137" s="29" t="s">
        <v>352</v>
      </c>
      <c r="L137" s="30">
        <v>46122</v>
      </c>
      <c r="M137" s="30">
        <v>46106</v>
      </c>
      <c r="N137" s="36"/>
      <c r="O137" s="30" t="s">
        <v>58</v>
      </c>
      <c r="P137" s="29"/>
      <c r="Q137" s="29"/>
      <c r="R137" s="34"/>
      <c r="S137" s="34"/>
      <c r="T137" s="34" t="s">
        <v>133</v>
      </c>
      <c r="U137" s="29"/>
    </row>
    <row r="138" spans="1:21" ht="165" x14ac:dyDescent="0.3">
      <c r="A138" s="29" t="s">
        <v>341</v>
      </c>
      <c r="B138" s="30">
        <v>46079</v>
      </c>
      <c r="C138" s="29" t="s">
        <v>23</v>
      </c>
      <c r="D138" s="31" t="s">
        <v>23</v>
      </c>
      <c r="E138" s="31" t="s">
        <v>24</v>
      </c>
      <c r="F138" s="24" t="s">
        <v>623</v>
      </c>
      <c r="G138" s="34" t="s">
        <v>346</v>
      </c>
      <c r="H138" s="34" t="s">
        <v>301</v>
      </c>
      <c r="I138" s="30" t="s">
        <v>78</v>
      </c>
      <c r="J138" s="33" t="s">
        <v>349</v>
      </c>
      <c r="K138" s="34" t="s">
        <v>353</v>
      </c>
      <c r="L138" s="30">
        <v>46142</v>
      </c>
      <c r="M138" s="30">
        <v>46142</v>
      </c>
      <c r="N138" s="36"/>
      <c r="O138" s="30" t="s">
        <v>58</v>
      </c>
      <c r="P138" s="29"/>
      <c r="Q138" s="29"/>
      <c r="R138" s="34"/>
      <c r="S138" s="34"/>
      <c r="T138" s="34" t="s">
        <v>133</v>
      </c>
      <c r="U138" s="29"/>
    </row>
    <row r="139" spans="1:21" ht="165" x14ac:dyDescent="0.3">
      <c r="A139" s="29" t="s">
        <v>342</v>
      </c>
      <c r="B139" s="30">
        <v>46079</v>
      </c>
      <c r="C139" s="29" t="s">
        <v>23</v>
      </c>
      <c r="D139" s="31" t="s">
        <v>23</v>
      </c>
      <c r="E139" s="31" t="s">
        <v>24</v>
      </c>
      <c r="F139" s="24" t="s">
        <v>623</v>
      </c>
      <c r="G139" s="34" t="s">
        <v>346</v>
      </c>
      <c r="H139" s="34" t="s">
        <v>301</v>
      </c>
      <c r="I139" s="30" t="s">
        <v>78</v>
      </c>
      <c r="J139" s="33" t="s">
        <v>350</v>
      </c>
      <c r="K139" s="34" t="s">
        <v>354</v>
      </c>
      <c r="L139" s="30">
        <v>46265</v>
      </c>
      <c r="M139" s="30"/>
      <c r="N139" s="36"/>
      <c r="O139" s="30" t="s">
        <v>59</v>
      </c>
      <c r="P139" s="29"/>
      <c r="Q139" s="29"/>
      <c r="R139" s="34"/>
      <c r="S139" s="34"/>
      <c r="T139" s="34" t="s">
        <v>133</v>
      </c>
      <c r="U139" s="29"/>
    </row>
    <row r="140" spans="1:21" ht="165" x14ac:dyDescent="0.3">
      <c r="A140" s="29" t="s">
        <v>343</v>
      </c>
      <c r="B140" s="30">
        <v>46079</v>
      </c>
      <c r="C140" s="29" t="s">
        <v>23</v>
      </c>
      <c r="D140" s="31" t="s">
        <v>23</v>
      </c>
      <c r="E140" s="31" t="s">
        <v>24</v>
      </c>
      <c r="F140" s="24" t="s">
        <v>623</v>
      </c>
      <c r="G140" s="34" t="s">
        <v>346</v>
      </c>
      <c r="H140" s="34" t="s">
        <v>301</v>
      </c>
      <c r="I140" s="30" t="s">
        <v>78</v>
      </c>
      <c r="J140" s="33" t="s">
        <v>387</v>
      </c>
      <c r="K140" s="29" t="s">
        <v>42</v>
      </c>
      <c r="L140" s="30">
        <v>46295</v>
      </c>
      <c r="M140" s="30"/>
      <c r="N140" s="36"/>
      <c r="O140" s="30" t="s">
        <v>59</v>
      </c>
      <c r="P140" s="29"/>
      <c r="Q140" s="29"/>
      <c r="R140" s="34"/>
      <c r="S140" s="34"/>
      <c r="T140" s="34" t="s">
        <v>133</v>
      </c>
      <c r="U140" s="29"/>
    </row>
    <row r="141" spans="1:21" ht="165" x14ac:dyDescent="0.3">
      <c r="A141" s="29" t="s">
        <v>344</v>
      </c>
      <c r="B141" s="30">
        <v>46079</v>
      </c>
      <c r="C141" s="29" t="s">
        <v>23</v>
      </c>
      <c r="D141" s="31" t="s">
        <v>23</v>
      </c>
      <c r="E141" s="31" t="s">
        <v>24</v>
      </c>
      <c r="F141" s="24" t="s">
        <v>623</v>
      </c>
      <c r="G141" s="34" t="s">
        <v>346</v>
      </c>
      <c r="H141" s="34" t="s">
        <v>301</v>
      </c>
      <c r="I141" s="30" t="s">
        <v>78</v>
      </c>
      <c r="J141" s="33" t="s">
        <v>351</v>
      </c>
      <c r="K141" s="1" t="s">
        <v>23</v>
      </c>
      <c r="L141" s="30">
        <v>46295</v>
      </c>
      <c r="M141" s="30"/>
      <c r="N141" s="36"/>
      <c r="O141" s="30" t="s">
        <v>59</v>
      </c>
      <c r="P141" s="29"/>
      <c r="Q141" s="29"/>
      <c r="R141" s="34"/>
      <c r="S141" s="34"/>
      <c r="T141" s="34" t="s">
        <v>133</v>
      </c>
      <c r="U141" s="29"/>
    </row>
    <row r="142" spans="1:21" ht="31.2" x14ac:dyDescent="0.3">
      <c r="A142" s="12" t="s">
        <v>302</v>
      </c>
      <c r="B142" s="13">
        <v>46083</v>
      </c>
      <c r="C142" s="1" t="s">
        <v>148</v>
      </c>
      <c r="D142" s="8" t="s">
        <v>148</v>
      </c>
      <c r="E142" s="8" t="s">
        <v>48</v>
      </c>
      <c r="F142" s="24" t="s">
        <v>303</v>
      </c>
      <c r="G142" s="2" t="s">
        <v>47</v>
      </c>
      <c r="H142" s="2" t="s">
        <v>47</v>
      </c>
      <c r="I142" s="13" t="s">
        <v>38</v>
      </c>
      <c r="J142" s="9" t="s">
        <v>47</v>
      </c>
      <c r="K142" s="1" t="s">
        <v>47</v>
      </c>
      <c r="L142" s="7" t="s">
        <v>383</v>
      </c>
      <c r="M142" s="7" t="s">
        <v>47</v>
      </c>
      <c r="N142" s="20" t="e">
        <f>Table1[[#This Row],[Completion Date]]-Table1[[#This Row],[Date Logged]]</f>
        <v>#VALUE!</v>
      </c>
      <c r="O142" s="13" t="s">
        <v>58</v>
      </c>
      <c r="P142" s="12"/>
      <c r="Q142" s="12"/>
      <c r="R142" s="15"/>
      <c r="S142" s="15"/>
      <c r="T142" s="15" t="s">
        <v>132</v>
      </c>
      <c r="U142" s="12"/>
    </row>
    <row r="143" spans="1:21" ht="78" x14ac:dyDescent="0.3">
      <c r="A143" s="1" t="s">
        <v>309</v>
      </c>
      <c r="B143" s="7">
        <v>46084</v>
      </c>
      <c r="C143" s="1" t="s">
        <v>135</v>
      </c>
      <c r="D143" s="8" t="s">
        <v>135</v>
      </c>
      <c r="E143" s="8" t="s">
        <v>24</v>
      </c>
      <c r="F143" s="24" t="s">
        <v>304</v>
      </c>
      <c r="G143" s="9" t="s">
        <v>305</v>
      </c>
      <c r="H143" s="2" t="s">
        <v>306</v>
      </c>
      <c r="I143" s="7" t="s">
        <v>38</v>
      </c>
      <c r="J143" s="9" t="s">
        <v>307</v>
      </c>
      <c r="K143" s="35" t="s">
        <v>135</v>
      </c>
      <c r="L143" s="7">
        <v>46084</v>
      </c>
      <c r="M143" s="13">
        <v>46084</v>
      </c>
      <c r="N143" s="20">
        <f>Table1[[#This Row],[Completion Date]]-Table1[[#This Row],[Date Logged]]</f>
        <v>0</v>
      </c>
      <c r="O143" s="13" t="s">
        <v>58</v>
      </c>
      <c r="P143" s="1" t="s">
        <v>161</v>
      </c>
      <c r="Q143" s="1" t="s">
        <v>130</v>
      </c>
      <c r="R143" s="2" t="s">
        <v>131</v>
      </c>
      <c r="S143" s="2" t="s">
        <v>131</v>
      </c>
      <c r="T143" s="15" t="s">
        <v>132</v>
      </c>
      <c r="U143" s="12"/>
    </row>
    <row r="144" spans="1:21" ht="78" x14ac:dyDescent="0.3">
      <c r="A144" s="1" t="s">
        <v>310</v>
      </c>
      <c r="B144" s="7">
        <v>46084</v>
      </c>
      <c r="C144" s="1" t="s">
        <v>135</v>
      </c>
      <c r="D144" s="8" t="s">
        <v>135</v>
      </c>
      <c r="E144" s="8" t="s">
        <v>24</v>
      </c>
      <c r="F144" s="24" t="s">
        <v>304</v>
      </c>
      <c r="G144" s="9" t="s">
        <v>305</v>
      </c>
      <c r="H144" s="2" t="s">
        <v>306</v>
      </c>
      <c r="I144" s="7" t="s">
        <v>38</v>
      </c>
      <c r="J144" s="9" t="s">
        <v>261</v>
      </c>
      <c r="K144" s="35" t="s">
        <v>41</v>
      </c>
      <c r="L144" s="7">
        <v>46115</v>
      </c>
      <c r="M144" s="13">
        <v>46084</v>
      </c>
      <c r="N144" s="20">
        <f>Table1[[#This Row],[Completion Date]]-Table1[[#This Row],[Date Logged]]</f>
        <v>0</v>
      </c>
      <c r="O144" s="13" t="s">
        <v>58</v>
      </c>
      <c r="P144" s="12" t="s">
        <v>161</v>
      </c>
      <c r="Q144" s="1" t="s">
        <v>130</v>
      </c>
      <c r="R144" s="2" t="s">
        <v>131</v>
      </c>
      <c r="S144" s="2" t="s">
        <v>131</v>
      </c>
      <c r="T144" s="15" t="s">
        <v>132</v>
      </c>
      <c r="U144" s="12"/>
    </row>
    <row r="145" spans="1:21" ht="78" x14ac:dyDescent="0.3">
      <c r="A145" s="1" t="s">
        <v>311</v>
      </c>
      <c r="B145" s="13">
        <v>46084</v>
      </c>
      <c r="C145" s="12" t="s">
        <v>135</v>
      </c>
      <c r="D145" s="8" t="s">
        <v>135</v>
      </c>
      <c r="E145" s="8" t="s">
        <v>24</v>
      </c>
      <c r="F145" s="14" t="s">
        <v>304</v>
      </c>
      <c r="G145" s="15" t="s">
        <v>305</v>
      </c>
      <c r="H145" s="15" t="s">
        <v>306</v>
      </c>
      <c r="I145" s="13" t="s">
        <v>38</v>
      </c>
      <c r="J145" s="9" t="s">
        <v>158</v>
      </c>
      <c r="K145" s="35" t="s">
        <v>135</v>
      </c>
      <c r="L145" s="7">
        <v>46115</v>
      </c>
      <c r="M145" s="13">
        <v>46084</v>
      </c>
      <c r="N145" s="20">
        <f>Table1[[#This Row],[Completion Date]]-Table1[[#This Row],[Date Logged]]</f>
        <v>0</v>
      </c>
      <c r="O145" s="13" t="s">
        <v>58</v>
      </c>
      <c r="P145" s="12" t="s">
        <v>161</v>
      </c>
      <c r="Q145" s="1" t="s">
        <v>130</v>
      </c>
      <c r="R145" s="2" t="s">
        <v>131</v>
      </c>
      <c r="S145" s="2" t="s">
        <v>131</v>
      </c>
      <c r="T145" s="15" t="s">
        <v>132</v>
      </c>
      <c r="U145" s="12"/>
    </row>
    <row r="146" spans="1:21" ht="78" x14ac:dyDescent="0.3">
      <c r="A146" s="1" t="s">
        <v>312</v>
      </c>
      <c r="B146" s="13">
        <v>46084</v>
      </c>
      <c r="C146" s="12" t="s">
        <v>135</v>
      </c>
      <c r="D146" s="8" t="s">
        <v>135</v>
      </c>
      <c r="E146" s="8" t="s">
        <v>24</v>
      </c>
      <c r="F146" s="14" t="s">
        <v>304</v>
      </c>
      <c r="G146" s="15" t="s">
        <v>305</v>
      </c>
      <c r="H146" s="15" t="s">
        <v>306</v>
      </c>
      <c r="I146" s="13" t="s">
        <v>38</v>
      </c>
      <c r="J146" s="9" t="s">
        <v>34</v>
      </c>
      <c r="K146" s="35" t="s">
        <v>42</v>
      </c>
      <c r="L146" s="7">
        <v>46115</v>
      </c>
      <c r="M146" s="13">
        <v>46084</v>
      </c>
      <c r="N146" s="20">
        <f>Table1[[#This Row],[Completion Date]]-Table1[[#This Row],[Date Logged]]</f>
        <v>0</v>
      </c>
      <c r="O146" s="13" t="s">
        <v>58</v>
      </c>
      <c r="P146" s="12" t="s">
        <v>161</v>
      </c>
      <c r="Q146" s="1" t="s">
        <v>130</v>
      </c>
      <c r="R146" s="2" t="s">
        <v>131</v>
      </c>
      <c r="S146" s="2" t="s">
        <v>131</v>
      </c>
      <c r="T146" s="15" t="s">
        <v>132</v>
      </c>
      <c r="U146" s="12"/>
    </row>
    <row r="147" spans="1:21" ht="78" x14ac:dyDescent="0.3">
      <c r="A147" s="1" t="s">
        <v>313</v>
      </c>
      <c r="B147" s="13">
        <v>46084</v>
      </c>
      <c r="C147" s="12" t="s">
        <v>135</v>
      </c>
      <c r="D147" s="8" t="s">
        <v>135</v>
      </c>
      <c r="E147" s="8" t="s">
        <v>24</v>
      </c>
      <c r="F147" s="14" t="s">
        <v>304</v>
      </c>
      <c r="G147" s="2" t="s">
        <v>305</v>
      </c>
      <c r="H147" s="15" t="s">
        <v>306</v>
      </c>
      <c r="I147" s="13" t="s">
        <v>38</v>
      </c>
      <c r="J147" s="9" t="s">
        <v>35</v>
      </c>
      <c r="K147" s="35" t="s">
        <v>135</v>
      </c>
      <c r="L147" s="7">
        <v>46115</v>
      </c>
      <c r="M147" s="13">
        <v>46084</v>
      </c>
      <c r="N147" s="20">
        <f>Table1[[#This Row],[Completion Date]]-Table1[[#This Row],[Date Logged]]</f>
        <v>0</v>
      </c>
      <c r="O147" s="13" t="s">
        <v>58</v>
      </c>
      <c r="P147" s="12" t="s">
        <v>161</v>
      </c>
      <c r="Q147" s="1" t="s">
        <v>130</v>
      </c>
      <c r="R147" s="2" t="s">
        <v>131</v>
      </c>
      <c r="S147" s="2" t="s">
        <v>131</v>
      </c>
      <c r="T147" s="15" t="s">
        <v>132</v>
      </c>
      <c r="U147" s="12"/>
    </row>
    <row r="148" spans="1:21" ht="78" x14ac:dyDescent="0.3">
      <c r="A148" s="1" t="s">
        <v>314</v>
      </c>
      <c r="B148" s="13">
        <v>46084</v>
      </c>
      <c r="C148" s="12" t="s">
        <v>135</v>
      </c>
      <c r="D148" s="8" t="s">
        <v>135</v>
      </c>
      <c r="E148" s="8" t="s">
        <v>24</v>
      </c>
      <c r="F148" s="14" t="s">
        <v>304</v>
      </c>
      <c r="G148" s="15" t="s">
        <v>305</v>
      </c>
      <c r="H148" s="15" t="s">
        <v>306</v>
      </c>
      <c r="I148" s="13" t="s">
        <v>38</v>
      </c>
      <c r="J148" s="9" t="s">
        <v>308</v>
      </c>
      <c r="K148" s="35" t="s">
        <v>135</v>
      </c>
      <c r="L148" s="7">
        <v>46115</v>
      </c>
      <c r="M148" s="13">
        <v>46084</v>
      </c>
      <c r="N148" s="20">
        <f>Table1[[#This Row],[Completion Date]]-Table1[[#This Row],[Date Logged]]</f>
        <v>0</v>
      </c>
      <c r="O148" s="13" t="s">
        <v>58</v>
      </c>
      <c r="P148" s="12" t="s">
        <v>161</v>
      </c>
      <c r="Q148" s="1" t="s">
        <v>130</v>
      </c>
      <c r="R148" s="2" t="s">
        <v>131</v>
      </c>
      <c r="S148" s="2" t="s">
        <v>131</v>
      </c>
      <c r="T148" s="15" t="s">
        <v>132</v>
      </c>
      <c r="U148" s="12"/>
    </row>
    <row r="149" spans="1:21" ht="78" x14ac:dyDescent="0.3">
      <c r="A149" s="1" t="s">
        <v>315</v>
      </c>
      <c r="B149" s="13">
        <v>46084</v>
      </c>
      <c r="C149" s="12" t="s">
        <v>135</v>
      </c>
      <c r="D149" s="8" t="s">
        <v>135</v>
      </c>
      <c r="E149" s="8" t="s">
        <v>24</v>
      </c>
      <c r="F149" s="24" t="s">
        <v>304</v>
      </c>
      <c r="G149" s="2" t="s">
        <v>305</v>
      </c>
      <c r="H149" s="15" t="s">
        <v>306</v>
      </c>
      <c r="I149" s="13" t="s">
        <v>38</v>
      </c>
      <c r="J149" s="9" t="s">
        <v>235</v>
      </c>
      <c r="K149" s="35" t="s">
        <v>135</v>
      </c>
      <c r="L149" s="7">
        <v>46115</v>
      </c>
      <c r="M149" s="13">
        <v>46084</v>
      </c>
      <c r="N149" s="20">
        <f>Table1[[#This Row],[Completion Date]]-Table1[[#This Row],[Date Logged]]</f>
        <v>0</v>
      </c>
      <c r="O149" s="13" t="s">
        <v>58</v>
      </c>
      <c r="P149" s="12" t="s">
        <v>161</v>
      </c>
      <c r="Q149" s="1" t="s">
        <v>130</v>
      </c>
      <c r="R149" s="2" t="s">
        <v>131</v>
      </c>
      <c r="S149" s="2" t="s">
        <v>131</v>
      </c>
      <c r="T149" s="15" t="s">
        <v>132</v>
      </c>
      <c r="U149" s="12"/>
    </row>
    <row r="150" spans="1:21" ht="78" x14ac:dyDescent="0.3">
      <c r="A150" s="1" t="s">
        <v>318</v>
      </c>
      <c r="B150" s="13">
        <v>46086</v>
      </c>
      <c r="C150" s="12" t="s">
        <v>135</v>
      </c>
      <c r="D150" s="8" t="s">
        <v>135</v>
      </c>
      <c r="E150" s="8" t="s">
        <v>24</v>
      </c>
      <c r="F150" s="24" t="s">
        <v>316</v>
      </c>
      <c r="G150" s="2" t="s">
        <v>305</v>
      </c>
      <c r="H150" s="15" t="s">
        <v>306</v>
      </c>
      <c r="I150" s="13" t="s">
        <v>38</v>
      </c>
      <c r="J150" s="9" t="s">
        <v>317</v>
      </c>
      <c r="K150" s="12" t="s">
        <v>135</v>
      </c>
      <c r="L150" s="7">
        <v>46086</v>
      </c>
      <c r="M150" s="13">
        <v>46086</v>
      </c>
      <c r="N150" s="20">
        <f>Table1[[#This Row],[Completion Date]]-Table1[[#This Row],[Date Logged]]</f>
        <v>0</v>
      </c>
      <c r="O150" s="13" t="s">
        <v>58</v>
      </c>
      <c r="P150" s="12" t="s">
        <v>161</v>
      </c>
      <c r="Q150" s="1" t="s">
        <v>130</v>
      </c>
      <c r="R150" s="15" t="s">
        <v>131</v>
      </c>
      <c r="S150" s="15" t="s">
        <v>131</v>
      </c>
      <c r="T150" s="15" t="s">
        <v>132</v>
      </c>
      <c r="U150" s="12"/>
    </row>
    <row r="151" spans="1:21" ht="78" x14ac:dyDescent="0.3">
      <c r="A151" s="1" t="s">
        <v>319</v>
      </c>
      <c r="B151" s="13">
        <v>46086</v>
      </c>
      <c r="C151" s="12" t="s">
        <v>135</v>
      </c>
      <c r="D151" s="8" t="s">
        <v>135</v>
      </c>
      <c r="E151" s="8" t="s">
        <v>24</v>
      </c>
      <c r="F151" s="14" t="s">
        <v>316</v>
      </c>
      <c r="G151" s="15" t="s">
        <v>305</v>
      </c>
      <c r="H151" s="15" t="s">
        <v>306</v>
      </c>
      <c r="I151" s="13" t="s">
        <v>38</v>
      </c>
      <c r="J151" s="9" t="s">
        <v>261</v>
      </c>
      <c r="K151" s="12" t="s">
        <v>41</v>
      </c>
      <c r="L151" s="7">
        <v>46117</v>
      </c>
      <c r="M151" s="13">
        <v>46087</v>
      </c>
      <c r="N151" s="20">
        <f>Table1[[#This Row],[Completion Date]]-Table1[[#This Row],[Date Logged]]</f>
        <v>1</v>
      </c>
      <c r="O151" s="13" t="s">
        <v>58</v>
      </c>
      <c r="P151" s="12" t="s">
        <v>161</v>
      </c>
      <c r="Q151" s="12" t="s">
        <v>130</v>
      </c>
      <c r="R151" s="15" t="s">
        <v>131</v>
      </c>
      <c r="S151" s="15" t="s">
        <v>131</v>
      </c>
      <c r="T151" s="15" t="s">
        <v>132</v>
      </c>
      <c r="U151" s="12"/>
    </row>
    <row r="152" spans="1:21" ht="78" x14ac:dyDescent="0.3">
      <c r="A152" s="1" t="s">
        <v>320</v>
      </c>
      <c r="B152" s="13">
        <v>46086</v>
      </c>
      <c r="C152" s="12" t="s">
        <v>135</v>
      </c>
      <c r="D152" s="8" t="s">
        <v>135</v>
      </c>
      <c r="E152" s="8" t="s">
        <v>24</v>
      </c>
      <c r="F152" s="14" t="s">
        <v>316</v>
      </c>
      <c r="G152" s="15" t="s">
        <v>305</v>
      </c>
      <c r="H152" s="15" t="s">
        <v>306</v>
      </c>
      <c r="I152" s="13" t="s">
        <v>38</v>
      </c>
      <c r="J152" s="9" t="s">
        <v>158</v>
      </c>
      <c r="K152" s="12" t="s">
        <v>135</v>
      </c>
      <c r="L152" s="7">
        <v>46117</v>
      </c>
      <c r="M152" s="13">
        <v>46087</v>
      </c>
      <c r="N152" s="20">
        <f>Table1[[#This Row],[Completion Date]]-Table1[[#This Row],[Date Logged]]</f>
        <v>1</v>
      </c>
      <c r="O152" s="13" t="s">
        <v>58</v>
      </c>
      <c r="P152" s="12" t="s">
        <v>161</v>
      </c>
      <c r="Q152" s="12" t="s">
        <v>130</v>
      </c>
      <c r="R152" s="15" t="s">
        <v>131</v>
      </c>
      <c r="S152" s="15" t="s">
        <v>131</v>
      </c>
      <c r="T152" s="15" t="s">
        <v>132</v>
      </c>
      <c r="U152" s="12"/>
    </row>
    <row r="153" spans="1:21" ht="78" x14ac:dyDescent="0.3">
      <c r="A153" s="1" t="s">
        <v>321</v>
      </c>
      <c r="B153" s="13">
        <v>46086</v>
      </c>
      <c r="C153" s="12" t="s">
        <v>135</v>
      </c>
      <c r="D153" s="8" t="s">
        <v>135</v>
      </c>
      <c r="E153" s="8" t="s">
        <v>24</v>
      </c>
      <c r="F153" s="14" t="s">
        <v>316</v>
      </c>
      <c r="G153" s="15" t="s">
        <v>305</v>
      </c>
      <c r="H153" s="15" t="s">
        <v>306</v>
      </c>
      <c r="I153" s="13" t="s">
        <v>38</v>
      </c>
      <c r="J153" s="9" t="s">
        <v>34</v>
      </c>
      <c r="K153" s="12" t="s">
        <v>42</v>
      </c>
      <c r="L153" s="7">
        <v>46117</v>
      </c>
      <c r="M153" s="13">
        <v>46087</v>
      </c>
      <c r="N153" s="20">
        <f>Table1[[#This Row],[Completion Date]]-Table1[[#This Row],[Date Logged]]</f>
        <v>1</v>
      </c>
      <c r="O153" s="13" t="s">
        <v>58</v>
      </c>
      <c r="P153" s="12" t="s">
        <v>161</v>
      </c>
      <c r="Q153" s="12" t="s">
        <v>130</v>
      </c>
      <c r="R153" s="15" t="s">
        <v>131</v>
      </c>
      <c r="S153" s="15" t="s">
        <v>131</v>
      </c>
      <c r="T153" s="15" t="s">
        <v>132</v>
      </c>
      <c r="U153" s="12"/>
    </row>
    <row r="154" spans="1:21" ht="78" x14ac:dyDescent="0.3">
      <c r="A154" s="1" t="s">
        <v>322</v>
      </c>
      <c r="B154" s="13">
        <v>46086</v>
      </c>
      <c r="C154" s="12" t="s">
        <v>135</v>
      </c>
      <c r="D154" s="8" t="s">
        <v>135</v>
      </c>
      <c r="E154" s="8" t="s">
        <v>24</v>
      </c>
      <c r="F154" s="14" t="s">
        <v>316</v>
      </c>
      <c r="G154" s="15" t="s">
        <v>305</v>
      </c>
      <c r="H154" s="15" t="s">
        <v>306</v>
      </c>
      <c r="I154" s="13" t="s">
        <v>38</v>
      </c>
      <c r="J154" s="9" t="s">
        <v>35</v>
      </c>
      <c r="K154" s="12" t="s">
        <v>135</v>
      </c>
      <c r="L154" s="7">
        <v>46117</v>
      </c>
      <c r="M154" s="13">
        <v>46087</v>
      </c>
      <c r="N154" s="20">
        <f>Table1[[#This Row],[Completion Date]]-Table1[[#This Row],[Date Logged]]</f>
        <v>1</v>
      </c>
      <c r="O154" s="13" t="s">
        <v>58</v>
      </c>
      <c r="P154" s="12" t="s">
        <v>161</v>
      </c>
      <c r="Q154" s="12" t="s">
        <v>130</v>
      </c>
      <c r="R154" s="15" t="s">
        <v>131</v>
      </c>
      <c r="S154" s="15" t="s">
        <v>131</v>
      </c>
      <c r="T154" s="15" t="s">
        <v>132</v>
      </c>
      <c r="U154" s="12"/>
    </row>
    <row r="155" spans="1:21" ht="78" x14ac:dyDescent="0.3">
      <c r="A155" s="1" t="s">
        <v>323</v>
      </c>
      <c r="B155" s="13">
        <v>46086</v>
      </c>
      <c r="C155" s="12" t="s">
        <v>135</v>
      </c>
      <c r="D155" s="8" t="s">
        <v>135</v>
      </c>
      <c r="E155" s="8" t="s">
        <v>24</v>
      </c>
      <c r="F155" s="14" t="s">
        <v>316</v>
      </c>
      <c r="G155" s="15" t="s">
        <v>305</v>
      </c>
      <c r="H155" s="15" t="s">
        <v>306</v>
      </c>
      <c r="I155" s="13" t="s">
        <v>38</v>
      </c>
      <c r="J155" s="9" t="s">
        <v>308</v>
      </c>
      <c r="K155" s="12" t="s">
        <v>135</v>
      </c>
      <c r="L155" s="7">
        <v>46117</v>
      </c>
      <c r="M155" s="13">
        <v>46087</v>
      </c>
      <c r="N155" s="20">
        <f>Table1[[#This Row],[Completion Date]]-Table1[[#This Row],[Date Logged]]</f>
        <v>1</v>
      </c>
      <c r="O155" s="13" t="s">
        <v>58</v>
      </c>
      <c r="P155" s="12" t="s">
        <v>161</v>
      </c>
      <c r="Q155" s="12" t="s">
        <v>130</v>
      </c>
      <c r="R155" s="15" t="s">
        <v>131</v>
      </c>
      <c r="S155" s="15" t="s">
        <v>131</v>
      </c>
      <c r="T155" s="15" t="s">
        <v>132</v>
      </c>
      <c r="U155" s="12"/>
    </row>
    <row r="156" spans="1:21" ht="78" x14ac:dyDescent="0.3">
      <c r="A156" s="1" t="s">
        <v>324</v>
      </c>
      <c r="B156" s="13">
        <v>46086</v>
      </c>
      <c r="C156" s="12" t="s">
        <v>135</v>
      </c>
      <c r="D156" s="8" t="s">
        <v>135</v>
      </c>
      <c r="E156" s="8" t="s">
        <v>24</v>
      </c>
      <c r="F156" s="14" t="s">
        <v>316</v>
      </c>
      <c r="G156" s="15" t="s">
        <v>305</v>
      </c>
      <c r="H156" s="15" t="s">
        <v>306</v>
      </c>
      <c r="I156" s="13" t="s">
        <v>38</v>
      </c>
      <c r="J156" s="9" t="s">
        <v>235</v>
      </c>
      <c r="K156" s="12" t="s">
        <v>135</v>
      </c>
      <c r="L156" s="7">
        <v>46117</v>
      </c>
      <c r="M156" s="13">
        <v>46087</v>
      </c>
      <c r="N156" s="20">
        <f>Table1[[#This Row],[Completion Date]]-Table1[[#This Row],[Date Logged]]</f>
        <v>1</v>
      </c>
      <c r="O156" s="13" t="s">
        <v>58</v>
      </c>
      <c r="P156" s="12" t="s">
        <v>161</v>
      </c>
      <c r="Q156" s="12" t="s">
        <v>130</v>
      </c>
      <c r="R156" s="15" t="s">
        <v>131</v>
      </c>
      <c r="S156" s="15" t="s">
        <v>131</v>
      </c>
      <c r="T156" s="15" t="s">
        <v>132</v>
      </c>
      <c r="U156" s="12"/>
    </row>
    <row r="157" spans="1:21" ht="409.6" x14ac:dyDescent="0.3">
      <c r="A157" s="1" t="s">
        <v>333</v>
      </c>
      <c r="B157" s="13">
        <v>46090</v>
      </c>
      <c r="C157" s="1" t="s">
        <v>23</v>
      </c>
      <c r="D157" s="8" t="s">
        <v>23</v>
      </c>
      <c r="E157" s="8" t="s">
        <v>24</v>
      </c>
      <c r="F157" s="24" t="s">
        <v>335</v>
      </c>
      <c r="G157" s="2" t="s">
        <v>336</v>
      </c>
      <c r="H157" s="2" t="s">
        <v>47</v>
      </c>
      <c r="I157" s="13" t="s">
        <v>38</v>
      </c>
      <c r="J157" s="9" t="s">
        <v>337</v>
      </c>
      <c r="K157" s="1" t="s">
        <v>23</v>
      </c>
      <c r="L157" s="7">
        <v>46129</v>
      </c>
      <c r="M157" s="13">
        <v>46127</v>
      </c>
      <c r="N157" s="20">
        <f>Table1[[#This Row],[Completion Date]]-Table1[[#This Row],[Date Logged]]</f>
        <v>37</v>
      </c>
      <c r="O157" s="13" t="s">
        <v>58</v>
      </c>
      <c r="P157" s="12" t="s">
        <v>161</v>
      </c>
      <c r="Q157" s="12" t="s">
        <v>131</v>
      </c>
      <c r="R157" s="15" t="s">
        <v>131</v>
      </c>
      <c r="S157" s="15" t="s">
        <v>131</v>
      </c>
      <c r="T157" s="15" t="s">
        <v>223</v>
      </c>
      <c r="U157" s="1" t="s">
        <v>863</v>
      </c>
    </row>
    <row r="158" spans="1:21" ht="409.6" x14ac:dyDescent="0.3">
      <c r="A158" s="1" t="s">
        <v>334</v>
      </c>
      <c r="B158" s="13">
        <v>46090</v>
      </c>
      <c r="C158" s="12" t="s">
        <v>23</v>
      </c>
      <c r="D158" s="8" t="s">
        <v>23</v>
      </c>
      <c r="E158" s="8" t="s">
        <v>24</v>
      </c>
      <c r="F158" s="24" t="s">
        <v>335</v>
      </c>
      <c r="G158" s="2" t="s">
        <v>336</v>
      </c>
      <c r="H158" s="2" t="s">
        <v>47</v>
      </c>
      <c r="I158" s="13" t="s">
        <v>38</v>
      </c>
      <c r="J158" s="9" t="s">
        <v>338</v>
      </c>
      <c r="K158" s="1" t="s">
        <v>23</v>
      </c>
      <c r="L158" s="7">
        <v>46129</v>
      </c>
      <c r="M158" s="13">
        <v>46127</v>
      </c>
      <c r="N158" s="20">
        <f>Table1[[#This Row],[Completion Date]]-Table1[[#This Row],[Date Logged]]</f>
        <v>37</v>
      </c>
      <c r="O158" s="13" t="s">
        <v>58</v>
      </c>
      <c r="P158" s="12" t="s">
        <v>161</v>
      </c>
      <c r="Q158" s="12" t="s">
        <v>131</v>
      </c>
      <c r="R158" s="15" t="s">
        <v>131</v>
      </c>
      <c r="S158" s="15" t="s">
        <v>131</v>
      </c>
      <c r="T158" s="15" t="s">
        <v>223</v>
      </c>
      <c r="U158" s="1" t="s">
        <v>863</v>
      </c>
    </row>
    <row r="159" spans="1:21" ht="409.6" x14ac:dyDescent="0.3">
      <c r="A159" s="39" t="s">
        <v>505</v>
      </c>
      <c r="B159" s="40">
        <v>46090</v>
      </c>
      <c r="C159" s="39" t="s">
        <v>23</v>
      </c>
      <c r="D159" s="41" t="s">
        <v>23</v>
      </c>
      <c r="E159" s="41" t="s">
        <v>24</v>
      </c>
      <c r="F159" s="42" t="s">
        <v>335</v>
      </c>
      <c r="G159" s="43" t="s">
        <v>336</v>
      </c>
      <c r="H159" s="43" t="s">
        <v>47</v>
      </c>
      <c r="I159" s="40" t="s">
        <v>38</v>
      </c>
      <c r="J159" s="45" t="s">
        <v>508</v>
      </c>
      <c r="K159" s="39" t="s">
        <v>23</v>
      </c>
      <c r="L159" s="40">
        <v>46129</v>
      </c>
      <c r="M159" s="40">
        <v>46127</v>
      </c>
      <c r="N159" s="44"/>
      <c r="O159" s="40" t="s">
        <v>58</v>
      </c>
      <c r="P159" s="39" t="s">
        <v>161</v>
      </c>
      <c r="Q159" s="39" t="s">
        <v>131</v>
      </c>
      <c r="R159" s="43" t="s">
        <v>131</v>
      </c>
      <c r="S159" s="43" t="s">
        <v>131</v>
      </c>
      <c r="T159" s="43" t="s">
        <v>223</v>
      </c>
      <c r="U159" s="1" t="s">
        <v>863</v>
      </c>
    </row>
    <row r="160" spans="1:21" ht="409.6" x14ac:dyDescent="0.3">
      <c r="A160" s="39" t="s">
        <v>506</v>
      </c>
      <c r="B160" s="40">
        <v>46090</v>
      </c>
      <c r="C160" s="39" t="s">
        <v>23</v>
      </c>
      <c r="D160" s="41" t="s">
        <v>23</v>
      </c>
      <c r="E160" s="41" t="s">
        <v>24</v>
      </c>
      <c r="F160" s="42" t="s">
        <v>335</v>
      </c>
      <c r="G160" s="43" t="s">
        <v>336</v>
      </c>
      <c r="H160" s="43" t="s">
        <v>47</v>
      </c>
      <c r="I160" s="40" t="s">
        <v>38</v>
      </c>
      <c r="J160" s="45" t="s">
        <v>507</v>
      </c>
      <c r="K160" s="39" t="s">
        <v>23</v>
      </c>
      <c r="L160" s="40">
        <v>46129</v>
      </c>
      <c r="M160" s="40">
        <v>46127</v>
      </c>
      <c r="N160" s="44"/>
      <c r="O160" s="40" t="s">
        <v>58</v>
      </c>
      <c r="P160" s="39" t="s">
        <v>161</v>
      </c>
      <c r="Q160" s="39" t="s">
        <v>131</v>
      </c>
      <c r="R160" s="43" t="s">
        <v>131</v>
      </c>
      <c r="S160" s="43" t="s">
        <v>131</v>
      </c>
      <c r="T160" s="43" t="s">
        <v>223</v>
      </c>
      <c r="U160" s="1" t="s">
        <v>863</v>
      </c>
    </row>
    <row r="161" spans="1:21" ht="66" x14ac:dyDescent="0.3">
      <c r="A161" s="1" t="s">
        <v>370</v>
      </c>
      <c r="B161" s="13">
        <v>46091</v>
      </c>
      <c r="C161" s="1" t="s">
        <v>41</v>
      </c>
      <c r="D161" s="8" t="s">
        <v>44</v>
      </c>
      <c r="E161" s="8" t="s">
        <v>24</v>
      </c>
      <c r="F161" s="24" t="s">
        <v>367</v>
      </c>
      <c r="G161" s="37" t="s">
        <v>369</v>
      </c>
      <c r="H161" s="2" t="s">
        <v>368</v>
      </c>
      <c r="I161" s="13" t="s">
        <v>38</v>
      </c>
      <c r="J161" s="68" t="s">
        <v>191</v>
      </c>
      <c r="K161" s="12" t="s">
        <v>196</v>
      </c>
      <c r="L161" s="7">
        <v>46120</v>
      </c>
      <c r="M161" s="13">
        <v>46092</v>
      </c>
      <c r="N161" s="20">
        <f>Table1[[#This Row],[Completion Date]]-Table1[[#This Row],[Date Logged]]</f>
        <v>1</v>
      </c>
      <c r="O161" s="13" t="s">
        <v>58</v>
      </c>
      <c r="P161" s="1" t="s">
        <v>161</v>
      </c>
      <c r="Q161" s="1" t="s">
        <v>131</v>
      </c>
      <c r="R161" s="2" t="s">
        <v>131</v>
      </c>
      <c r="S161" s="2" t="s">
        <v>131</v>
      </c>
      <c r="T161" s="15" t="s">
        <v>223</v>
      </c>
      <c r="U161" s="1" t="s">
        <v>504</v>
      </c>
    </row>
    <row r="162" spans="1:21" ht="66" x14ac:dyDescent="0.3">
      <c r="A162" s="1" t="s">
        <v>371</v>
      </c>
      <c r="B162" s="13">
        <v>46091</v>
      </c>
      <c r="C162" s="12" t="s">
        <v>41</v>
      </c>
      <c r="D162" s="8" t="s">
        <v>44</v>
      </c>
      <c r="E162" s="8" t="s">
        <v>24</v>
      </c>
      <c r="F162" s="14" t="s">
        <v>367</v>
      </c>
      <c r="G162" s="37" t="s">
        <v>369</v>
      </c>
      <c r="H162" s="15" t="s">
        <v>368</v>
      </c>
      <c r="I162" s="13" t="s">
        <v>38</v>
      </c>
      <c r="J162" s="68" t="s">
        <v>192</v>
      </c>
      <c r="K162" s="12" t="s">
        <v>196</v>
      </c>
      <c r="L162" s="7">
        <v>46120</v>
      </c>
      <c r="M162" s="13">
        <v>46092</v>
      </c>
      <c r="N162" s="20">
        <f>Table1[[#This Row],[Completion Date]]-Table1[[#This Row],[Date Logged]]</f>
        <v>1</v>
      </c>
      <c r="O162" s="13" t="s">
        <v>58</v>
      </c>
      <c r="P162" s="12" t="s">
        <v>161</v>
      </c>
      <c r="Q162" s="1" t="s">
        <v>131</v>
      </c>
      <c r="R162" s="15" t="s">
        <v>131</v>
      </c>
      <c r="S162" s="15" t="s">
        <v>131</v>
      </c>
      <c r="T162" s="15" t="s">
        <v>223</v>
      </c>
      <c r="U162" s="12" t="s">
        <v>504</v>
      </c>
    </row>
    <row r="163" spans="1:21" ht="66" x14ac:dyDescent="0.3">
      <c r="A163" s="1" t="s">
        <v>372</v>
      </c>
      <c r="B163" s="13">
        <v>46091</v>
      </c>
      <c r="C163" s="12" t="s">
        <v>41</v>
      </c>
      <c r="D163" s="8" t="s">
        <v>44</v>
      </c>
      <c r="E163" s="8" t="s">
        <v>24</v>
      </c>
      <c r="F163" s="14" t="s">
        <v>367</v>
      </c>
      <c r="G163" s="37" t="s">
        <v>369</v>
      </c>
      <c r="H163" s="15" t="s">
        <v>368</v>
      </c>
      <c r="I163" s="13" t="s">
        <v>38</v>
      </c>
      <c r="J163" s="68" t="s">
        <v>193</v>
      </c>
      <c r="K163" s="12" t="s">
        <v>42</v>
      </c>
      <c r="L163" s="7">
        <v>46121</v>
      </c>
      <c r="M163" s="13">
        <v>46114</v>
      </c>
      <c r="N163" s="20">
        <f>Table1[[#This Row],[Completion Date]]-Table1[[#This Row],[Date Logged]]</f>
        <v>23</v>
      </c>
      <c r="O163" s="13" t="s">
        <v>58</v>
      </c>
      <c r="P163" s="12" t="s">
        <v>161</v>
      </c>
      <c r="Q163" s="1" t="s">
        <v>131</v>
      </c>
      <c r="R163" s="15" t="s">
        <v>131</v>
      </c>
      <c r="S163" s="15" t="s">
        <v>131</v>
      </c>
      <c r="T163" s="15" t="s">
        <v>223</v>
      </c>
      <c r="U163" s="12" t="s">
        <v>504</v>
      </c>
    </row>
    <row r="164" spans="1:21" ht="66" x14ac:dyDescent="0.3">
      <c r="A164" s="1" t="s">
        <v>373</v>
      </c>
      <c r="B164" s="13">
        <v>46091</v>
      </c>
      <c r="C164" s="12" t="s">
        <v>41</v>
      </c>
      <c r="D164" s="8" t="s">
        <v>44</v>
      </c>
      <c r="E164" s="8" t="s">
        <v>24</v>
      </c>
      <c r="F164" s="14" t="s">
        <v>367</v>
      </c>
      <c r="G164" s="37" t="s">
        <v>369</v>
      </c>
      <c r="H164" s="15" t="s">
        <v>368</v>
      </c>
      <c r="I164" s="13" t="s">
        <v>38</v>
      </c>
      <c r="J164" s="68" t="s">
        <v>194</v>
      </c>
      <c r="K164" s="12" t="s">
        <v>42</v>
      </c>
      <c r="L164" s="7">
        <v>46121</v>
      </c>
      <c r="M164" s="13">
        <v>46114</v>
      </c>
      <c r="N164" s="20">
        <f>Table1[[#This Row],[Completion Date]]-Table1[[#This Row],[Date Logged]]</f>
        <v>23</v>
      </c>
      <c r="O164" s="13" t="s">
        <v>58</v>
      </c>
      <c r="P164" s="12" t="s">
        <v>161</v>
      </c>
      <c r="Q164" s="1" t="s">
        <v>131</v>
      </c>
      <c r="R164" s="15" t="s">
        <v>131</v>
      </c>
      <c r="S164" s="15" t="s">
        <v>131</v>
      </c>
      <c r="T164" s="15" t="s">
        <v>223</v>
      </c>
      <c r="U164" s="12" t="s">
        <v>504</v>
      </c>
    </row>
    <row r="165" spans="1:21" ht="66" x14ac:dyDescent="0.3">
      <c r="A165" s="1" t="s">
        <v>374</v>
      </c>
      <c r="B165" s="13">
        <v>46091</v>
      </c>
      <c r="C165" s="12" t="s">
        <v>41</v>
      </c>
      <c r="D165" s="8" t="s">
        <v>44</v>
      </c>
      <c r="E165" s="8" t="s">
        <v>24</v>
      </c>
      <c r="F165" s="14" t="s">
        <v>367</v>
      </c>
      <c r="G165" s="37" t="s">
        <v>369</v>
      </c>
      <c r="H165" s="15" t="s">
        <v>368</v>
      </c>
      <c r="I165" s="13" t="s">
        <v>38</v>
      </c>
      <c r="J165" s="68" t="s">
        <v>195</v>
      </c>
      <c r="K165" s="12" t="s">
        <v>42</v>
      </c>
      <c r="L165" s="7">
        <v>46121</v>
      </c>
      <c r="M165" s="13">
        <v>46115</v>
      </c>
      <c r="N165" s="20">
        <f>Table1[[#This Row],[Completion Date]]-Table1[[#This Row],[Date Logged]]</f>
        <v>24</v>
      </c>
      <c r="O165" s="13" t="s">
        <v>58</v>
      </c>
      <c r="P165" s="12" t="s">
        <v>161</v>
      </c>
      <c r="Q165" s="1" t="s">
        <v>131</v>
      </c>
      <c r="R165" s="15" t="s">
        <v>131</v>
      </c>
      <c r="S165" s="15" t="s">
        <v>131</v>
      </c>
      <c r="T165" s="15" t="s">
        <v>223</v>
      </c>
      <c r="U165" s="12" t="s">
        <v>504</v>
      </c>
    </row>
    <row r="166" spans="1:21" ht="82.2" customHeight="1" x14ac:dyDescent="0.3">
      <c r="A166" s="1" t="s">
        <v>375</v>
      </c>
      <c r="B166" s="13">
        <v>46092</v>
      </c>
      <c r="C166" s="1" t="s">
        <v>376</v>
      </c>
      <c r="D166" s="8" t="s">
        <v>376</v>
      </c>
      <c r="E166" s="8" t="s">
        <v>24</v>
      </c>
      <c r="F166" s="24" t="s">
        <v>377</v>
      </c>
      <c r="G166" s="37" t="s">
        <v>378</v>
      </c>
      <c r="H166" s="2" t="s">
        <v>47</v>
      </c>
      <c r="I166" s="13" t="s">
        <v>78</v>
      </c>
      <c r="J166" s="37" t="s">
        <v>382</v>
      </c>
      <c r="K166" s="1" t="s">
        <v>376</v>
      </c>
      <c r="L166" s="7">
        <v>46105</v>
      </c>
      <c r="M166" s="13">
        <v>46094</v>
      </c>
      <c r="N166" s="20">
        <f>Table1[[#This Row],[Completion Date]]-Table1[[#This Row],[Date Logged]]</f>
        <v>2</v>
      </c>
      <c r="O166" s="13" t="s">
        <v>58</v>
      </c>
      <c r="P166" s="1"/>
      <c r="Q166" s="12"/>
      <c r="R166" s="2" t="s">
        <v>131</v>
      </c>
      <c r="S166" s="15"/>
      <c r="T166" s="15" t="s">
        <v>133</v>
      </c>
      <c r="U166" s="12"/>
    </row>
    <row r="167" spans="1:21" ht="73.2" customHeight="1" x14ac:dyDescent="0.3">
      <c r="A167" s="1" t="s">
        <v>379</v>
      </c>
      <c r="B167" s="13">
        <v>46092</v>
      </c>
      <c r="C167" s="1" t="s">
        <v>376</v>
      </c>
      <c r="D167" s="8" t="s">
        <v>376</v>
      </c>
      <c r="E167" s="8" t="s">
        <v>24</v>
      </c>
      <c r="F167" s="24" t="s">
        <v>377</v>
      </c>
      <c r="G167" s="37" t="s">
        <v>378</v>
      </c>
      <c r="H167" s="2" t="s">
        <v>47</v>
      </c>
      <c r="I167" s="13" t="s">
        <v>78</v>
      </c>
      <c r="J167" s="38" t="s">
        <v>380</v>
      </c>
      <c r="K167" s="1" t="s">
        <v>376</v>
      </c>
      <c r="L167" s="7">
        <v>46295</v>
      </c>
      <c r="M167" s="13"/>
      <c r="N167" s="20">
        <f>Table1[[#This Row],[Completion Date]]-Table1[[#This Row],[Date Logged]]</f>
        <v>-46092</v>
      </c>
      <c r="O167" s="13" t="s">
        <v>59</v>
      </c>
      <c r="P167" s="12"/>
      <c r="Q167" s="12"/>
      <c r="R167" s="15"/>
      <c r="S167" s="15"/>
      <c r="T167" s="15" t="s">
        <v>133</v>
      </c>
      <c r="U167" s="12"/>
    </row>
    <row r="168" spans="1:21" ht="73.95" customHeight="1" x14ac:dyDescent="0.3">
      <c r="A168" s="1" t="s">
        <v>381</v>
      </c>
      <c r="B168" s="13">
        <v>46092</v>
      </c>
      <c r="C168" s="1" t="s">
        <v>376</v>
      </c>
      <c r="D168" s="8" t="s">
        <v>376</v>
      </c>
      <c r="E168" s="8" t="s">
        <v>24</v>
      </c>
      <c r="F168" s="24" t="s">
        <v>377</v>
      </c>
      <c r="G168" s="37" t="s">
        <v>378</v>
      </c>
      <c r="H168" s="2" t="s">
        <v>47</v>
      </c>
      <c r="I168" s="13" t="s">
        <v>78</v>
      </c>
      <c r="J168" s="38" t="s">
        <v>384</v>
      </c>
      <c r="K168" s="1" t="s">
        <v>376</v>
      </c>
      <c r="L168" s="7">
        <v>46251</v>
      </c>
      <c r="M168" s="13">
        <v>46251</v>
      </c>
      <c r="N168" s="20">
        <f>Table1[[#This Row],[Completion Date]]-Table1[[#This Row],[Date Logged]]</f>
        <v>159</v>
      </c>
      <c r="O168" s="13" t="s">
        <v>58</v>
      </c>
      <c r="P168" s="1"/>
      <c r="Q168" s="12"/>
      <c r="R168" s="2" t="s">
        <v>131</v>
      </c>
      <c r="S168" s="15"/>
      <c r="T168" s="15" t="s">
        <v>133</v>
      </c>
      <c r="U168" s="12"/>
    </row>
    <row r="169" spans="1:21" ht="69" customHeight="1" x14ac:dyDescent="0.3">
      <c r="A169" s="1" t="s">
        <v>429</v>
      </c>
      <c r="B169" s="13">
        <v>46094</v>
      </c>
      <c r="C169" s="1" t="s">
        <v>135</v>
      </c>
      <c r="D169" s="8" t="s">
        <v>135</v>
      </c>
      <c r="E169" s="8" t="s">
        <v>24</v>
      </c>
      <c r="F169" s="24" t="s">
        <v>385</v>
      </c>
      <c r="G169" s="37" t="s">
        <v>386</v>
      </c>
      <c r="H169" s="2" t="s">
        <v>47</v>
      </c>
      <c r="I169" s="13" t="s">
        <v>38</v>
      </c>
      <c r="J169" s="38" t="s">
        <v>420</v>
      </c>
      <c r="K169" s="1" t="s">
        <v>135</v>
      </c>
      <c r="L169" s="7">
        <v>46111</v>
      </c>
      <c r="M169" s="13">
        <v>46111</v>
      </c>
      <c r="N169" s="20">
        <f>Table1[[#This Row],[Completion Date]]-Table1[[#This Row],[Date Logged]]</f>
        <v>17</v>
      </c>
      <c r="O169" s="13" t="s">
        <v>58</v>
      </c>
      <c r="P169" s="12"/>
      <c r="Q169" s="12"/>
      <c r="R169" s="15"/>
      <c r="S169" s="15"/>
      <c r="T169" s="15" t="s">
        <v>133</v>
      </c>
      <c r="U169" s="12"/>
    </row>
    <row r="170" spans="1:21" ht="69" customHeight="1" x14ac:dyDescent="0.3">
      <c r="A170" s="1" t="s">
        <v>430</v>
      </c>
      <c r="B170" s="40">
        <v>46094</v>
      </c>
      <c r="C170" s="39" t="s">
        <v>135</v>
      </c>
      <c r="D170" s="41" t="s">
        <v>135</v>
      </c>
      <c r="E170" s="41" t="s">
        <v>24</v>
      </c>
      <c r="F170" s="42" t="s">
        <v>385</v>
      </c>
      <c r="G170" s="43" t="s">
        <v>386</v>
      </c>
      <c r="H170" s="43" t="s">
        <v>47</v>
      </c>
      <c r="I170" s="40" t="s">
        <v>38</v>
      </c>
      <c r="J170" s="38" t="s">
        <v>421</v>
      </c>
      <c r="K170" s="1" t="s">
        <v>428</v>
      </c>
      <c r="L170" s="7">
        <v>46127</v>
      </c>
      <c r="M170" s="40">
        <v>46098</v>
      </c>
      <c r="N170" s="44"/>
      <c r="O170" s="40" t="s">
        <v>58</v>
      </c>
      <c r="P170" s="39"/>
      <c r="Q170" s="39"/>
      <c r="R170" s="43"/>
      <c r="S170" s="43"/>
      <c r="T170" s="15" t="s">
        <v>133</v>
      </c>
      <c r="U170" s="39"/>
    </row>
    <row r="171" spans="1:21" ht="69" customHeight="1" x14ac:dyDescent="0.3">
      <c r="A171" s="1" t="s">
        <v>431</v>
      </c>
      <c r="B171" s="40">
        <v>46094</v>
      </c>
      <c r="C171" s="39" t="s">
        <v>135</v>
      </c>
      <c r="D171" s="41" t="s">
        <v>135</v>
      </c>
      <c r="E171" s="41" t="s">
        <v>24</v>
      </c>
      <c r="F171" s="42" t="s">
        <v>385</v>
      </c>
      <c r="G171" s="43" t="s">
        <v>386</v>
      </c>
      <c r="H171" s="43" t="s">
        <v>47</v>
      </c>
      <c r="I171" s="40" t="s">
        <v>38</v>
      </c>
      <c r="J171" s="38" t="s">
        <v>422</v>
      </c>
      <c r="K171" s="1" t="s">
        <v>42</v>
      </c>
      <c r="L171" s="7">
        <v>46142</v>
      </c>
      <c r="M171" s="40">
        <v>46119</v>
      </c>
      <c r="N171" s="44"/>
      <c r="O171" s="40" t="s">
        <v>58</v>
      </c>
      <c r="P171" s="39"/>
      <c r="Q171" s="39"/>
      <c r="R171" s="43"/>
      <c r="S171" s="43"/>
      <c r="T171" s="15" t="s">
        <v>133</v>
      </c>
      <c r="U171" s="39"/>
    </row>
    <row r="172" spans="1:21" ht="69" customHeight="1" x14ac:dyDescent="0.3">
      <c r="A172" s="1" t="s">
        <v>432</v>
      </c>
      <c r="B172" s="40">
        <v>46094</v>
      </c>
      <c r="C172" s="39" t="s">
        <v>135</v>
      </c>
      <c r="D172" s="41" t="s">
        <v>135</v>
      </c>
      <c r="E172" s="41" t="s">
        <v>24</v>
      </c>
      <c r="F172" s="42" t="s">
        <v>385</v>
      </c>
      <c r="G172" s="43" t="s">
        <v>386</v>
      </c>
      <c r="H172" s="43" t="s">
        <v>47</v>
      </c>
      <c r="I172" s="40" t="s">
        <v>38</v>
      </c>
      <c r="J172" s="38" t="s">
        <v>423</v>
      </c>
      <c r="K172" s="1" t="s">
        <v>42</v>
      </c>
      <c r="L172" s="7">
        <v>46157</v>
      </c>
      <c r="M172" s="40">
        <v>46157</v>
      </c>
      <c r="N172" s="44"/>
      <c r="O172" s="40" t="s">
        <v>58</v>
      </c>
      <c r="P172" s="39"/>
      <c r="Q172" s="39"/>
      <c r="R172" s="43"/>
      <c r="S172" s="43"/>
      <c r="T172" s="15" t="s">
        <v>133</v>
      </c>
      <c r="U172" s="39"/>
    </row>
    <row r="173" spans="1:21" ht="69" customHeight="1" x14ac:dyDescent="0.3">
      <c r="A173" s="1" t="s">
        <v>433</v>
      </c>
      <c r="B173" s="40">
        <v>46094</v>
      </c>
      <c r="C173" s="39" t="s">
        <v>135</v>
      </c>
      <c r="D173" s="41" t="s">
        <v>135</v>
      </c>
      <c r="E173" s="41" t="s">
        <v>24</v>
      </c>
      <c r="F173" s="42" t="s">
        <v>385</v>
      </c>
      <c r="G173" s="43" t="s">
        <v>386</v>
      </c>
      <c r="H173" s="43" t="s">
        <v>47</v>
      </c>
      <c r="I173" s="40" t="s">
        <v>38</v>
      </c>
      <c r="J173" s="38" t="s">
        <v>424</v>
      </c>
      <c r="K173" s="1" t="s">
        <v>42</v>
      </c>
      <c r="L173" s="7">
        <v>46234</v>
      </c>
      <c r="M173" s="40"/>
      <c r="N173" s="44"/>
      <c r="O173" s="40" t="s">
        <v>59</v>
      </c>
      <c r="P173" s="39"/>
      <c r="Q173" s="39"/>
      <c r="R173" s="43"/>
      <c r="S173" s="43"/>
      <c r="T173" s="15" t="s">
        <v>133</v>
      </c>
      <c r="U173" s="39"/>
    </row>
    <row r="174" spans="1:21" ht="69" customHeight="1" x14ac:dyDescent="0.3">
      <c r="A174" s="1" t="s">
        <v>434</v>
      </c>
      <c r="B174" s="40">
        <v>46094</v>
      </c>
      <c r="C174" s="39" t="s">
        <v>135</v>
      </c>
      <c r="D174" s="41" t="s">
        <v>135</v>
      </c>
      <c r="E174" s="41" t="s">
        <v>24</v>
      </c>
      <c r="F174" s="42" t="s">
        <v>385</v>
      </c>
      <c r="G174" s="43" t="s">
        <v>386</v>
      </c>
      <c r="H174" s="43" t="s">
        <v>47</v>
      </c>
      <c r="I174" s="40" t="s">
        <v>38</v>
      </c>
      <c r="J174" s="38" t="s">
        <v>425</v>
      </c>
      <c r="K174" s="1" t="s">
        <v>135</v>
      </c>
      <c r="L174" s="7">
        <v>46234</v>
      </c>
      <c r="M174" s="40"/>
      <c r="N174" s="44"/>
      <c r="O174" s="40" t="s">
        <v>59</v>
      </c>
      <c r="P174" s="39"/>
      <c r="Q174" s="39"/>
      <c r="R174" s="43"/>
      <c r="S174" s="43"/>
      <c r="T174" s="15" t="s">
        <v>133</v>
      </c>
      <c r="U174" s="39"/>
    </row>
    <row r="175" spans="1:21" ht="69" customHeight="1" x14ac:dyDescent="0.3">
      <c r="A175" s="1" t="s">
        <v>435</v>
      </c>
      <c r="B175" s="40">
        <v>46094</v>
      </c>
      <c r="C175" s="39" t="s">
        <v>135</v>
      </c>
      <c r="D175" s="41" t="s">
        <v>135</v>
      </c>
      <c r="E175" s="41" t="s">
        <v>24</v>
      </c>
      <c r="F175" s="42" t="s">
        <v>385</v>
      </c>
      <c r="G175" s="43" t="s">
        <v>386</v>
      </c>
      <c r="H175" s="43" t="s">
        <v>47</v>
      </c>
      <c r="I175" s="40" t="s">
        <v>38</v>
      </c>
      <c r="J175" s="38" t="s">
        <v>426</v>
      </c>
      <c r="K175" s="1" t="s">
        <v>45</v>
      </c>
      <c r="L175" s="7">
        <v>46234</v>
      </c>
      <c r="M175" s="40"/>
      <c r="N175" s="44"/>
      <c r="O175" s="40" t="s">
        <v>59</v>
      </c>
      <c r="P175" s="39"/>
      <c r="Q175" s="39"/>
      <c r="R175" s="43"/>
      <c r="S175" s="43"/>
      <c r="T175" s="15" t="s">
        <v>133</v>
      </c>
      <c r="U175" s="39"/>
    </row>
    <row r="176" spans="1:21" ht="69" customHeight="1" x14ac:dyDescent="0.3">
      <c r="A176" s="1" t="s">
        <v>436</v>
      </c>
      <c r="B176" s="40">
        <v>46094</v>
      </c>
      <c r="C176" s="39" t="s">
        <v>135</v>
      </c>
      <c r="D176" s="41" t="s">
        <v>135</v>
      </c>
      <c r="E176" s="41" t="s">
        <v>24</v>
      </c>
      <c r="F176" s="42" t="s">
        <v>385</v>
      </c>
      <c r="G176" s="43" t="s">
        <v>386</v>
      </c>
      <c r="H176" s="43" t="s">
        <v>47</v>
      </c>
      <c r="I176" s="40" t="s">
        <v>38</v>
      </c>
      <c r="J176" s="38" t="s">
        <v>427</v>
      </c>
      <c r="K176" s="1" t="s">
        <v>135</v>
      </c>
      <c r="L176" s="7">
        <v>46234</v>
      </c>
      <c r="M176" s="40"/>
      <c r="N176" s="44"/>
      <c r="O176" s="40" t="s">
        <v>59</v>
      </c>
      <c r="P176" s="39"/>
      <c r="Q176" s="39"/>
      <c r="R176" s="43"/>
      <c r="S176" s="43"/>
      <c r="T176" s="15" t="s">
        <v>133</v>
      </c>
      <c r="U176" s="39"/>
    </row>
    <row r="177" spans="1:21" ht="45" x14ac:dyDescent="0.3">
      <c r="A177" s="12" t="s">
        <v>388</v>
      </c>
      <c r="B177" s="13">
        <v>46094</v>
      </c>
      <c r="C177" s="1" t="s">
        <v>146</v>
      </c>
      <c r="D177" s="8" t="s">
        <v>146</v>
      </c>
      <c r="E177" s="8" t="s">
        <v>24</v>
      </c>
      <c r="F177" s="24" t="s">
        <v>494</v>
      </c>
      <c r="G177" s="2" t="s">
        <v>445</v>
      </c>
      <c r="H177" s="2" t="s">
        <v>455</v>
      </c>
      <c r="I177" s="13"/>
      <c r="J177" s="68"/>
      <c r="K177" s="12"/>
      <c r="L177" s="7"/>
      <c r="M177" s="13"/>
      <c r="N177" s="20">
        <f>Table1[[#This Row],[Completion Date]]-Table1[[#This Row],[Date Logged]]</f>
        <v>-46094</v>
      </c>
      <c r="O177" s="13" t="s">
        <v>59</v>
      </c>
      <c r="P177" s="12"/>
      <c r="Q177" s="12"/>
      <c r="R177" s="15"/>
      <c r="S177" s="15"/>
      <c r="T177" s="15" t="s">
        <v>70</v>
      </c>
      <c r="U177" s="12"/>
    </row>
    <row r="178" spans="1:21" ht="78" x14ac:dyDescent="0.3">
      <c r="A178" s="1" t="s">
        <v>389</v>
      </c>
      <c r="B178" s="13">
        <v>46105</v>
      </c>
      <c r="C178" s="1" t="s">
        <v>23</v>
      </c>
      <c r="D178" s="8" t="s">
        <v>23</v>
      </c>
      <c r="E178" s="8" t="s">
        <v>24</v>
      </c>
      <c r="F178" s="24" t="s">
        <v>396</v>
      </c>
      <c r="G178" s="2" t="s">
        <v>397</v>
      </c>
      <c r="H178" s="2" t="s">
        <v>398</v>
      </c>
      <c r="I178" s="13" t="s">
        <v>38</v>
      </c>
      <c r="J178" s="9" t="s">
        <v>400</v>
      </c>
      <c r="K178" s="1" t="s">
        <v>23</v>
      </c>
      <c r="L178" s="7">
        <v>46105</v>
      </c>
      <c r="M178" s="13">
        <v>46105</v>
      </c>
      <c r="N178" s="20">
        <f>Table1[[#This Row],[Completion Date]]-Table1[[#This Row],[Date Logged]]</f>
        <v>0</v>
      </c>
      <c r="O178" s="13" t="s">
        <v>58</v>
      </c>
      <c r="P178" s="1" t="s">
        <v>161</v>
      </c>
      <c r="Q178" s="1" t="s">
        <v>130</v>
      </c>
      <c r="R178" s="2" t="s">
        <v>131</v>
      </c>
      <c r="S178" s="2" t="s">
        <v>131</v>
      </c>
      <c r="T178" s="15" t="s">
        <v>132</v>
      </c>
      <c r="U178" s="12"/>
    </row>
    <row r="179" spans="1:21" ht="78" x14ac:dyDescent="0.3">
      <c r="A179" s="1" t="s">
        <v>390</v>
      </c>
      <c r="B179" s="13">
        <v>46105</v>
      </c>
      <c r="C179" s="12" t="s">
        <v>23</v>
      </c>
      <c r="D179" s="8" t="s">
        <v>23</v>
      </c>
      <c r="E179" s="8" t="s">
        <v>24</v>
      </c>
      <c r="F179" s="14" t="s">
        <v>396</v>
      </c>
      <c r="G179" s="15" t="s">
        <v>397</v>
      </c>
      <c r="H179" s="15" t="s">
        <v>398</v>
      </c>
      <c r="I179" s="13" t="s">
        <v>38</v>
      </c>
      <c r="J179" s="68" t="s">
        <v>261</v>
      </c>
      <c r="K179" s="12" t="s">
        <v>41</v>
      </c>
      <c r="L179" s="7">
        <v>46136</v>
      </c>
      <c r="M179" s="13">
        <v>46106</v>
      </c>
      <c r="N179" s="20">
        <f>Table1[[#This Row],[Completion Date]]-Table1[[#This Row],[Date Logged]]</f>
        <v>1</v>
      </c>
      <c r="O179" s="13" t="s">
        <v>58</v>
      </c>
      <c r="P179" s="1" t="s">
        <v>161</v>
      </c>
      <c r="Q179" s="1" t="s">
        <v>130</v>
      </c>
      <c r="R179" s="2" t="s">
        <v>131</v>
      </c>
      <c r="S179" s="2" t="s">
        <v>131</v>
      </c>
      <c r="T179" s="15" t="s">
        <v>132</v>
      </c>
      <c r="U179" s="12"/>
    </row>
    <row r="180" spans="1:21" ht="78" x14ac:dyDescent="0.3">
      <c r="A180" s="1" t="s">
        <v>391</v>
      </c>
      <c r="B180" s="13">
        <v>46105</v>
      </c>
      <c r="C180" s="12" t="s">
        <v>23</v>
      </c>
      <c r="D180" s="8" t="s">
        <v>23</v>
      </c>
      <c r="E180" s="8" t="s">
        <v>24</v>
      </c>
      <c r="F180" s="14" t="s">
        <v>396</v>
      </c>
      <c r="G180" s="15" t="s">
        <v>397</v>
      </c>
      <c r="H180" s="15" t="s">
        <v>398</v>
      </c>
      <c r="I180" s="13" t="s">
        <v>38</v>
      </c>
      <c r="J180" s="68" t="s">
        <v>158</v>
      </c>
      <c r="K180" s="1" t="s">
        <v>23</v>
      </c>
      <c r="L180" s="7">
        <v>46136</v>
      </c>
      <c r="M180" s="13">
        <v>46106</v>
      </c>
      <c r="N180" s="20">
        <f>Table1[[#This Row],[Completion Date]]-Table1[[#This Row],[Date Logged]]</f>
        <v>1</v>
      </c>
      <c r="O180" s="13" t="s">
        <v>58</v>
      </c>
      <c r="P180" s="1" t="s">
        <v>161</v>
      </c>
      <c r="Q180" s="1" t="s">
        <v>130</v>
      </c>
      <c r="R180" s="2" t="s">
        <v>131</v>
      </c>
      <c r="S180" s="2" t="s">
        <v>131</v>
      </c>
      <c r="T180" s="15" t="s">
        <v>132</v>
      </c>
      <c r="U180" s="12"/>
    </row>
    <row r="181" spans="1:21" ht="78" x14ac:dyDescent="0.3">
      <c r="A181" s="1" t="s">
        <v>392</v>
      </c>
      <c r="B181" s="13">
        <v>46105</v>
      </c>
      <c r="C181" s="12" t="s">
        <v>23</v>
      </c>
      <c r="D181" s="8" t="s">
        <v>23</v>
      </c>
      <c r="E181" s="8" t="s">
        <v>24</v>
      </c>
      <c r="F181" s="14" t="s">
        <v>396</v>
      </c>
      <c r="G181" s="15" t="s">
        <v>397</v>
      </c>
      <c r="H181" s="15" t="s">
        <v>398</v>
      </c>
      <c r="I181" s="13" t="s">
        <v>38</v>
      </c>
      <c r="J181" s="68" t="s">
        <v>34</v>
      </c>
      <c r="K181" s="12" t="s">
        <v>42</v>
      </c>
      <c r="L181" s="7">
        <v>46136</v>
      </c>
      <c r="M181" s="13">
        <v>46111</v>
      </c>
      <c r="N181" s="20">
        <f>Table1[[#This Row],[Completion Date]]-Table1[[#This Row],[Date Logged]]</f>
        <v>6</v>
      </c>
      <c r="O181" s="13" t="s">
        <v>58</v>
      </c>
      <c r="P181" s="1" t="s">
        <v>161</v>
      </c>
      <c r="Q181" s="1" t="s">
        <v>130</v>
      </c>
      <c r="R181" s="2" t="s">
        <v>131</v>
      </c>
      <c r="S181" s="2" t="s">
        <v>131</v>
      </c>
      <c r="T181" s="15" t="s">
        <v>132</v>
      </c>
      <c r="U181" s="12"/>
    </row>
    <row r="182" spans="1:21" ht="78" x14ac:dyDescent="0.3">
      <c r="A182" s="1" t="s">
        <v>393</v>
      </c>
      <c r="B182" s="13">
        <v>46105</v>
      </c>
      <c r="C182" s="12" t="s">
        <v>23</v>
      </c>
      <c r="D182" s="8" t="s">
        <v>23</v>
      </c>
      <c r="E182" s="8" t="s">
        <v>24</v>
      </c>
      <c r="F182" s="14" t="s">
        <v>396</v>
      </c>
      <c r="G182" s="15" t="s">
        <v>397</v>
      </c>
      <c r="H182" s="15" t="s">
        <v>398</v>
      </c>
      <c r="I182" s="13" t="s">
        <v>38</v>
      </c>
      <c r="J182" s="68" t="s">
        <v>35</v>
      </c>
      <c r="K182" s="1" t="s">
        <v>23</v>
      </c>
      <c r="L182" s="7">
        <v>46136</v>
      </c>
      <c r="M182" s="13">
        <v>46106</v>
      </c>
      <c r="N182" s="20">
        <f>Table1[[#This Row],[Completion Date]]-Table1[[#This Row],[Date Logged]]</f>
        <v>1</v>
      </c>
      <c r="O182" s="13" t="s">
        <v>58</v>
      </c>
      <c r="P182" s="1" t="s">
        <v>161</v>
      </c>
      <c r="Q182" s="1" t="s">
        <v>130</v>
      </c>
      <c r="R182" s="2" t="s">
        <v>131</v>
      </c>
      <c r="S182" s="2" t="s">
        <v>131</v>
      </c>
      <c r="T182" s="15" t="s">
        <v>132</v>
      </c>
      <c r="U182" s="12"/>
    </row>
    <row r="183" spans="1:21" ht="78" x14ac:dyDescent="0.3">
      <c r="A183" s="1" t="s">
        <v>394</v>
      </c>
      <c r="B183" s="13">
        <v>46105</v>
      </c>
      <c r="C183" s="12" t="s">
        <v>23</v>
      </c>
      <c r="D183" s="8" t="s">
        <v>23</v>
      </c>
      <c r="E183" s="8" t="s">
        <v>24</v>
      </c>
      <c r="F183" s="14" t="s">
        <v>396</v>
      </c>
      <c r="G183" s="15" t="s">
        <v>397</v>
      </c>
      <c r="H183" s="15" t="s">
        <v>398</v>
      </c>
      <c r="I183" s="13" t="s">
        <v>38</v>
      </c>
      <c r="J183" s="9" t="s">
        <v>399</v>
      </c>
      <c r="K183" s="1" t="s">
        <v>23</v>
      </c>
      <c r="L183" s="7">
        <v>46136</v>
      </c>
      <c r="M183" s="13">
        <v>46111</v>
      </c>
      <c r="N183" s="20">
        <f>Table1[[#This Row],[Completion Date]]-Table1[[#This Row],[Date Logged]]</f>
        <v>6</v>
      </c>
      <c r="O183" s="13" t="s">
        <v>58</v>
      </c>
      <c r="P183" s="1" t="s">
        <v>161</v>
      </c>
      <c r="Q183" s="1" t="s">
        <v>130</v>
      </c>
      <c r="R183" s="2" t="s">
        <v>131</v>
      </c>
      <c r="S183" s="2" t="s">
        <v>131</v>
      </c>
      <c r="T183" s="15" t="s">
        <v>132</v>
      </c>
      <c r="U183" s="12"/>
    </row>
    <row r="184" spans="1:21" ht="78" x14ac:dyDescent="0.3">
      <c r="A184" s="1" t="s">
        <v>395</v>
      </c>
      <c r="B184" s="13">
        <v>46105</v>
      </c>
      <c r="C184" s="12" t="s">
        <v>23</v>
      </c>
      <c r="D184" s="8" t="s">
        <v>23</v>
      </c>
      <c r="E184" s="8" t="s">
        <v>24</v>
      </c>
      <c r="F184" s="14" t="s">
        <v>396</v>
      </c>
      <c r="G184" s="15" t="s">
        <v>397</v>
      </c>
      <c r="H184" s="15" t="s">
        <v>398</v>
      </c>
      <c r="I184" s="13" t="s">
        <v>38</v>
      </c>
      <c r="J184" s="68" t="s">
        <v>235</v>
      </c>
      <c r="K184" s="1" t="s">
        <v>23</v>
      </c>
      <c r="L184" s="7">
        <v>46136</v>
      </c>
      <c r="M184" s="13">
        <v>46111</v>
      </c>
      <c r="N184" s="20">
        <f>Table1[[#This Row],[Completion Date]]-Table1[[#This Row],[Date Logged]]</f>
        <v>6</v>
      </c>
      <c r="O184" s="13" t="s">
        <v>58</v>
      </c>
      <c r="P184" s="1" t="s">
        <v>161</v>
      </c>
      <c r="Q184" s="1" t="s">
        <v>130</v>
      </c>
      <c r="R184" s="2" t="s">
        <v>131</v>
      </c>
      <c r="S184" s="2" t="s">
        <v>131</v>
      </c>
      <c r="T184" s="15" t="s">
        <v>132</v>
      </c>
      <c r="U184" s="12"/>
    </row>
    <row r="185" spans="1:21" ht="78" x14ac:dyDescent="0.3">
      <c r="A185" s="1" t="s">
        <v>405</v>
      </c>
      <c r="B185" s="13">
        <v>46105</v>
      </c>
      <c r="C185" s="12" t="s">
        <v>23</v>
      </c>
      <c r="D185" s="8" t="s">
        <v>23</v>
      </c>
      <c r="E185" s="8" t="s">
        <v>24</v>
      </c>
      <c r="F185" s="24" t="s">
        <v>401</v>
      </c>
      <c r="G185" s="2" t="s">
        <v>402</v>
      </c>
      <c r="H185" s="15" t="s">
        <v>403</v>
      </c>
      <c r="I185" s="13" t="s">
        <v>38</v>
      </c>
      <c r="J185" s="9" t="s">
        <v>404</v>
      </c>
      <c r="K185" s="12" t="s">
        <v>23</v>
      </c>
      <c r="L185" s="7">
        <v>46105</v>
      </c>
      <c r="M185" s="13">
        <v>46105</v>
      </c>
      <c r="N185" s="20">
        <f>Table1[[#This Row],[Completion Date]]-Table1[[#This Row],[Date Logged]]</f>
        <v>0</v>
      </c>
      <c r="O185" s="13" t="s">
        <v>58</v>
      </c>
      <c r="P185" s="1" t="s">
        <v>161</v>
      </c>
      <c r="Q185" s="1" t="s">
        <v>130</v>
      </c>
      <c r="R185" s="2" t="s">
        <v>130</v>
      </c>
      <c r="S185" s="2" t="s">
        <v>131</v>
      </c>
      <c r="T185" s="15" t="s">
        <v>132</v>
      </c>
      <c r="U185" s="12"/>
    </row>
    <row r="186" spans="1:21" ht="78" x14ac:dyDescent="0.3">
      <c r="A186" s="1" t="s">
        <v>406</v>
      </c>
      <c r="B186" s="13">
        <v>46105</v>
      </c>
      <c r="C186" s="12" t="s">
        <v>23</v>
      </c>
      <c r="D186" s="8" t="s">
        <v>23</v>
      </c>
      <c r="E186" s="8" t="s">
        <v>24</v>
      </c>
      <c r="F186" s="14" t="s">
        <v>401</v>
      </c>
      <c r="G186" s="15" t="s">
        <v>402</v>
      </c>
      <c r="H186" s="2" t="s">
        <v>403</v>
      </c>
      <c r="I186" s="13" t="s">
        <v>38</v>
      </c>
      <c r="J186" s="68" t="s">
        <v>261</v>
      </c>
      <c r="K186" s="12" t="s">
        <v>41</v>
      </c>
      <c r="L186" s="7">
        <v>46136</v>
      </c>
      <c r="M186" s="7" t="s">
        <v>47</v>
      </c>
      <c r="N186" s="20" t="e">
        <f>Table1[[#This Row],[Completion Date]]-Table1[[#This Row],[Date Logged]]</f>
        <v>#VALUE!</v>
      </c>
      <c r="O186" s="13" t="s">
        <v>58</v>
      </c>
      <c r="P186" s="12" t="s">
        <v>161</v>
      </c>
      <c r="Q186" s="1" t="s">
        <v>130</v>
      </c>
      <c r="R186" s="15" t="s">
        <v>130</v>
      </c>
      <c r="S186" s="15" t="s">
        <v>131</v>
      </c>
      <c r="T186" s="15" t="s">
        <v>132</v>
      </c>
      <c r="U186" s="12"/>
    </row>
    <row r="187" spans="1:21" ht="78" x14ac:dyDescent="0.3">
      <c r="A187" s="1" t="s">
        <v>407</v>
      </c>
      <c r="B187" s="13">
        <v>46105</v>
      </c>
      <c r="C187" s="12" t="s">
        <v>23</v>
      </c>
      <c r="D187" s="8" t="s">
        <v>23</v>
      </c>
      <c r="E187" s="8" t="s">
        <v>24</v>
      </c>
      <c r="F187" s="14" t="s">
        <v>401</v>
      </c>
      <c r="G187" s="15" t="s">
        <v>402</v>
      </c>
      <c r="H187" s="15" t="s">
        <v>403</v>
      </c>
      <c r="I187" s="13" t="s">
        <v>38</v>
      </c>
      <c r="J187" s="68" t="s">
        <v>158</v>
      </c>
      <c r="K187" s="12" t="s">
        <v>23</v>
      </c>
      <c r="L187" s="7">
        <v>46136</v>
      </c>
      <c r="M187" s="7" t="s">
        <v>47</v>
      </c>
      <c r="N187" s="20" t="e">
        <f>Table1[[#This Row],[Completion Date]]-Table1[[#This Row],[Date Logged]]</f>
        <v>#VALUE!</v>
      </c>
      <c r="O187" s="13" t="s">
        <v>58</v>
      </c>
      <c r="P187" s="12" t="s">
        <v>161</v>
      </c>
      <c r="Q187" s="1" t="s">
        <v>130</v>
      </c>
      <c r="R187" s="15" t="s">
        <v>130</v>
      </c>
      <c r="S187" s="15" t="s">
        <v>131</v>
      </c>
      <c r="T187" s="15" t="s">
        <v>132</v>
      </c>
      <c r="U187" s="12"/>
    </row>
    <row r="188" spans="1:21" ht="78" x14ac:dyDescent="0.3">
      <c r="A188" s="1" t="s">
        <v>408</v>
      </c>
      <c r="B188" s="13">
        <v>46105</v>
      </c>
      <c r="C188" s="12" t="s">
        <v>23</v>
      </c>
      <c r="D188" s="8" t="s">
        <v>23</v>
      </c>
      <c r="E188" s="8" t="s">
        <v>24</v>
      </c>
      <c r="F188" s="14" t="s">
        <v>401</v>
      </c>
      <c r="G188" s="15" t="s">
        <v>402</v>
      </c>
      <c r="H188" s="15" t="s">
        <v>403</v>
      </c>
      <c r="I188" s="13" t="s">
        <v>38</v>
      </c>
      <c r="J188" s="68" t="s">
        <v>34</v>
      </c>
      <c r="K188" s="12" t="s">
        <v>42</v>
      </c>
      <c r="L188" s="7">
        <v>46136</v>
      </c>
      <c r="M188" s="7" t="s">
        <v>47</v>
      </c>
      <c r="N188" s="20" t="e">
        <f>Table1[[#This Row],[Completion Date]]-Table1[[#This Row],[Date Logged]]</f>
        <v>#VALUE!</v>
      </c>
      <c r="O188" s="13" t="s">
        <v>58</v>
      </c>
      <c r="P188" s="12" t="s">
        <v>161</v>
      </c>
      <c r="Q188" s="1" t="s">
        <v>130</v>
      </c>
      <c r="R188" s="15" t="s">
        <v>130</v>
      </c>
      <c r="S188" s="15" t="s">
        <v>131</v>
      </c>
      <c r="T188" s="15" t="s">
        <v>132</v>
      </c>
      <c r="U188" s="12"/>
    </row>
    <row r="189" spans="1:21" ht="78" x14ac:dyDescent="0.3">
      <c r="A189" s="1" t="s">
        <v>409</v>
      </c>
      <c r="B189" s="13">
        <v>46105</v>
      </c>
      <c r="C189" s="12" t="s">
        <v>23</v>
      </c>
      <c r="D189" s="8" t="s">
        <v>23</v>
      </c>
      <c r="E189" s="8" t="s">
        <v>24</v>
      </c>
      <c r="F189" s="14" t="s">
        <v>401</v>
      </c>
      <c r="G189" s="15" t="s">
        <v>402</v>
      </c>
      <c r="H189" s="15" t="s">
        <v>403</v>
      </c>
      <c r="I189" s="13" t="s">
        <v>38</v>
      </c>
      <c r="J189" s="68" t="s">
        <v>35</v>
      </c>
      <c r="K189" s="12" t="s">
        <v>23</v>
      </c>
      <c r="L189" s="7">
        <v>46136</v>
      </c>
      <c r="M189" s="7" t="s">
        <v>47</v>
      </c>
      <c r="N189" s="20" t="e">
        <f>Table1[[#This Row],[Completion Date]]-Table1[[#This Row],[Date Logged]]</f>
        <v>#VALUE!</v>
      </c>
      <c r="O189" s="13" t="s">
        <v>58</v>
      </c>
      <c r="P189" s="12" t="s">
        <v>161</v>
      </c>
      <c r="Q189" s="1" t="s">
        <v>130</v>
      </c>
      <c r="R189" s="15" t="s">
        <v>130</v>
      </c>
      <c r="S189" s="15" t="s">
        <v>131</v>
      </c>
      <c r="T189" s="15" t="s">
        <v>132</v>
      </c>
      <c r="U189" s="12"/>
    </row>
    <row r="190" spans="1:21" ht="78" x14ac:dyDescent="0.3">
      <c r="A190" s="1" t="s">
        <v>410</v>
      </c>
      <c r="B190" s="13">
        <v>46105</v>
      </c>
      <c r="C190" s="12" t="s">
        <v>23</v>
      </c>
      <c r="D190" s="8" t="s">
        <v>23</v>
      </c>
      <c r="E190" s="8" t="s">
        <v>24</v>
      </c>
      <c r="F190" s="14" t="s">
        <v>401</v>
      </c>
      <c r="G190" s="15" t="s">
        <v>402</v>
      </c>
      <c r="H190" s="15" t="s">
        <v>403</v>
      </c>
      <c r="I190" s="13" t="s">
        <v>38</v>
      </c>
      <c r="J190" s="9" t="s">
        <v>399</v>
      </c>
      <c r="K190" s="12" t="s">
        <v>23</v>
      </c>
      <c r="L190" s="7">
        <v>46136</v>
      </c>
      <c r="M190" s="7" t="s">
        <v>47</v>
      </c>
      <c r="N190" s="20" t="e">
        <f>Table1[[#This Row],[Completion Date]]-Table1[[#This Row],[Date Logged]]</f>
        <v>#VALUE!</v>
      </c>
      <c r="O190" s="13" t="s">
        <v>58</v>
      </c>
      <c r="P190" s="12" t="s">
        <v>161</v>
      </c>
      <c r="Q190" s="1" t="s">
        <v>130</v>
      </c>
      <c r="R190" s="15" t="s">
        <v>130</v>
      </c>
      <c r="S190" s="15" t="s">
        <v>131</v>
      </c>
      <c r="T190" s="15" t="s">
        <v>132</v>
      </c>
      <c r="U190" s="12"/>
    </row>
    <row r="191" spans="1:21" ht="78" x14ac:dyDescent="0.3">
      <c r="A191" s="1" t="s">
        <v>411</v>
      </c>
      <c r="B191" s="13">
        <v>46105</v>
      </c>
      <c r="C191" s="12" t="s">
        <v>23</v>
      </c>
      <c r="D191" s="8" t="s">
        <v>23</v>
      </c>
      <c r="E191" s="8" t="s">
        <v>24</v>
      </c>
      <c r="F191" s="14" t="s">
        <v>401</v>
      </c>
      <c r="G191" s="15" t="s">
        <v>402</v>
      </c>
      <c r="H191" s="15" t="s">
        <v>403</v>
      </c>
      <c r="I191" s="13" t="s">
        <v>38</v>
      </c>
      <c r="J191" s="68" t="s">
        <v>235</v>
      </c>
      <c r="K191" s="12" t="s">
        <v>23</v>
      </c>
      <c r="L191" s="7">
        <v>46136</v>
      </c>
      <c r="M191" s="7" t="s">
        <v>47</v>
      </c>
      <c r="N191" s="20" t="e">
        <f>N192=Table1[[#This Row],[Completion Date]]-Table1[[#This Row],[Date Logged]]</f>
        <v>#VALUE!</v>
      </c>
      <c r="O191" s="13" t="s">
        <v>58</v>
      </c>
      <c r="P191" s="12" t="s">
        <v>161</v>
      </c>
      <c r="Q191" s="1" t="s">
        <v>130</v>
      </c>
      <c r="R191" s="15" t="s">
        <v>130</v>
      </c>
      <c r="S191" s="15" t="s">
        <v>131</v>
      </c>
      <c r="T191" s="15" t="s">
        <v>132</v>
      </c>
      <c r="U191" s="12"/>
    </row>
    <row r="192" spans="1:21" ht="75" x14ac:dyDescent="0.3">
      <c r="A192" s="1" t="s">
        <v>464</v>
      </c>
      <c r="B192" s="13">
        <v>46120</v>
      </c>
      <c r="C192" s="1" t="s">
        <v>135</v>
      </c>
      <c r="D192" s="8" t="s">
        <v>135</v>
      </c>
      <c r="E192" s="8" t="s">
        <v>24</v>
      </c>
      <c r="F192" s="24" t="s">
        <v>439</v>
      </c>
      <c r="G192" s="2" t="s">
        <v>438</v>
      </c>
      <c r="H192" s="2" t="s">
        <v>440</v>
      </c>
      <c r="I192" s="13" t="s">
        <v>78</v>
      </c>
      <c r="J192" s="68" t="s">
        <v>458</v>
      </c>
      <c r="K192" s="1" t="s">
        <v>148</v>
      </c>
      <c r="L192" s="7">
        <v>46162</v>
      </c>
      <c r="M192" s="40">
        <v>46162</v>
      </c>
      <c r="N192" s="20">
        <f>Table1[[#This Row],[Completion Date]]-Table1[[#This Row],[Date Logged]]</f>
        <v>42</v>
      </c>
      <c r="O192" s="13" t="s">
        <v>58</v>
      </c>
      <c r="P192" s="1" t="s">
        <v>161</v>
      </c>
      <c r="Q192" s="1" t="s">
        <v>131</v>
      </c>
      <c r="R192" s="2" t="s">
        <v>131</v>
      </c>
      <c r="S192" s="2" t="s">
        <v>131</v>
      </c>
      <c r="T192" s="15" t="s">
        <v>223</v>
      </c>
      <c r="U192" s="1" t="s">
        <v>913</v>
      </c>
    </row>
    <row r="193" spans="1:21" ht="75" x14ac:dyDescent="0.3">
      <c r="A193" s="1" t="s">
        <v>465</v>
      </c>
      <c r="B193" s="13">
        <v>46120</v>
      </c>
      <c r="C193" s="1" t="s">
        <v>135</v>
      </c>
      <c r="D193" s="8" t="s">
        <v>135</v>
      </c>
      <c r="E193" s="8" t="s">
        <v>24</v>
      </c>
      <c r="F193" s="24" t="s">
        <v>439</v>
      </c>
      <c r="G193" s="2" t="s">
        <v>438</v>
      </c>
      <c r="H193" s="2" t="s">
        <v>440</v>
      </c>
      <c r="I193" s="13" t="s">
        <v>78</v>
      </c>
      <c r="J193" s="68" t="s">
        <v>459</v>
      </c>
      <c r="K193" s="12" t="s">
        <v>42</v>
      </c>
      <c r="L193" s="7">
        <v>46168</v>
      </c>
      <c r="M193" s="40">
        <v>46164</v>
      </c>
      <c r="N193" s="20">
        <f>Table1[[#This Row],[Completion Date]]-Table1[[#This Row],[Date Logged]]</f>
        <v>44</v>
      </c>
      <c r="O193" s="13" t="s">
        <v>58</v>
      </c>
      <c r="P193" s="1" t="s">
        <v>161</v>
      </c>
      <c r="Q193" s="1" t="s">
        <v>131</v>
      </c>
      <c r="R193" s="2" t="s">
        <v>131</v>
      </c>
      <c r="S193" s="2" t="s">
        <v>131</v>
      </c>
      <c r="T193" s="15" t="s">
        <v>223</v>
      </c>
      <c r="U193" s="1" t="s">
        <v>913</v>
      </c>
    </row>
    <row r="194" spans="1:21" ht="75" x14ac:dyDescent="0.3">
      <c r="A194" s="1" t="s">
        <v>466</v>
      </c>
      <c r="B194" s="40">
        <v>46120</v>
      </c>
      <c r="C194" s="39" t="s">
        <v>135</v>
      </c>
      <c r="D194" s="41" t="s">
        <v>135</v>
      </c>
      <c r="E194" s="41" t="s">
        <v>24</v>
      </c>
      <c r="F194" s="42" t="s">
        <v>439</v>
      </c>
      <c r="G194" s="43" t="s">
        <v>438</v>
      </c>
      <c r="H194" s="43" t="s">
        <v>440</v>
      </c>
      <c r="I194" s="40" t="s">
        <v>78</v>
      </c>
      <c r="J194" s="68" t="s">
        <v>460</v>
      </c>
      <c r="K194" s="1" t="s">
        <v>148</v>
      </c>
      <c r="L194" s="7">
        <v>46168</v>
      </c>
      <c r="M194" s="40">
        <v>46164</v>
      </c>
      <c r="N194" s="44">
        <f>Table1[[#This Row],[Completion Date]]-Table1[[#This Row],[Date Logged]]</f>
        <v>44</v>
      </c>
      <c r="O194" s="40" t="s">
        <v>58</v>
      </c>
      <c r="P194" s="1" t="s">
        <v>161</v>
      </c>
      <c r="Q194" s="1" t="s">
        <v>131</v>
      </c>
      <c r="R194" s="2" t="s">
        <v>131</v>
      </c>
      <c r="S194" s="2" t="s">
        <v>131</v>
      </c>
      <c r="T194" s="43" t="s">
        <v>223</v>
      </c>
      <c r="U194" s="1" t="s">
        <v>913</v>
      </c>
    </row>
    <row r="195" spans="1:21" ht="75" x14ac:dyDescent="0.3">
      <c r="A195" s="1" t="s">
        <v>467</v>
      </c>
      <c r="B195" s="40">
        <v>46120</v>
      </c>
      <c r="C195" s="39" t="s">
        <v>135</v>
      </c>
      <c r="D195" s="41" t="s">
        <v>135</v>
      </c>
      <c r="E195" s="41" t="s">
        <v>24</v>
      </c>
      <c r="F195" s="42" t="s">
        <v>439</v>
      </c>
      <c r="G195" s="43" t="s">
        <v>438</v>
      </c>
      <c r="H195" s="43" t="s">
        <v>440</v>
      </c>
      <c r="I195" s="40" t="s">
        <v>78</v>
      </c>
      <c r="J195" s="68" t="s">
        <v>461</v>
      </c>
      <c r="K195" s="1" t="s">
        <v>148</v>
      </c>
      <c r="L195" s="7">
        <v>46233</v>
      </c>
      <c r="M195" s="40">
        <v>46233</v>
      </c>
      <c r="N195" s="44">
        <f>Table1[[#This Row],[Completion Date]]-Table1[[#This Row],[Date Logged]]</f>
        <v>113</v>
      </c>
      <c r="O195" s="40" t="s">
        <v>58</v>
      </c>
      <c r="P195" s="1" t="s">
        <v>161</v>
      </c>
      <c r="Q195" s="1" t="s">
        <v>131</v>
      </c>
      <c r="R195" s="2" t="s">
        <v>131</v>
      </c>
      <c r="S195" s="2" t="s">
        <v>131</v>
      </c>
      <c r="T195" s="43" t="s">
        <v>223</v>
      </c>
      <c r="U195" s="1" t="s">
        <v>913</v>
      </c>
    </row>
    <row r="196" spans="1:21" ht="75" x14ac:dyDescent="0.3">
      <c r="A196" s="1" t="s">
        <v>468</v>
      </c>
      <c r="B196" s="40">
        <v>46120</v>
      </c>
      <c r="C196" s="39" t="s">
        <v>135</v>
      </c>
      <c r="D196" s="41" t="s">
        <v>135</v>
      </c>
      <c r="E196" s="41" t="s">
        <v>24</v>
      </c>
      <c r="F196" s="42" t="s">
        <v>439</v>
      </c>
      <c r="G196" s="43" t="s">
        <v>438</v>
      </c>
      <c r="H196" s="43" t="s">
        <v>440</v>
      </c>
      <c r="I196" s="40" t="s">
        <v>78</v>
      </c>
      <c r="J196" s="68" t="s">
        <v>462</v>
      </c>
      <c r="K196" s="1" t="s">
        <v>148</v>
      </c>
      <c r="L196" s="7">
        <v>46233</v>
      </c>
      <c r="M196" s="40">
        <v>46233</v>
      </c>
      <c r="N196" s="44">
        <f>Table1[[#This Row],[Completion Date]]-Table1[[#This Row],[Date Logged]]</f>
        <v>113</v>
      </c>
      <c r="O196" s="40" t="s">
        <v>58</v>
      </c>
      <c r="P196" s="1" t="s">
        <v>161</v>
      </c>
      <c r="Q196" s="1" t="s">
        <v>131</v>
      </c>
      <c r="R196" s="2" t="s">
        <v>131</v>
      </c>
      <c r="S196" s="2" t="s">
        <v>131</v>
      </c>
      <c r="T196" s="43" t="s">
        <v>223</v>
      </c>
      <c r="U196" s="1" t="s">
        <v>913</v>
      </c>
    </row>
    <row r="197" spans="1:21" ht="75" x14ac:dyDescent="0.3">
      <c r="A197" s="1" t="s">
        <v>469</v>
      </c>
      <c r="B197" s="40">
        <v>46120</v>
      </c>
      <c r="C197" s="39" t="s">
        <v>135</v>
      </c>
      <c r="D197" s="41" t="s">
        <v>135</v>
      </c>
      <c r="E197" s="41" t="s">
        <v>24</v>
      </c>
      <c r="F197" s="42" t="s">
        <v>439</v>
      </c>
      <c r="G197" s="43" t="s">
        <v>438</v>
      </c>
      <c r="H197" s="43" t="s">
        <v>440</v>
      </c>
      <c r="I197" s="40" t="s">
        <v>78</v>
      </c>
      <c r="J197" s="9" t="s">
        <v>914</v>
      </c>
      <c r="K197" s="1" t="s">
        <v>148</v>
      </c>
      <c r="L197" s="7">
        <v>46233</v>
      </c>
      <c r="M197" s="40">
        <v>46233</v>
      </c>
      <c r="N197" s="44">
        <f>Table1[[#This Row],[Completion Date]]-Table1[[#This Row],[Date Logged]]</f>
        <v>113</v>
      </c>
      <c r="O197" s="40" t="s">
        <v>58</v>
      </c>
      <c r="P197" s="1" t="s">
        <v>161</v>
      </c>
      <c r="Q197" s="1" t="s">
        <v>131</v>
      </c>
      <c r="R197" s="2" t="s">
        <v>131</v>
      </c>
      <c r="S197" s="2" t="s">
        <v>131</v>
      </c>
      <c r="T197" s="43" t="s">
        <v>223</v>
      </c>
      <c r="U197" s="1" t="s">
        <v>913</v>
      </c>
    </row>
    <row r="198" spans="1:21" ht="75" x14ac:dyDescent="0.3">
      <c r="A198" s="1" t="s">
        <v>470</v>
      </c>
      <c r="B198" s="40">
        <v>46120</v>
      </c>
      <c r="C198" s="39" t="s">
        <v>135</v>
      </c>
      <c r="D198" s="41" t="s">
        <v>135</v>
      </c>
      <c r="E198" s="41" t="s">
        <v>24</v>
      </c>
      <c r="F198" s="42" t="s">
        <v>439</v>
      </c>
      <c r="G198" s="2" t="s">
        <v>438</v>
      </c>
      <c r="H198" s="43" t="s">
        <v>440</v>
      </c>
      <c r="I198" s="40" t="s">
        <v>78</v>
      </c>
      <c r="J198" s="68" t="s">
        <v>463</v>
      </c>
      <c r="K198" s="1" t="s">
        <v>148</v>
      </c>
      <c r="L198" s="7">
        <v>46233</v>
      </c>
      <c r="M198" s="40">
        <v>46233</v>
      </c>
      <c r="N198" s="44">
        <f>Table1[[#This Row],[Completion Date]]-Table1[[#This Row],[Date Logged]]</f>
        <v>113</v>
      </c>
      <c r="O198" s="40" t="s">
        <v>58</v>
      </c>
      <c r="P198" s="1" t="s">
        <v>161</v>
      </c>
      <c r="Q198" s="1" t="s">
        <v>131</v>
      </c>
      <c r="R198" s="2" t="s">
        <v>131</v>
      </c>
      <c r="S198" s="2" t="s">
        <v>131</v>
      </c>
      <c r="T198" s="43" t="s">
        <v>223</v>
      </c>
      <c r="U198" s="1" t="s">
        <v>913</v>
      </c>
    </row>
    <row r="199" spans="1:21" ht="75" x14ac:dyDescent="0.3">
      <c r="A199" s="1" t="s">
        <v>471</v>
      </c>
      <c r="B199" s="13">
        <v>46120</v>
      </c>
      <c r="C199" s="12" t="s">
        <v>135</v>
      </c>
      <c r="D199" s="8" t="s">
        <v>135</v>
      </c>
      <c r="E199" s="8" t="s">
        <v>24</v>
      </c>
      <c r="F199" s="24" t="s">
        <v>441</v>
      </c>
      <c r="G199" s="2" t="s">
        <v>442</v>
      </c>
      <c r="H199" s="2" t="s">
        <v>443</v>
      </c>
      <c r="I199" s="13" t="s">
        <v>78</v>
      </c>
      <c r="J199" s="68" t="s">
        <v>478</v>
      </c>
      <c r="K199" s="1" t="s">
        <v>148</v>
      </c>
      <c r="L199" s="7">
        <v>46162</v>
      </c>
      <c r="M199" s="40">
        <v>46162</v>
      </c>
      <c r="N199" s="20">
        <f>Table1[[#This Row],[Completion Date]]-Table1[[#This Row],[Date Logged]]</f>
        <v>42</v>
      </c>
      <c r="O199" s="13" t="s">
        <v>58</v>
      </c>
      <c r="P199" s="1" t="s">
        <v>161</v>
      </c>
      <c r="Q199" s="1" t="s">
        <v>131</v>
      </c>
      <c r="R199" s="2" t="s">
        <v>131</v>
      </c>
      <c r="S199" s="2" t="s">
        <v>131</v>
      </c>
      <c r="T199" s="15" t="s">
        <v>223</v>
      </c>
      <c r="U199" s="2" t="s">
        <v>911</v>
      </c>
    </row>
    <row r="200" spans="1:21" ht="75" x14ac:dyDescent="0.3">
      <c r="A200" s="1" t="s">
        <v>472</v>
      </c>
      <c r="B200" s="7">
        <v>46120</v>
      </c>
      <c r="C200" s="1" t="s">
        <v>135</v>
      </c>
      <c r="D200" s="8" t="s">
        <v>135</v>
      </c>
      <c r="E200" s="8" t="s">
        <v>24</v>
      </c>
      <c r="F200" s="24" t="s">
        <v>441</v>
      </c>
      <c r="G200" s="2" t="s">
        <v>442</v>
      </c>
      <c r="H200" s="2" t="s">
        <v>443</v>
      </c>
      <c r="I200" s="7" t="s">
        <v>78</v>
      </c>
      <c r="J200" s="68" t="s">
        <v>479</v>
      </c>
      <c r="K200" s="12" t="s">
        <v>42</v>
      </c>
      <c r="L200" s="7">
        <v>46168</v>
      </c>
      <c r="M200" s="40">
        <v>46164</v>
      </c>
      <c r="N200" s="20">
        <f>Table1[[#This Row],[Completion Date]]-Table1[[#This Row],[Date Logged]]</f>
        <v>44</v>
      </c>
      <c r="O200" s="7" t="s">
        <v>58</v>
      </c>
      <c r="P200" s="1" t="s">
        <v>161</v>
      </c>
      <c r="Q200" s="1" t="s">
        <v>131</v>
      </c>
      <c r="R200" s="2" t="s">
        <v>131</v>
      </c>
      <c r="S200" s="2" t="s">
        <v>131</v>
      </c>
      <c r="T200" s="2" t="s">
        <v>223</v>
      </c>
      <c r="U200" s="2" t="s">
        <v>911</v>
      </c>
    </row>
    <row r="201" spans="1:21" ht="75" x14ac:dyDescent="0.3">
      <c r="A201" s="1" t="s">
        <v>473</v>
      </c>
      <c r="B201" s="7">
        <v>46120</v>
      </c>
      <c r="C201" s="1" t="s">
        <v>135</v>
      </c>
      <c r="D201" s="8" t="s">
        <v>135</v>
      </c>
      <c r="E201" s="8" t="s">
        <v>24</v>
      </c>
      <c r="F201" s="24" t="s">
        <v>441</v>
      </c>
      <c r="G201" s="2" t="s">
        <v>442</v>
      </c>
      <c r="H201" s="2" t="s">
        <v>443</v>
      </c>
      <c r="I201" s="7" t="s">
        <v>78</v>
      </c>
      <c r="J201" s="68" t="s">
        <v>460</v>
      </c>
      <c r="K201" s="1" t="s">
        <v>148</v>
      </c>
      <c r="L201" s="7">
        <v>46168</v>
      </c>
      <c r="M201" s="40">
        <v>46164</v>
      </c>
      <c r="N201" s="20">
        <f>Table1[[#This Row],[Completion Date]]-Table1[[#This Row],[Date Logged]]</f>
        <v>44</v>
      </c>
      <c r="O201" s="7" t="s">
        <v>58</v>
      </c>
      <c r="P201" s="1" t="s">
        <v>161</v>
      </c>
      <c r="Q201" s="1" t="s">
        <v>131</v>
      </c>
      <c r="R201" s="2" t="s">
        <v>131</v>
      </c>
      <c r="S201" s="2" t="s">
        <v>131</v>
      </c>
      <c r="T201" s="2" t="s">
        <v>223</v>
      </c>
      <c r="U201" s="2" t="s">
        <v>911</v>
      </c>
    </row>
    <row r="202" spans="1:21" ht="75" x14ac:dyDescent="0.3">
      <c r="A202" s="1" t="s">
        <v>474</v>
      </c>
      <c r="B202" s="7">
        <v>46120</v>
      </c>
      <c r="C202" s="1" t="s">
        <v>135</v>
      </c>
      <c r="D202" s="8" t="s">
        <v>135</v>
      </c>
      <c r="E202" s="8" t="s">
        <v>24</v>
      </c>
      <c r="F202" s="24" t="s">
        <v>441</v>
      </c>
      <c r="G202" s="2" t="s">
        <v>442</v>
      </c>
      <c r="H202" s="2" t="s">
        <v>443</v>
      </c>
      <c r="I202" s="7" t="s">
        <v>78</v>
      </c>
      <c r="J202" s="68" t="s">
        <v>480</v>
      </c>
      <c r="K202" s="1" t="s">
        <v>148</v>
      </c>
      <c r="L202" s="7">
        <v>46233</v>
      </c>
      <c r="M202" s="7">
        <v>46233</v>
      </c>
      <c r="N202" s="20">
        <f>Table1[[#This Row],[Completion Date]]-Table1[[#This Row],[Date Logged]]</f>
        <v>113</v>
      </c>
      <c r="O202" s="7" t="s">
        <v>58</v>
      </c>
      <c r="P202" s="1" t="s">
        <v>161</v>
      </c>
      <c r="Q202" s="1" t="s">
        <v>131</v>
      </c>
      <c r="R202" s="2" t="s">
        <v>131</v>
      </c>
      <c r="S202" s="2" t="s">
        <v>131</v>
      </c>
      <c r="T202" s="2" t="s">
        <v>223</v>
      </c>
      <c r="U202" s="2" t="s">
        <v>911</v>
      </c>
    </row>
    <row r="203" spans="1:21" ht="75" x14ac:dyDescent="0.3">
      <c r="A203" s="1" t="s">
        <v>475</v>
      </c>
      <c r="B203" s="7">
        <v>46120</v>
      </c>
      <c r="C203" s="1" t="s">
        <v>135</v>
      </c>
      <c r="D203" s="8" t="s">
        <v>135</v>
      </c>
      <c r="E203" s="8" t="s">
        <v>24</v>
      </c>
      <c r="F203" s="24" t="s">
        <v>441</v>
      </c>
      <c r="G203" s="2" t="s">
        <v>442</v>
      </c>
      <c r="H203" s="2" t="s">
        <v>443</v>
      </c>
      <c r="I203" s="7" t="s">
        <v>78</v>
      </c>
      <c r="J203" s="68" t="s">
        <v>481</v>
      </c>
      <c r="K203" s="1" t="s">
        <v>148</v>
      </c>
      <c r="L203" s="7">
        <v>46233</v>
      </c>
      <c r="M203" s="7">
        <v>46233</v>
      </c>
      <c r="N203" s="20">
        <f>Table1[[#This Row],[Completion Date]]-Table1[[#This Row],[Date Logged]]</f>
        <v>113</v>
      </c>
      <c r="O203" s="7" t="s">
        <v>58</v>
      </c>
      <c r="P203" s="1" t="s">
        <v>161</v>
      </c>
      <c r="Q203" s="1" t="s">
        <v>131</v>
      </c>
      <c r="R203" s="2" t="s">
        <v>131</v>
      </c>
      <c r="S203" s="2" t="s">
        <v>131</v>
      </c>
      <c r="T203" s="2" t="s">
        <v>223</v>
      </c>
      <c r="U203" s="2" t="s">
        <v>911</v>
      </c>
    </row>
    <row r="204" spans="1:21" ht="75" x14ac:dyDescent="0.3">
      <c r="A204" s="1" t="s">
        <v>476</v>
      </c>
      <c r="B204" s="7">
        <v>46120</v>
      </c>
      <c r="C204" s="1" t="s">
        <v>135</v>
      </c>
      <c r="D204" s="8" t="s">
        <v>135</v>
      </c>
      <c r="E204" s="8" t="s">
        <v>24</v>
      </c>
      <c r="F204" s="24" t="s">
        <v>441</v>
      </c>
      <c r="G204" s="2" t="s">
        <v>442</v>
      </c>
      <c r="H204" s="2" t="s">
        <v>443</v>
      </c>
      <c r="I204" s="7" t="s">
        <v>78</v>
      </c>
      <c r="J204" s="68" t="s">
        <v>482</v>
      </c>
      <c r="K204" s="1" t="s">
        <v>148</v>
      </c>
      <c r="L204" s="7">
        <v>46233</v>
      </c>
      <c r="M204" s="7">
        <v>46233</v>
      </c>
      <c r="N204" s="20">
        <f>Table1[[#This Row],[Completion Date]]-Table1[[#This Row],[Date Logged]]</f>
        <v>113</v>
      </c>
      <c r="O204" s="7" t="s">
        <v>58</v>
      </c>
      <c r="P204" s="1" t="s">
        <v>161</v>
      </c>
      <c r="Q204" s="1" t="s">
        <v>131</v>
      </c>
      <c r="R204" s="2" t="s">
        <v>131</v>
      </c>
      <c r="S204" s="2" t="s">
        <v>131</v>
      </c>
      <c r="T204" s="2" t="s">
        <v>223</v>
      </c>
      <c r="U204" s="2" t="s">
        <v>911</v>
      </c>
    </row>
    <row r="205" spans="1:21" ht="75" x14ac:dyDescent="0.3">
      <c r="A205" s="1" t="s">
        <v>477</v>
      </c>
      <c r="B205" s="7">
        <v>46120</v>
      </c>
      <c r="C205" s="1" t="s">
        <v>135</v>
      </c>
      <c r="D205" s="8" t="s">
        <v>135</v>
      </c>
      <c r="E205" s="8" t="s">
        <v>24</v>
      </c>
      <c r="F205" s="24" t="s">
        <v>441</v>
      </c>
      <c r="G205" s="2" t="s">
        <v>442</v>
      </c>
      <c r="H205" s="2" t="s">
        <v>443</v>
      </c>
      <c r="I205" s="7" t="s">
        <v>78</v>
      </c>
      <c r="J205" s="68" t="s">
        <v>463</v>
      </c>
      <c r="K205" s="1" t="s">
        <v>148</v>
      </c>
      <c r="L205" s="7">
        <v>46233</v>
      </c>
      <c r="M205" s="7">
        <v>46233</v>
      </c>
      <c r="N205" s="20">
        <f>Table1[[#This Row],[Completion Date]]-Table1[[#This Row],[Date Logged]]</f>
        <v>113</v>
      </c>
      <c r="O205" s="7" t="s">
        <v>58</v>
      </c>
      <c r="P205" s="1" t="s">
        <v>161</v>
      </c>
      <c r="Q205" s="1" t="s">
        <v>131</v>
      </c>
      <c r="R205" s="2" t="s">
        <v>131</v>
      </c>
      <c r="S205" s="2" t="s">
        <v>131</v>
      </c>
      <c r="T205" s="2" t="s">
        <v>223</v>
      </c>
      <c r="U205" s="2" t="s">
        <v>911</v>
      </c>
    </row>
    <row r="206" spans="1:21" ht="46.8" x14ac:dyDescent="0.3">
      <c r="A206" s="12" t="s">
        <v>446</v>
      </c>
      <c r="B206" s="13">
        <v>46120</v>
      </c>
      <c r="C206" s="1" t="s">
        <v>146</v>
      </c>
      <c r="D206" s="8" t="s">
        <v>146</v>
      </c>
      <c r="E206" s="8" t="s">
        <v>24</v>
      </c>
      <c r="F206" s="24" t="s">
        <v>495</v>
      </c>
      <c r="G206" s="2" t="s">
        <v>450</v>
      </c>
      <c r="H206" s="43"/>
      <c r="I206" s="13"/>
      <c r="J206" s="68"/>
      <c r="K206" s="12"/>
      <c r="L206" s="7"/>
      <c r="M206" s="13"/>
      <c r="N206" s="20">
        <f>Table1[[#This Row],[Completion Date]]-Table1[[#This Row],[Date Logged]]</f>
        <v>-46120</v>
      </c>
      <c r="O206" s="13" t="s">
        <v>59</v>
      </c>
      <c r="P206" s="12"/>
      <c r="Q206" s="12"/>
      <c r="R206" s="15"/>
      <c r="S206" s="15"/>
      <c r="T206" s="15" t="s">
        <v>70</v>
      </c>
      <c r="U206" s="12"/>
    </row>
    <row r="207" spans="1:21" ht="31.2" x14ac:dyDescent="0.3">
      <c r="A207" s="12" t="s">
        <v>447</v>
      </c>
      <c r="B207" s="13">
        <v>46120</v>
      </c>
      <c r="C207" s="1" t="s">
        <v>146</v>
      </c>
      <c r="D207" s="8" t="s">
        <v>146</v>
      </c>
      <c r="E207" s="8" t="s">
        <v>24</v>
      </c>
      <c r="F207" s="24" t="s">
        <v>496</v>
      </c>
      <c r="G207" s="2" t="s">
        <v>451</v>
      </c>
      <c r="H207" s="15" t="s">
        <v>457</v>
      </c>
      <c r="I207" s="13"/>
      <c r="J207" s="68"/>
      <c r="K207" s="12"/>
      <c r="L207" s="7"/>
      <c r="M207" s="13"/>
      <c r="N207" s="20">
        <f>Table1[[#This Row],[Completion Date]]-Table1[[#This Row],[Date Logged]]</f>
        <v>-46120</v>
      </c>
      <c r="O207" s="13" t="s">
        <v>59</v>
      </c>
      <c r="P207" s="12"/>
      <c r="Q207" s="12"/>
      <c r="R207" s="15"/>
      <c r="S207" s="15"/>
      <c r="T207" s="15" t="s">
        <v>70</v>
      </c>
      <c r="U207" s="12"/>
    </row>
    <row r="208" spans="1:21" ht="31.2" x14ac:dyDescent="0.3">
      <c r="A208" s="12" t="s">
        <v>448</v>
      </c>
      <c r="B208" s="7">
        <v>46121</v>
      </c>
      <c r="C208" s="1" t="s">
        <v>146</v>
      </c>
      <c r="D208" s="8" t="s">
        <v>146</v>
      </c>
      <c r="E208" s="8" t="s">
        <v>24</v>
      </c>
      <c r="F208" s="24" t="s">
        <v>497</v>
      </c>
      <c r="G208" s="2" t="s">
        <v>452</v>
      </c>
      <c r="H208" s="2" t="s">
        <v>456</v>
      </c>
      <c r="I208" s="13"/>
      <c r="J208" s="68"/>
      <c r="K208" s="12"/>
      <c r="L208" s="7"/>
      <c r="M208" s="13"/>
      <c r="N208" s="20">
        <f>Table1[[#This Row],[Completion Date]]-Table1[[#This Row],[Date Logged]]</f>
        <v>-46121</v>
      </c>
      <c r="O208" s="13" t="s">
        <v>59</v>
      </c>
      <c r="P208" s="12"/>
      <c r="Q208" s="12"/>
      <c r="R208" s="15"/>
      <c r="S208" s="15"/>
      <c r="T208" s="15" t="s">
        <v>70</v>
      </c>
      <c r="U208" s="12"/>
    </row>
    <row r="209" spans="1:21" ht="45" x14ac:dyDescent="0.3">
      <c r="A209" s="12" t="s">
        <v>449</v>
      </c>
      <c r="B209" s="13">
        <v>46121</v>
      </c>
      <c r="C209" s="1" t="s">
        <v>146</v>
      </c>
      <c r="D209" s="8" t="s">
        <v>146</v>
      </c>
      <c r="E209" s="8" t="s">
        <v>24</v>
      </c>
      <c r="F209" s="24" t="s">
        <v>498</v>
      </c>
      <c r="G209" s="2" t="s">
        <v>453</v>
      </c>
      <c r="H209" s="15"/>
      <c r="I209" s="13"/>
      <c r="J209" s="68"/>
      <c r="K209" s="12"/>
      <c r="L209" s="7"/>
      <c r="M209" s="13"/>
      <c r="N209" s="20">
        <f>Table1[[#This Row],[Completion Date]]-Table1[[#This Row],[Date Logged]]</f>
        <v>-46121</v>
      </c>
      <c r="O209" s="13" t="s">
        <v>59</v>
      </c>
      <c r="P209" s="12"/>
      <c r="Q209" s="12"/>
      <c r="R209" s="15"/>
      <c r="S209" s="15"/>
      <c r="T209" s="15" t="s">
        <v>70</v>
      </c>
      <c r="U209" s="12"/>
    </row>
    <row r="210" spans="1:21" ht="93.6" x14ac:dyDescent="0.3">
      <c r="A210" s="1" t="s">
        <v>543</v>
      </c>
      <c r="B210" s="13">
        <v>46122</v>
      </c>
      <c r="C210" s="1" t="s">
        <v>135</v>
      </c>
      <c r="D210" s="8" t="s">
        <v>135</v>
      </c>
      <c r="E210" s="8" t="s">
        <v>24</v>
      </c>
      <c r="F210" s="24" t="s">
        <v>483</v>
      </c>
      <c r="G210" s="2" t="s">
        <v>484</v>
      </c>
      <c r="H210" s="2" t="s">
        <v>485</v>
      </c>
      <c r="I210" s="13" t="s">
        <v>38</v>
      </c>
      <c r="J210" s="68" t="s">
        <v>501</v>
      </c>
      <c r="K210" s="12" t="s">
        <v>135</v>
      </c>
      <c r="L210" s="7">
        <v>46122</v>
      </c>
      <c r="M210" s="13">
        <v>46122</v>
      </c>
      <c r="N210" s="20">
        <f>Table1[[#This Row],[Completion Date]]-Table1[[#This Row],[Date Logged]]</f>
        <v>0</v>
      </c>
      <c r="O210" s="13" t="s">
        <v>58</v>
      </c>
      <c r="P210" s="1" t="s">
        <v>161</v>
      </c>
      <c r="Q210" s="1" t="s">
        <v>130</v>
      </c>
      <c r="R210" s="2" t="s">
        <v>131</v>
      </c>
      <c r="S210" s="2" t="s">
        <v>131</v>
      </c>
      <c r="T210" s="15" t="s">
        <v>132</v>
      </c>
      <c r="U210" s="12"/>
    </row>
    <row r="211" spans="1:21" ht="93.6" x14ac:dyDescent="0.3">
      <c r="A211" s="1" t="s">
        <v>544</v>
      </c>
      <c r="B211" s="13">
        <v>46122</v>
      </c>
      <c r="C211" s="12" t="s">
        <v>135</v>
      </c>
      <c r="D211" s="8" t="s">
        <v>135</v>
      </c>
      <c r="E211" s="8" t="s">
        <v>24</v>
      </c>
      <c r="F211" s="24" t="s">
        <v>483</v>
      </c>
      <c r="G211" s="2" t="s">
        <v>484</v>
      </c>
      <c r="H211" s="15" t="s">
        <v>485</v>
      </c>
      <c r="I211" s="13" t="s">
        <v>38</v>
      </c>
      <c r="J211" s="68" t="s">
        <v>261</v>
      </c>
      <c r="K211" s="12" t="s">
        <v>41</v>
      </c>
      <c r="L211" s="7">
        <v>46152</v>
      </c>
      <c r="M211" s="13">
        <v>46122</v>
      </c>
      <c r="N211" s="20">
        <f>Table1[[#This Row],[Completion Date]]-Table1[[#This Row],[Date Logged]]</f>
        <v>0</v>
      </c>
      <c r="O211" s="13" t="s">
        <v>58</v>
      </c>
      <c r="P211" s="1" t="s">
        <v>161</v>
      </c>
      <c r="Q211" s="1" t="s">
        <v>130</v>
      </c>
      <c r="R211" s="2" t="s">
        <v>131</v>
      </c>
      <c r="S211" s="2" t="s">
        <v>131</v>
      </c>
      <c r="T211" s="15" t="s">
        <v>132</v>
      </c>
      <c r="U211" s="12"/>
    </row>
    <row r="212" spans="1:21" ht="93.6" x14ac:dyDescent="0.3">
      <c r="A212" s="1" t="s">
        <v>545</v>
      </c>
      <c r="B212" s="13">
        <v>46122</v>
      </c>
      <c r="C212" s="12" t="s">
        <v>135</v>
      </c>
      <c r="D212" s="8" t="s">
        <v>135</v>
      </c>
      <c r="E212" s="8" t="s">
        <v>24</v>
      </c>
      <c r="F212" s="14" t="s">
        <v>483</v>
      </c>
      <c r="G212" s="45" t="s">
        <v>484</v>
      </c>
      <c r="H212" s="15" t="s">
        <v>485</v>
      </c>
      <c r="I212" s="13" t="s">
        <v>38</v>
      </c>
      <c r="J212" s="68" t="s">
        <v>158</v>
      </c>
      <c r="K212" s="12" t="s">
        <v>135</v>
      </c>
      <c r="L212" s="7">
        <v>46152</v>
      </c>
      <c r="M212" s="13">
        <v>46122</v>
      </c>
      <c r="N212" s="20">
        <f>Table1[[#This Row],[Completion Date]]-Table1[[#This Row],[Date Logged]]</f>
        <v>0</v>
      </c>
      <c r="O212" s="13" t="s">
        <v>58</v>
      </c>
      <c r="P212" s="1" t="s">
        <v>161</v>
      </c>
      <c r="Q212" s="1" t="s">
        <v>130</v>
      </c>
      <c r="R212" s="2" t="s">
        <v>131</v>
      </c>
      <c r="S212" s="2" t="s">
        <v>131</v>
      </c>
      <c r="T212" s="15" t="s">
        <v>132</v>
      </c>
      <c r="U212" s="12"/>
    </row>
    <row r="213" spans="1:21" ht="93.6" x14ac:dyDescent="0.3">
      <c r="A213" s="1" t="s">
        <v>546</v>
      </c>
      <c r="B213" s="13">
        <v>46122</v>
      </c>
      <c r="C213" s="12" t="s">
        <v>135</v>
      </c>
      <c r="D213" s="8" t="s">
        <v>135</v>
      </c>
      <c r="E213" s="8" t="s">
        <v>24</v>
      </c>
      <c r="F213" s="14" t="s">
        <v>483</v>
      </c>
      <c r="G213" s="15" t="s">
        <v>484</v>
      </c>
      <c r="H213" s="15" t="s">
        <v>485</v>
      </c>
      <c r="I213" s="13" t="s">
        <v>38</v>
      </c>
      <c r="J213" s="68" t="s">
        <v>34</v>
      </c>
      <c r="K213" s="12" t="s">
        <v>42</v>
      </c>
      <c r="L213" s="7">
        <v>46152</v>
      </c>
      <c r="M213" s="13">
        <v>46122</v>
      </c>
      <c r="N213" s="20">
        <f>Table1[[#This Row],[Completion Date]]-Table1[[#This Row],[Date Logged]]</f>
        <v>0</v>
      </c>
      <c r="O213" s="13" t="s">
        <v>58</v>
      </c>
      <c r="P213" s="1" t="s">
        <v>161</v>
      </c>
      <c r="Q213" s="1" t="s">
        <v>130</v>
      </c>
      <c r="R213" s="15"/>
      <c r="S213" s="2" t="s">
        <v>131</v>
      </c>
      <c r="T213" s="15" t="s">
        <v>132</v>
      </c>
      <c r="U213" s="12"/>
    </row>
    <row r="214" spans="1:21" ht="93.6" x14ac:dyDescent="0.3">
      <c r="A214" s="1" t="s">
        <v>547</v>
      </c>
      <c r="B214" s="13">
        <v>46122</v>
      </c>
      <c r="C214" s="12" t="s">
        <v>135</v>
      </c>
      <c r="D214" s="8" t="s">
        <v>135</v>
      </c>
      <c r="E214" s="8" t="s">
        <v>24</v>
      </c>
      <c r="F214" s="14" t="s">
        <v>483</v>
      </c>
      <c r="G214" s="2" t="s">
        <v>484</v>
      </c>
      <c r="H214" s="15" t="s">
        <v>485</v>
      </c>
      <c r="I214" s="13" t="s">
        <v>38</v>
      </c>
      <c r="J214" s="68" t="s">
        <v>35</v>
      </c>
      <c r="K214" s="12" t="s">
        <v>135</v>
      </c>
      <c r="L214" s="7">
        <v>46152</v>
      </c>
      <c r="M214" s="13">
        <v>46125</v>
      </c>
      <c r="N214" s="20">
        <f>Table1[[#This Row],[Completion Date]]-Table1[[#This Row],[Date Logged]]</f>
        <v>3</v>
      </c>
      <c r="O214" s="13" t="s">
        <v>58</v>
      </c>
      <c r="P214" s="1" t="s">
        <v>161</v>
      </c>
      <c r="Q214" s="1" t="s">
        <v>130</v>
      </c>
      <c r="R214" s="2" t="s">
        <v>131</v>
      </c>
      <c r="S214" s="2" t="s">
        <v>131</v>
      </c>
      <c r="T214" s="15" t="s">
        <v>132</v>
      </c>
      <c r="U214" s="12"/>
    </row>
    <row r="215" spans="1:21" ht="93.6" x14ac:dyDescent="0.3">
      <c r="A215" s="1" t="s">
        <v>548</v>
      </c>
      <c r="B215" s="13">
        <v>46122</v>
      </c>
      <c r="C215" s="12" t="s">
        <v>135</v>
      </c>
      <c r="D215" s="8" t="s">
        <v>135</v>
      </c>
      <c r="E215" s="8" t="s">
        <v>24</v>
      </c>
      <c r="F215" s="14" t="s">
        <v>483</v>
      </c>
      <c r="G215" s="15" t="s">
        <v>484</v>
      </c>
      <c r="H215" s="15" t="s">
        <v>485</v>
      </c>
      <c r="I215" s="13" t="s">
        <v>38</v>
      </c>
      <c r="J215" s="68" t="s">
        <v>308</v>
      </c>
      <c r="K215" s="12" t="s">
        <v>135</v>
      </c>
      <c r="L215" s="7">
        <v>46152</v>
      </c>
      <c r="M215" s="13">
        <v>46125</v>
      </c>
      <c r="N215" s="20">
        <f>Table1[[#This Row],[Completion Date]]-Table1[[#This Row],[Date Logged]]</f>
        <v>3</v>
      </c>
      <c r="O215" s="13" t="s">
        <v>58</v>
      </c>
      <c r="P215" s="1" t="s">
        <v>161</v>
      </c>
      <c r="Q215" s="1" t="s">
        <v>130</v>
      </c>
      <c r="R215" s="2" t="s">
        <v>131</v>
      </c>
      <c r="S215" s="2" t="s">
        <v>131</v>
      </c>
      <c r="T215" s="15" t="s">
        <v>132</v>
      </c>
      <c r="U215" s="12"/>
    </row>
    <row r="216" spans="1:21" ht="93.6" x14ac:dyDescent="0.3">
      <c r="A216" s="1" t="s">
        <v>549</v>
      </c>
      <c r="B216" s="13">
        <v>46122</v>
      </c>
      <c r="C216" s="12" t="s">
        <v>135</v>
      </c>
      <c r="D216" s="8" t="s">
        <v>135</v>
      </c>
      <c r="E216" s="8" t="s">
        <v>24</v>
      </c>
      <c r="F216" s="14" t="s">
        <v>483</v>
      </c>
      <c r="G216" s="15" t="s">
        <v>484</v>
      </c>
      <c r="H216" s="15" t="s">
        <v>485</v>
      </c>
      <c r="I216" s="13" t="s">
        <v>38</v>
      </c>
      <c r="J216" s="68" t="s">
        <v>235</v>
      </c>
      <c r="K216" s="12" t="s">
        <v>135</v>
      </c>
      <c r="L216" s="7">
        <v>46152</v>
      </c>
      <c r="M216" s="13">
        <v>46125</v>
      </c>
      <c r="N216" s="20">
        <f>Table1[[#This Row],[Completion Date]]-Table1[[#This Row],[Date Logged]]</f>
        <v>3</v>
      </c>
      <c r="O216" s="13" t="s">
        <v>58</v>
      </c>
      <c r="P216" s="1" t="s">
        <v>161</v>
      </c>
      <c r="Q216" s="1" t="s">
        <v>130</v>
      </c>
      <c r="R216" s="2" t="s">
        <v>131</v>
      </c>
      <c r="S216" s="2" t="s">
        <v>131</v>
      </c>
      <c r="T216" s="15" t="s">
        <v>132</v>
      </c>
      <c r="U216" s="12"/>
    </row>
    <row r="217" spans="1:21" ht="31.2" x14ac:dyDescent="0.3">
      <c r="A217" s="1" t="s">
        <v>486</v>
      </c>
      <c r="B217" s="13">
        <v>46125</v>
      </c>
      <c r="C217" s="1" t="s">
        <v>146</v>
      </c>
      <c r="D217" s="8" t="s">
        <v>146</v>
      </c>
      <c r="E217" s="8" t="s">
        <v>24</v>
      </c>
      <c r="F217" s="24" t="s">
        <v>499</v>
      </c>
      <c r="G217" s="15"/>
      <c r="H217" s="15"/>
      <c r="I217" s="13"/>
      <c r="J217" s="68"/>
      <c r="K217" s="12"/>
      <c r="L217" s="7"/>
      <c r="M217" s="13"/>
      <c r="N217" s="20">
        <f>Table1[[#This Row],[Completion Date]]-Table1[[#This Row],[Date Logged]]</f>
        <v>-46125</v>
      </c>
      <c r="O217" s="13" t="s">
        <v>59</v>
      </c>
      <c r="P217" s="12"/>
      <c r="Q217" s="12"/>
      <c r="R217" s="15"/>
      <c r="S217" s="15"/>
      <c r="T217" s="15" t="s">
        <v>70</v>
      </c>
      <c r="U217" s="12"/>
    </row>
    <row r="218" spans="1:21" ht="31.2" x14ac:dyDescent="0.3">
      <c r="A218" s="12" t="s">
        <v>487</v>
      </c>
      <c r="B218" s="13">
        <v>46125</v>
      </c>
      <c r="C218" s="1" t="s">
        <v>146</v>
      </c>
      <c r="D218" s="8" t="s">
        <v>146</v>
      </c>
      <c r="E218" s="8" t="s">
        <v>24</v>
      </c>
      <c r="F218" s="24" t="s">
        <v>500</v>
      </c>
      <c r="G218" s="15"/>
      <c r="H218" s="15"/>
      <c r="I218" s="13"/>
      <c r="J218" s="68"/>
      <c r="K218" s="12"/>
      <c r="L218" s="7"/>
      <c r="M218" s="13"/>
      <c r="N218" s="20">
        <f>Table1[[#This Row],[Completion Date]]-Table1[[#This Row],[Date Logged]]</f>
        <v>-46125</v>
      </c>
      <c r="O218" s="13" t="s">
        <v>59</v>
      </c>
      <c r="P218" s="12"/>
      <c r="Q218" s="12"/>
      <c r="R218" s="15"/>
      <c r="S218" s="15"/>
      <c r="T218" s="15" t="s">
        <v>70</v>
      </c>
      <c r="U218" s="12"/>
    </row>
    <row r="219" spans="1:21" ht="45" x14ac:dyDescent="0.3">
      <c r="A219" s="1" t="s">
        <v>550</v>
      </c>
      <c r="B219" s="13">
        <v>46125</v>
      </c>
      <c r="C219" s="1" t="s">
        <v>161</v>
      </c>
      <c r="D219" s="8" t="s">
        <v>161</v>
      </c>
      <c r="E219" s="8" t="s">
        <v>24</v>
      </c>
      <c r="F219" s="24" t="s">
        <v>488</v>
      </c>
      <c r="G219" s="2" t="s">
        <v>489</v>
      </c>
      <c r="H219" s="2" t="s">
        <v>490</v>
      </c>
      <c r="I219" s="13" t="s">
        <v>38</v>
      </c>
      <c r="J219" s="68" t="s">
        <v>491</v>
      </c>
      <c r="K219" s="12" t="s">
        <v>332</v>
      </c>
      <c r="L219" s="7">
        <v>46127</v>
      </c>
      <c r="M219" s="13">
        <v>46127</v>
      </c>
      <c r="N219" s="20">
        <f>Table1[[#This Row],[Completion Date]]-Table1[[#This Row],[Date Logged]]</f>
        <v>2</v>
      </c>
      <c r="O219" s="13" t="s">
        <v>58</v>
      </c>
      <c r="P219" s="1" t="s">
        <v>129</v>
      </c>
      <c r="Q219" s="1" t="s">
        <v>130</v>
      </c>
      <c r="R219" s="2" t="s">
        <v>131</v>
      </c>
      <c r="S219" s="2" t="s">
        <v>131</v>
      </c>
      <c r="T219" s="15" t="s">
        <v>132</v>
      </c>
      <c r="U219" s="12"/>
    </row>
    <row r="220" spans="1:21" ht="45" x14ac:dyDescent="0.3">
      <c r="A220" s="1" t="s">
        <v>551</v>
      </c>
      <c r="B220" s="13">
        <v>45760</v>
      </c>
      <c r="C220" s="1" t="s">
        <v>161</v>
      </c>
      <c r="D220" s="8" t="s">
        <v>161</v>
      </c>
      <c r="E220" s="8" t="s">
        <v>24</v>
      </c>
      <c r="F220" s="24" t="s">
        <v>488</v>
      </c>
      <c r="G220" s="2" t="s">
        <v>489</v>
      </c>
      <c r="H220" s="2" t="s">
        <v>490</v>
      </c>
      <c r="I220" s="13" t="s">
        <v>38</v>
      </c>
      <c r="J220" s="68" t="s">
        <v>569</v>
      </c>
      <c r="K220" s="12" t="s">
        <v>492</v>
      </c>
      <c r="L220" s="7">
        <v>46129</v>
      </c>
      <c r="M220" s="13">
        <v>46129</v>
      </c>
      <c r="N220" s="20">
        <f>Table1[[#This Row],[Completion Date]]-Table1[[#This Row],[Date Logged]]</f>
        <v>369</v>
      </c>
      <c r="O220" s="13" t="s">
        <v>58</v>
      </c>
      <c r="P220" s="1" t="s">
        <v>129</v>
      </c>
      <c r="Q220" s="1" t="s">
        <v>130</v>
      </c>
      <c r="R220" s="2" t="s">
        <v>131</v>
      </c>
      <c r="S220" s="2" t="s">
        <v>131</v>
      </c>
      <c r="T220" s="15" t="s">
        <v>132</v>
      </c>
      <c r="U220" s="12"/>
    </row>
    <row r="221" spans="1:21" ht="135" x14ac:dyDescent="0.3">
      <c r="A221" s="1" t="s">
        <v>842</v>
      </c>
      <c r="B221" s="13">
        <v>46120</v>
      </c>
      <c r="C221" s="1" t="s">
        <v>100</v>
      </c>
      <c r="D221" s="8" t="s">
        <v>135</v>
      </c>
      <c r="E221" s="8" t="s">
        <v>24</v>
      </c>
      <c r="F221" s="24" t="s">
        <v>502</v>
      </c>
      <c r="G221" s="2" t="s">
        <v>503</v>
      </c>
      <c r="H221" s="2" t="s">
        <v>47</v>
      </c>
      <c r="I221" s="13" t="s">
        <v>78</v>
      </c>
      <c r="J221" s="68" t="s">
        <v>834</v>
      </c>
      <c r="K221" s="12" t="s">
        <v>555</v>
      </c>
      <c r="L221" s="7">
        <v>46157</v>
      </c>
      <c r="M221" s="13">
        <v>46132</v>
      </c>
      <c r="N221" s="20">
        <f>Table1[[#This Row],[Completion Date]]-Table1[[#This Row],[Date Logged]]</f>
        <v>12</v>
      </c>
      <c r="O221" s="13" t="s">
        <v>58</v>
      </c>
      <c r="P221" s="12"/>
      <c r="Q221" s="12"/>
      <c r="R221" s="15"/>
      <c r="S221" s="15"/>
      <c r="T221" s="15" t="s">
        <v>133</v>
      </c>
      <c r="U221" s="12"/>
    </row>
    <row r="222" spans="1:21" ht="135" x14ac:dyDescent="0.3">
      <c r="A222" s="1" t="s">
        <v>849</v>
      </c>
      <c r="B222" s="13">
        <v>46120</v>
      </c>
      <c r="C222" s="1" t="s">
        <v>100</v>
      </c>
      <c r="D222" s="8" t="s">
        <v>135</v>
      </c>
      <c r="E222" s="8" t="s">
        <v>24</v>
      </c>
      <c r="F222" s="24" t="s">
        <v>502</v>
      </c>
      <c r="G222" s="2" t="s">
        <v>503</v>
      </c>
      <c r="H222" s="2" t="s">
        <v>47</v>
      </c>
      <c r="I222" s="13" t="s">
        <v>78</v>
      </c>
      <c r="J222" s="9" t="s">
        <v>835</v>
      </c>
      <c r="K222" s="12" t="s">
        <v>843</v>
      </c>
      <c r="L222" s="7">
        <v>46172</v>
      </c>
      <c r="M222" s="58">
        <v>46156</v>
      </c>
      <c r="N222" s="60">
        <f>Table1[[#This Row],[Completion Date]]-Table1[[#This Row],[Date Logged]]</f>
        <v>36</v>
      </c>
      <c r="O222" s="13" t="s">
        <v>58</v>
      </c>
      <c r="P222" s="54"/>
      <c r="Q222" s="54"/>
      <c r="R222" s="55"/>
      <c r="S222" s="55"/>
      <c r="T222" s="55" t="s">
        <v>133</v>
      </c>
      <c r="U222" s="54"/>
    </row>
    <row r="223" spans="1:21" ht="135" x14ac:dyDescent="0.3">
      <c r="A223" s="1" t="s">
        <v>850</v>
      </c>
      <c r="B223" s="13">
        <v>46120</v>
      </c>
      <c r="C223" s="1" t="s">
        <v>100</v>
      </c>
      <c r="D223" s="8" t="s">
        <v>135</v>
      </c>
      <c r="E223" s="8" t="s">
        <v>24</v>
      </c>
      <c r="F223" s="24" t="s">
        <v>502</v>
      </c>
      <c r="G223" s="2" t="s">
        <v>503</v>
      </c>
      <c r="H223" s="2" t="s">
        <v>47</v>
      </c>
      <c r="I223" s="13" t="s">
        <v>78</v>
      </c>
      <c r="J223" s="9" t="s">
        <v>836</v>
      </c>
      <c r="K223" s="12" t="s">
        <v>844</v>
      </c>
      <c r="L223" s="7">
        <v>46181</v>
      </c>
      <c r="M223" s="58">
        <v>46181</v>
      </c>
      <c r="N223" s="60">
        <f>Table1[[#This Row],[Completion Date]]-Table1[[#This Row],[Date Logged]]</f>
        <v>61</v>
      </c>
      <c r="O223" s="13" t="s">
        <v>58</v>
      </c>
      <c r="P223" s="54"/>
      <c r="Q223" s="54"/>
      <c r="R223" s="55"/>
      <c r="S223" s="55"/>
      <c r="T223" s="55" t="s">
        <v>133</v>
      </c>
      <c r="U223" s="54"/>
    </row>
    <row r="224" spans="1:21" ht="135" x14ac:dyDescent="0.3">
      <c r="A224" s="1" t="s">
        <v>851</v>
      </c>
      <c r="B224" s="13">
        <v>46120</v>
      </c>
      <c r="C224" s="1" t="s">
        <v>100</v>
      </c>
      <c r="D224" s="8" t="s">
        <v>135</v>
      </c>
      <c r="E224" s="8" t="s">
        <v>24</v>
      </c>
      <c r="F224" s="24" t="s">
        <v>502</v>
      </c>
      <c r="G224" s="2" t="s">
        <v>503</v>
      </c>
      <c r="H224" s="2" t="s">
        <v>47</v>
      </c>
      <c r="I224" s="13" t="s">
        <v>78</v>
      </c>
      <c r="J224" s="9" t="s">
        <v>977</v>
      </c>
      <c r="K224" s="12" t="s">
        <v>845</v>
      </c>
      <c r="L224" s="7">
        <v>46233</v>
      </c>
      <c r="M224" s="58">
        <v>46219</v>
      </c>
      <c r="N224" s="60">
        <f>Table1[[#This Row],[Completion Date]]-Table1[[#This Row],[Date Logged]]</f>
        <v>99</v>
      </c>
      <c r="O224" s="13" t="s">
        <v>58</v>
      </c>
      <c r="P224" s="54"/>
      <c r="Q224" s="54"/>
      <c r="R224" s="55"/>
      <c r="S224" s="55"/>
      <c r="T224" s="55" t="s">
        <v>133</v>
      </c>
      <c r="U224" s="54"/>
    </row>
    <row r="225" spans="1:21" ht="135" x14ac:dyDescent="0.3">
      <c r="A225" s="1" t="s">
        <v>852</v>
      </c>
      <c r="B225" s="13">
        <v>46120</v>
      </c>
      <c r="C225" s="1" t="s">
        <v>100</v>
      </c>
      <c r="D225" s="8" t="s">
        <v>135</v>
      </c>
      <c r="E225" s="8" t="s">
        <v>24</v>
      </c>
      <c r="F225" s="24" t="s">
        <v>502</v>
      </c>
      <c r="G225" s="2" t="s">
        <v>503</v>
      </c>
      <c r="H225" s="2" t="s">
        <v>47</v>
      </c>
      <c r="I225" s="13" t="s">
        <v>78</v>
      </c>
      <c r="J225" s="9" t="s">
        <v>978</v>
      </c>
      <c r="K225" s="12" t="s">
        <v>846</v>
      </c>
      <c r="L225" s="7">
        <v>46295</v>
      </c>
      <c r="M225" s="58"/>
      <c r="N225" s="60">
        <f>Table1[[#This Row],[Completion Date]]-Table1[[#This Row],[Date Logged]]</f>
        <v>-46120</v>
      </c>
      <c r="O225" s="58" t="s">
        <v>59</v>
      </c>
      <c r="P225" s="54"/>
      <c r="Q225" s="54"/>
      <c r="R225" s="55"/>
      <c r="S225" s="55"/>
      <c r="T225" s="55" t="s">
        <v>133</v>
      </c>
      <c r="U225" s="54"/>
    </row>
    <row r="226" spans="1:21" ht="135" x14ac:dyDescent="0.3">
      <c r="A226" s="1" t="s">
        <v>853</v>
      </c>
      <c r="B226" s="13">
        <v>46120</v>
      </c>
      <c r="C226" s="1" t="s">
        <v>100</v>
      </c>
      <c r="D226" s="8" t="s">
        <v>135</v>
      </c>
      <c r="E226" s="8" t="s">
        <v>24</v>
      </c>
      <c r="F226" s="24" t="s">
        <v>502</v>
      </c>
      <c r="G226" s="2" t="s">
        <v>503</v>
      </c>
      <c r="H226" s="2" t="s">
        <v>47</v>
      </c>
      <c r="I226" s="13" t="s">
        <v>78</v>
      </c>
      <c r="J226" s="9" t="s">
        <v>979</v>
      </c>
      <c r="K226" s="12" t="s">
        <v>42</v>
      </c>
      <c r="L226" s="7">
        <v>46295</v>
      </c>
      <c r="M226" s="58"/>
      <c r="N226" s="60">
        <f>Table1[[#This Row],[Completion Date]]-Table1[[#This Row],[Date Logged]]</f>
        <v>-46120</v>
      </c>
      <c r="O226" s="58" t="s">
        <v>59</v>
      </c>
      <c r="P226" s="54"/>
      <c r="Q226" s="54"/>
      <c r="R226" s="55"/>
      <c r="S226" s="55"/>
      <c r="T226" s="55" t="s">
        <v>133</v>
      </c>
      <c r="U226" s="54"/>
    </row>
    <row r="227" spans="1:21" ht="135" x14ac:dyDescent="0.3">
      <c r="A227" s="1" t="s">
        <v>854</v>
      </c>
      <c r="B227" s="13">
        <v>46120</v>
      </c>
      <c r="C227" s="1" t="s">
        <v>100</v>
      </c>
      <c r="D227" s="8" t="s">
        <v>135</v>
      </c>
      <c r="E227" s="8" t="s">
        <v>24</v>
      </c>
      <c r="F227" s="24" t="s">
        <v>502</v>
      </c>
      <c r="G227" s="2" t="s">
        <v>503</v>
      </c>
      <c r="H227" s="2" t="s">
        <v>47</v>
      </c>
      <c r="I227" s="13" t="s">
        <v>78</v>
      </c>
      <c r="J227" s="9" t="s">
        <v>837</v>
      </c>
      <c r="K227" s="12" t="s">
        <v>846</v>
      </c>
      <c r="L227" s="7">
        <v>46295</v>
      </c>
      <c r="M227" s="58"/>
      <c r="N227" s="60">
        <f>Table1[[#This Row],[Completion Date]]-Table1[[#This Row],[Date Logged]]</f>
        <v>-46120</v>
      </c>
      <c r="O227" s="58" t="s">
        <v>59</v>
      </c>
      <c r="P227" s="54"/>
      <c r="Q227" s="54"/>
      <c r="R227" s="55"/>
      <c r="S227" s="55"/>
      <c r="T227" s="55" t="s">
        <v>133</v>
      </c>
      <c r="U227" s="54"/>
    </row>
    <row r="228" spans="1:21" ht="135" x14ac:dyDescent="0.3">
      <c r="A228" s="1" t="s">
        <v>855</v>
      </c>
      <c r="B228" s="13">
        <v>46120</v>
      </c>
      <c r="C228" s="1" t="s">
        <v>100</v>
      </c>
      <c r="D228" s="8" t="s">
        <v>135</v>
      </c>
      <c r="E228" s="8" t="s">
        <v>24</v>
      </c>
      <c r="F228" s="24" t="s">
        <v>502</v>
      </c>
      <c r="G228" s="2" t="s">
        <v>503</v>
      </c>
      <c r="H228" s="2" t="s">
        <v>47</v>
      </c>
      <c r="I228" s="13" t="s">
        <v>78</v>
      </c>
      <c r="J228" s="9" t="s">
        <v>980</v>
      </c>
      <c r="K228" s="12" t="s">
        <v>42</v>
      </c>
      <c r="L228" s="7">
        <v>46295</v>
      </c>
      <c r="M228" s="58"/>
      <c r="N228" s="60">
        <f>Table1[[#This Row],[Completion Date]]-Table1[[#This Row],[Date Logged]]</f>
        <v>-46120</v>
      </c>
      <c r="O228" s="58" t="s">
        <v>59</v>
      </c>
      <c r="P228" s="54"/>
      <c r="Q228" s="54"/>
      <c r="R228" s="55"/>
      <c r="S228" s="55"/>
      <c r="T228" s="55" t="s">
        <v>133</v>
      </c>
      <c r="U228" s="54"/>
    </row>
    <row r="229" spans="1:21" ht="135" x14ac:dyDescent="0.3">
      <c r="A229" s="1" t="s">
        <v>852</v>
      </c>
      <c r="B229" s="13">
        <v>46120</v>
      </c>
      <c r="C229" s="1" t="s">
        <v>100</v>
      </c>
      <c r="D229" s="8" t="s">
        <v>135</v>
      </c>
      <c r="E229" s="8" t="s">
        <v>24</v>
      </c>
      <c r="F229" s="24" t="s">
        <v>502</v>
      </c>
      <c r="G229" s="2" t="s">
        <v>503</v>
      </c>
      <c r="H229" s="2" t="s">
        <v>47</v>
      </c>
      <c r="I229" s="13" t="s">
        <v>78</v>
      </c>
      <c r="J229" s="9" t="s">
        <v>981</v>
      </c>
      <c r="K229" s="12" t="s">
        <v>847</v>
      </c>
      <c r="L229" s="7">
        <v>46295</v>
      </c>
      <c r="M229" s="58"/>
      <c r="N229" s="60">
        <f>Table1[[#This Row],[Completion Date]]-Table1[[#This Row],[Date Logged]]</f>
        <v>-46120</v>
      </c>
      <c r="O229" s="58" t="s">
        <v>59</v>
      </c>
      <c r="P229" s="54"/>
      <c r="Q229" s="54"/>
      <c r="R229" s="55"/>
      <c r="S229" s="55"/>
      <c r="T229" s="55" t="s">
        <v>133</v>
      </c>
      <c r="U229" s="54"/>
    </row>
    <row r="230" spans="1:21" ht="135" x14ac:dyDescent="0.3">
      <c r="A230" s="1" t="s">
        <v>856</v>
      </c>
      <c r="B230" s="13">
        <v>46120</v>
      </c>
      <c r="C230" s="1" t="s">
        <v>100</v>
      </c>
      <c r="D230" s="8" t="s">
        <v>135</v>
      </c>
      <c r="E230" s="8" t="s">
        <v>24</v>
      </c>
      <c r="F230" s="24" t="s">
        <v>502</v>
      </c>
      <c r="G230" s="2" t="s">
        <v>503</v>
      </c>
      <c r="H230" s="2" t="s">
        <v>47</v>
      </c>
      <c r="I230" s="13" t="s">
        <v>78</v>
      </c>
      <c r="J230" s="9" t="s">
        <v>982</v>
      </c>
      <c r="K230" s="12" t="s">
        <v>848</v>
      </c>
      <c r="L230" s="7">
        <v>46295</v>
      </c>
      <c r="M230" s="58"/>
      <c r="N230" s="60">
        <f>Table1[[#This Row],[Completion Date]]-Table1[[#This Row],[Date Logged]]</f>
        <v>-46120</v>
      </c>
      <c r="O230" s="58" t="s">
        <v>59</v>
      </c>
      <c r="P230" s="54"/>
      <c r="Q230" s="54"/>
      <c r="R230" s="55"/>
      <c r="S230" s="55"/>
      <c r="T230" s="55" t="s">
        <v>133</v>
      </c>
      <c r="U230" s="54"/>
    </row>
    <row r="231" spans="1:21" ht="135" x14ac:dyDescent="0.3">
      <c r="A231" s="1" t="s">
        <v>857</v>
      </c>
      <c r="B231" s="13">
        <v>46120</v>
      </c>
      <c r="C231" s="1" t="s">
        <v>100</v>
      </c>
      <c r="D231" s="8" t="s">
        <v>135</v>
      </c>
      <c r="E231" s="8" t="s">
        <v>24</v>
      </c>
      <c r="F231" s="24" t="s">
        <v>502</v>
      </c>
      <c r="G231" s="2" t="s">
        <v>503</v>
      </c>
      <c r="H231" s="2" t="s">
        <v>47</v>
      </c>
      <c r="I231" s="13" t="s">
        <v>78</v>
      </c>
      <c r="J231" s="9" t="s">
        <v>983</v>
      </c>
      <c r="K231" s="12" t="s">
        <v>846</v>
      </c>
      <c r="L231" s="7">
        <v>46295</v>
      </c>
      <c r="M231" s="58"/>
      <c r="N231" s="60">
        <f>Table1[[#This Row],[Completion Date]]-Table1[[#This Row],[Date Logged]]</f>
        <v>-46120</v>
      </c>
      <c r="O231" s="58" t="s">
        <v>59</v>
      </c>
      <c r="P231" s="54"/>
      <c r="Q231" s="54"/>
      <c r="R231" s="55"/>
      <c r="S231" s="55"/>
      <c r="T231" s="55" t="s">
        <v>133</v>
      </c>
      <c r="U231" s="54"/>
    </row>
    <row r="232" spans="1:21" ht="135" x14ac:dyDescent="0.3">
      <c r="A232" s="1" t="s">
        <v>858</v>
      </c>
      <c r="B232" s="13">
        <v>46120</v>
      </c>
      <c r="C232" s="1" t="s">
        <v>100</v>
      </c>
      <c r="D232" s="8" t="s">
        <v>135</v>
      </c>
      <c r="E232" s="8" t="s">
        <v>24</v>
      </c>
      <c r="F232" s="24" t="s">
        <v>502</v>
      </c>
      <c r="G232" s="2" t="s">
        <v>503</v>
      </c>
      <c r="H232" s="2" t="s">
        <v>47</v>
      </c>
      <c r="I232" s="13" t="s">
        <v>78</v>
      </c>
      <c r="J232" s="9" t="s">
        <v>838</v>
      </c>
      <c r="K232" s="12" t="s">
        <v>81</v>
      </c>
      <c r="L232" s="7">
        <v>46310</v>
      </c>
      <c r="M232" s="58"/>
      <c r="N232" s="60">
        <f>Table1[[#This Row],[Completion Date]]-Table1[[#This Row],[Date Logged]]</f>
        <v>-46120</v>
      </c>
      <c r="O232" s="58" t="s">
        <v>59</v>
      </c>
      <c r="P232" s="54"/>
      <c r="Q232" s="54"/>
      <c r="R232" s="55"/>
      <c r="S232" s="55"/>
      <c r="T232" s="55" t="s">
        <v>133</v>
      </c>
      <c r="U232" s="54"/>
    </row>
    <row r="233" spans="1:21" ht="135" x14ac:dyDescent="0.3">
      <c r="A233" s="1" t="s">
        <v>859</v>
      </c>
      <c r="B233" s="13">
        <v>46120</v>
      </c>
      <c r="C233" s="1" t="s">
        <v>100</v>
      </c>
      <c r="D233" s="8" t="s">
        <v>135</v>
      </c>
      <c r="E233" s="8" t="s">
        <v>24</v>
      </c>
      <c r="F233" s="24" t="s">
        <v>502</v>
      </c>
      <c r="G233" s="2" t="s">
        <v>503</v>
      </c>
      <c r="H233" s="2" t="s">
        <v>47</v>
      </c>
      <c r="I233" s="13" t="s">
        <v>78</v>
      </c>
      <c r="J233" s="9" t="s">
        <v>984</v>
      </c>
      <c r="K233" s="2" t="s">
        <v>988</v>
      </c>
      <c r="L233" s="7">
        <v>46325</v>
      </c>
      <c r="M233" s="58"/>
      <c r="N233" s="60">
        <f>Table1[[#This Row],[Completion Date]]-Table1[[#This Row],[Date Logged]]</f>
        <v>-46120</v>
      </c>
      <c r="O233" s="58" t="s">
        <v>59</v>
      </c>
      <c r="P233" s="54"/>
      <c r="Q233" s="54"/>
      <c r="R233" s="55"/>
      <c r="S233" s="55"/>
      <c r="T233" s="55" t="s">
        <v>133</v>
      </c>
      <c r="U233" s="54"/>
    </row>
    <row r="234" spans="1:21" ht="135" x14ac:dyDescent="0.3">
      <c r="A234" s="1" t="s">
        <v>985</v>
      </c>
      <c r="B234" s="13">
        <v>46120</v>
      </c>
      <c r="C234" s="1" t="s">
        <v>100</v>
      </c>
      <c r="D234" s="8" t="s">
        <v>135</v>
      </c>
      <c r="E234" s="8" t="s">
        <v>24</v>
      </c>
      <c r="F234" s="24" t="s">
        <v>502</v>
      </c>
      <c r="G234" s="2" t="s">
        <v>503</v>
      </c>
      <c r="H234" s="2" t="s">
        <v>47</v>
      </c>
      <c r="I234" s="13" t="s">
        <v>78</v>
      </c>
      <c r="J234" s="9" t="s">
        <v>839</v>
      </c>
      <c r="K234" s="2" t="s">
        <v>988</v>
      </c>
      <c r="L234" s="7">
        <v>46386</v>
      </c>
      <c r="M234" s="7"/>
      <c r="N234" s="19">
        <f>Table1[[#This Row],[Completion Date]]-Table1[[#This Row],[Date Logged]]</f>
        <v>-46120</v>
      </c>
      <c r="O234" s="58" t="s">
        <v>59</v>
      </c>
      <c r="P234" s="1"/>
      <c r="Q234" s="1"/>
      <c r="R234" s="2"/>
      <c r="S234" s="2"/>
      <c r="T234" s="2"/>
      <c r="U234" s="1"/>
    </row>
    <row r="235" spans="1:21" ht="135" x14ac:dyDescent="0.3">
      <c r="A235" s="1" t="s">
        <v>986</v>
      </c>
      <c r="B235" s="13">
        <v>46120</v>
      </c>
      <c r="C235" s="1" t="s">
        <v>100</v>
      </c>
      <c r="D235" s="8" t="s">
        <v>135</v>
      </c>
      <c r="E235" s="8" t="s">
        <v>24</v>
      </c>
      <c r="F235" s="24" t="s">
        <v>502</v>
      </c>
      <c r="G235" s="2" t="s">
        <v>503</v>
      </c>
      <c r="H235" s="2" t="s">
        <v>47</v>
      </c>
      <c r="I235" s="13" t="s">
        <v>78</v>
      </c>
      <c r="J235" s="9" t="s">
        <v>987</v>
      </c>
      <c r="K235" s="1" t="s">
        <v>332</v>
      </c>
      <c r="L235" s="7">
        <v>46386</v>
      </c>
      <c r="M235" s="7"/>
      <c r="N235" s="19">
        <f>Table1[[#This Row],[Completion Date]]-Table1[[#This Row],[Date Logged]]</f>
        <v>-46120</v>
      </c>
      <c r="O235" s="58" t="s">
        <v>59</v>
      </c>
      <c r="P235" s="1"/>
      <c r="Q235" s="1"/>
      <c r="R235" s="2"/>
      <c r="S235" s="2"/>
      <c r="T235" s="2"/>
      <c r="U235" s="1"/>
    </row>
    <row r="236" spans="1:21" ht="135" x14ac:dyDescent="0.3">
      <c r="A236" s="1" t="s">
        <v>986</v>
      </c>
      <c r="B236" s="13">
        <v>46120</v>
      </c>
      <c r="C236" s="1" t="s">
        <v>100</v>
      </c>
      <c r="D236" s="8" t="s">
        <v>135</v>
      </c>
      <c r="E236" s="8" t="s">
        <v>24</v>
      </c>
      <c r="F236" s="24" t="s">
        <v>502</v>
      </c>
      <c r="G236" s="2" t="s">
        <v>503</v>
      </c>
      <c r="H236" s="2" t="s">
        <v>47</v>
      </c>
      <c r="I236" s="13" t="s">
        <v>78</v>
      </c>
      <c r="J236" s="9" t="s">
        <v>840</v>
      </c>
      <c r="K236" s="1" t="s">
        <v>663</v>
      </c>
      <c r="L236" s="7">
        <v>46386</v>
      </c>
      <c r="M236" s="7"/>
      <c r="N236" s="19">
        <f>Table1[[#This Row],[Completion Date]]-Table1[[#This Row],[Date Logged]]</f>
        <v>-46120</v>
      </c>
      <c r="O236" s="58" t="s">
        <v>59</v>
      </c>
      <c r="P236" s="1"/>
      <c r="Q236" s="1"/>
      <c r="R236" s="2"/>
      <c r="S236" s="2"/>
      <c r="T236" s="2"/>
      <c r="U236" s="1"/>
    </row>
    <row r="237" spans="1:21" ht="135" x14ac:dyDescent="0.3">
      <c r="A237" s="1" t="s">
        <v>986</v>
      </c>
      <c r="B237" s="13">
        <v>46120</v>
      </c>
      <c r="C237" s="1" t="s">
        <v>100</v>
      </c>
      <c r="D237" s="8" t="s">
        <v>135</v>
      </c>
      <c r="E237" s="8" t="s">
        <v>24</v>
      </c>
      <c r="F237" s="24" t="s">
        <v>502</v>
      </c>
      <c r="G237" s="2" t="s">
        <v>503</v>
      </c>
      <c r="H237" s="2" t="s">
        <v>47</v>
      </c>
      <c r="I237" s="13" t="s">
        <v>78</v>
      </c>
      <c r="J237" s="9" t="s">
        <v>841</v>
      </c>
      <c r="K237" s="1" t="s">
        <v>663</v>
      </c>
      <c r="L237" s="7">
        <v>46416</v>
      </c>
      <c r="M237" s="7"/>
      <c r="N237" s="19">
        <f>Table1[[#This Row],[Completion Date]]-Table1[[#This Row],[Date Logged]]</f>
        <v>-46120</v>
      </c>
      <c r="O237" s="58" t="s">
        <v>59</v>
      </c>
      <c r="P237" s="1"/>
      <c r="Q237" s="1"/>
      <c r="R237" s="2"/>
      <c r="S237" s="2"/>
      <c r="T237" s="2"/>
      <c r="U237" s="1"/>
    </row>
    <row r="238" spans="1:21" ht="93.6" x14ac:dyDescent="0.3">
      <c r="A238" s="1" t="s">
        <v>519</v>
      </c>
      <c r="B238" s="13">
        <v>46134</v>
      </c>
      <c r="C238" s="1" t="s">
        <v>135</v>
      </c>
      <c r="D238" s="8" t="s">
        <v>135</v>
      </c>
      <c r="E238" s="8" t="s">
        <v>24</v>
      </c>
      <c r="F238" s="24" t="s">
        <v>512</v>
      </c>
      <c r="G238" s="2" t="s">
        <v>509</v>
      </c>
      <c r="H238" s="2" t="s">
        <v>510</v>
      </c>
      <c r="I238" s="13" t="s">
        <v>38</v>
      </c>
      <c r="J238" s="9" t="s">
        <v>511</v>
      </c>
      <c r="K238" s="12" t="s">
        <v>135</v>
      </c>
      <c r="L238" s="7">
        <v>46134</v>
      </c>
      <c r="M238" s="13">
        <v>46134</v>
      </c>
      <c r="N238" s="20">
        <f>Table1[[#This Row],[Completion Date]]-Table1[[#This Row],[Date Logged]]</f>
        <v>0</v>
      </c>
      <c r="O238" s="13" t="s">
        <v>58</v>
      </c>
      <c r="P238" s="1" t="s">
        <v>161</v>
      </c>
      <c r="Q238" s="1" t="s">
        <v>130</v>
      </c>
      <c r="R238" s="2" t="s">
        <v>131</v>
      </c>
      <c r="S238" s="2" t="s">
        <v>131</v>
      </c>
      <c r="T238" s="15" t="s">
        <v>132</v>
      </c>
      <c r="U238" s="12"/>
    </row>
    <row r="239" spans="1:21" ht="93.6" x14ac:dyDescent="0.3">
      <c r="A239" s="1" t="s">
        <v>520</v>
      </c>
      <c r="B239" s="13">
        <v>46134</v>
      </c>
      <c r="C239" s="12" t="s">
        <v>135</v>
      </c>
      <c r="D239" s="8" t="s">
        <v>135</v>
      </c>
      <c r="E239" s="8" t="s">
        <v>24</v>
      </c>
      <c r="F239" s="14" t="s">
        <v>512</v>
      </c>
      <c r="G239" s="15" t="s">
        <v>509</v>
      </c>
      <c r="H239" s="15" t="s">
        <v>510</v>
      </c>
      <c r="I239" s="13" t="s">
        <v>38</v>
      </c>
      <c r="J239" s="9" t="s">
        <v>261</v>
      </c>
      <c r="K239" s="12" t="s">
        <v>135</v>
      </c>
      <c r="L239" s="7">
        <v>46164</v>
      </c>
      <c r="M239" s="13">
        <v>46134</v>
      </c>
      <c r="N239" s="20">
        <f>Table1[[#This Row],[Completion Date]]-Table1[[#This Row],[Date Logged]]</f>
        <v>0</v>
      </c>
      <c r="O239" s="13" t="s">
        <v>58</v>
      </c>
      <c r="P239" s="12" t="s">
        <v>161</v>
      </c>
      <c r="Q239" s="1" t="s">
        <v>130</v>
      </c>
      <c r="R239" s="2" t="s">
        <v>131</v>
      </c>
      <c r="S239" s="2" t="s">
        <v>131</v>
      </c>
      <c r="T239" s="15" t="s">
        <v>132</v>
      </c>
      <c r="U239" s="12"/>
    </row>
    <row r="240" spans="1:21" ht="93.6" x14ac:dyDescent="0.3">
      <c r="A240" s="1" t="s">
        <v>521</v>
      </c>
      <c r="B240" s="13">
        <v>46134</v>
      </c>
      <c r="C240" s="12" t="s">
        <v>135</v>
      </c>
      <c r="D240" s="8" t="s">
        <v>135</v>
      </c>
      <c r="E240" s="8" t="s">
        <v>24</v>
      </c>
      <c r="F240" s="14" t="s">
        <v>512</v>
      </c>
      <c r="G240" s="15" t="s">
        <v>509</v>
      </c>
      <c r="H240" s="15" t="s">
        <v>510</v>
      </c>
      <c r="I240" s="13" t="s">
        <v>38</v>
      </c>
      <c r="J240" s="68" t="s">
        <v>158</v>
      </c>
      <c r="K240" s="12" t="s">
        <v>135</v>
      </c>
      <c r="L240" s="7">
        <v>46164</v>
      </c>
      <c r="M240" s="13">
        <v>46134</v>
      </c>
      <c r="N240" s="20">
        <f>Table1[[#This Row],[Completion Date]]-Table1[[#This Row],[Date Logged]]</f>
        <v>0</v>
      </c>
      <c r="O240" s="13" t="s">
        <v>58</v>
      </c>
      <c r="P240" s="12" t="s">
        <v>161</v>
      </c>
      <c r="Q240" s="1" t="s">
        <v>130</v>
      </c>
      <c r="R240" s="2" t="s">
        <v>131</v>
      </c>
      <c r="S240" s="2" t="s">
        <v>131</v>
      </c>
      <c r="T240" s="15" t="s">
        <v>132</v>
      </c>
      <c r="U240" s="12"/>
    </row>
    <row r="241" spans="1:21" ht="93.6" x14ac:dyDescent="0.3">
      <c r="A241" s="1" t="s">
        <v>522</v>
      </c>
      <c r="B241" s="13">
        <v>46134</v>
      </c>
      <c r="C241" s="12" t="s">
        <v>135</v>
      </c>
      <c r="D241" s="8" t="s">
        <v>135</v>
      </c>
      <c r="E241" s="8" t="s">
        <v>24</v>
      </c>
      <c r="F241" s="24" t="s">
        <v>512</v>
      </c>
      <c r="G241" s="15" t="s">
        <v>509</v>
      </c>
      <c r="H241" s="15" t="s">
        <v>510</v>
      </c>
      <c r="I241" s="13" t="s">
        <v>38</v>
      </c>
      <c r="J241" s="68" t="s">
        <v>34</v>
      </c>
      <c r="K241" s="12" t="s">
        <v>135</v>
      </c>
      <c r="L241" s="7">
        <v>46164</v>
      </c>
      <c r="M241" s="13">
        <v>46134</v>
      </c>
      <c r="N241" s="20">
        <f>Table1[[#This Row],[Completion Date]]-Table1[[#This Row],[Date Logged]]</f>
        <v>0</v>
      </c>
      <c r="O241" s="13" t="s">
        <v>58</v>
      </c>
      <c r="P241" s="12" t="s">
        <v>161</v>
      </c>
      <c r="Q241" s="1" t="s">
        <v>130</v>
      </c>
      <c r="R241" s="2" t="s">
        <v>131</v>
      </c>
      <c r="S241" s="2" t="s">
        <v>131</v>
      </c>
      <c r="T241" s="15" t="s">
        <v>132</v>
      </c>
      <c r="U241" s="12"/>
    </row>
    <row r="242" spans="1:21" ht="93.6" x14ac:dyDescent="0.3">
      <c r="A242" s="1" t="s">
        <v>523</v>
      </c>
      <c r="B242" s="13">
        <v>46134</v>
      </c>
      <c r="C242" s="12" t="s">
        <v>135</v>
      </c>
      <c r="D242" s="8" t="s">
        <v>135</v>
      </c>
      <c r="E242" s="8" t="s">
        <v>24</v>
      </c>
      <c r="F242" s="14" t="s">
        <v>512</v>
      </c>
      <c r="G242" s="15" t="s">
        <v>509</v>
      </c>
      <c r="H242" s="15" t="s">
        <v>510</v>
      </c>
      <c r="I242" s="13" t="s">
        <v>38</v>
      </c>
      <c r="J242" s="68" t="s">
        <v>35</v>
      </c>
      <c r="K242" s="12" t="s">
        <v>135</v>
      </c>
      <c r="L242" s="7">
        <v>46164</v>
      </c>
      <c r="M242" s="13">
        <v>46134</v>
      </c>
      <c r="N242" s="20">
        <f>Table1[[#This Row],[Completion Date]]-Table1[[#This Row],[Date Logged]]</f>
        <v>0</v>
      </c>
      <c r="O242" s="13" t="s">
        <v>58</v>
      </c>
      <c r="P242" s="12" t="s">
        <v>161</v>
      </c>
      <c r="Q242" s="1" t="s">
        <v>130</v>
      </c>
      <c r="R242" s="2" t="s">
        <v>131</v>
      </c>
      <c r="S242" s="2" t="s">
        <v>131</v>
      </c>
      <c r="T242" s="15" t="s">
        <v>132</v>
      </c>
      <c r="U242" s="12"/>
    </row>
    <row r="243" spans="1:21" ht="93.6" x14ac:dyDescent="0.3">
      <c r="A243" s="1" t="s">
        <v>524</v>
      </c>
      <c r="B243" s="13">
        <v>46134</v>
      </c>
      <c r="C243" s="12" t="s">
        <v>135</v>
      </c>
      <c r="D243" s="8" t="s">
        <v>135</v>
      </c>
      <c r="E243" s="8" t="s">
        <v>24</v>
      </c>
      <c r="F243" s="14" t="s">
        <v>512</v>
      </c>
      <c r="G243" s="15" t="s">
        <v>509</v>
      </c>
      <c r="H243" s="15" t="s">
        <v>510</v>
      </c>
      <c r="I243" s="13" t="s">
        <v>38</v>
      </c>
      <c r="J243" s="68" t="s">
        <v>308</v>
      </c>
      <c r="K243" s="12" t="s">
        <v>135</v>
      </c>
      <c r="L243" s="7">
        <v>46164</v>
      </c>
      <c r="M243" s="13">
        <v>46134</v>
      </c>
      <c r="N243" s="20">
        <f>Table1[[#This Row],[Completion Date]]-Table1[[#This Row],[Date Logged]]</f>
        <v>0</v>
      </c>
      <c r="O243" s="13" t="s">
        <v>58</v>
      </c>
      <c r="P243" s="12" t="s">
        <v>161</v>
      </c>
      <c r="Q243" s="1" t="s">
        <v>130</v>
      </c>
      <c r="R243" s="2" t="s">
        <v>131</v>
      </c>
      <c r="S243" s="2" t="s">
        <v>131</v>
      </c>
      <c r="T243" s="15" t="s">
        <v>132</v>
      </c>
      <c r="U243" s="12"/>
    </row>
    <row r="244" spans="1:21" ht="93.6" x14ac:dyDescent="0.3">
      <c r="A244" s="1" t="s">
        <v>525</v>
      </c>
      <c r="B244" s="13">
        <v>46134</v>
      </c>
      <c r="C244" s="12" t="s">
        <v>135</v>
      </c>
      <c r="D244" s="8" t="s">
        <v>135</v>
      </c>
      <c r="E244" s="8" t="s">
        <v>24</v>
      </c>
      <c r="F244" s="24" t="s">
        <v>512</v>
      </c>
      <c r="G244" s="15" t="s">
        <v>509</v>
      </c>
      <c r="H244" s="15" t="s">
        <v>510</v>
      </c>
      <c r="I244" s="13" t="s">
        <v>38</v>
      </c>
      <c r="J244" s="68" t="s">
        <v>235</v>
      </c>
      <c r="K244" s="12" t="s">
        <v>135</v>
      </c>
      <c r="L244" s="7">
        <v>46164</v>
      </c>
      <c r="M244" s="13">
        <v>46134</v>
      </c>
      <c r="N244" s="20">
        <f>Table1[[#This Row],[Completion Date]]-Table1[[#This Row],[Date Logged]]</f>
        <v>0</v>
      </c>
      <c r="O244" s="13" t="s">
        <v>58</v>
      </c>
      <c r="P244" s="12" t="s">
        <v>161</v>
      </c>
      <c r="Q244" s="1" t="s">
        <v>130</v>
      </c>
      <c r="R244" s="2" t="s">
        <v>131</v>
      </c>
      <c r="S244" s="2" t="s">
        <v>131</v>
      </c>
      <c r="T244" s="15" t="s">
        <v>132</v>
      </c>
      <c r="U244" s="12"/>
    </row>
    <row r="245" spans="1:21" ht="78" x14ac:dyDescent="0.3">
      <c r="A245" s="1" t="s">
        <v>526</v>
      </c>
      <c r="B245" s="13">
        <v>46135</v>
      </c>
      <c r="C245" s="1" t="s">
        <v>148</v>
      </c>
      <c r="D245" s="8" t="s">
        <v>148</v>
      </c>
      <c r="E245" s="8" t="s">
        <v>24</v>
      </c>
      <c r="F245" s="24" t="s">
        <v>514</v>
      </c>
      <c r="G245" s="2" t="s">
        <v>515</v>
      </c>
      <c r="H245" s="2" t="s">
        <v>513</v>
      </c>
      <c r="I245" s="13" t="s">
        <v>38</v>
      </c>
      <c r="J245" s="68" t="s">
        <v>516</v>
      </c>
      <c r="K245" s="12" t="s">
        <v>148</v>
      </c>
      <c r="L245" s="7">
        <v>46135</v>
      </c>
      <c r="M245" s="13">
        <v>46135</v>
      </c>
      <c r="N245" s="20">
        <f>Table1[[#This Row],[Completion Date]]-Table1[[#This Row],[Date Logged]]</f>
        <v>0</v>
      </c>
      <c r="O245" s="13" t="s">
        <v>58</v>
      </c>
      <c r="P245" s="12" t="s">
        <v>161</v>
      </c>
      <c r="Q245" s="12" t="s">
        <v>130</v>
      </c>
      <c r="R245" s="15" t="s">
        <v>131</v>
      </c>
      <c r="S245" s="15" t="s">
        <v>131</v>
      </c>
      <c r="T245" s="15" t="s">
        <v>132</v>
      </c>
      <c r="U245" s="12"/>
    </row>
    <row r="246" spans="1:21" ht="78" x14ac:dyDescent="0.3">
      <c r="A246" s="1" t="s">
        <v>527</v>
      </c>
      <c r="B246" s="13">
        <v>46135</v>
      </c>
      <c r="C246" s="12" t="s">
        <v>148</v>
      </c>
      <c r="D246" s="8" t="s">
        <v>148</v>
      </c>
      <c r="E246" s="8" t="s">
        <v>24</v>
      </c>
      <c r="F246" s="14" t="s">
        <v>514</v>
      </c>
      <c r="G246" s="15" t="s">
        <v>515</v>
      </c>
      <c r="H246" s="15" t="s">
        <v>513</v>
      </c>
      <c r="I246" s="13" t="s">
        <v>38</v>
      </c>
      <c r="J246" s="68" t="s">
        <v>32</v>
      </c>
      <c r="K246" s="12" t="s">
        <v>148</v>
      </c>
      <c r="L246" s="7">
        <v>46165</v>
      </c>
      <c r="M246" s="13">
        <v>46135</v>
      </c>
      <c r="N246" s="20">
        <f>Table1[[#This Row],[Completion Date]]-Table1[[#This Row],[Date Logged]]</f>
        <v>0</v>
      </c>
      <c r="O246" s="13" t="s">
        <v>58</v>
      </c>
      <c r="P246" s="12" t="s">
        <v>161</v>
      </c>
      <c r="Q246" s="12" t="s">
        <v>130</v>
      </c>
      <c r="R246" s="15" t="s">
        <v>131</v>
      </c>
      <c r="S246" s="15" t="s">
        <v>131</v>
      </c>
      <c r="T246" s="15" t="s">
        <v>132</v>
      </c>
      <c r="U246" s="12"/>
    </row>
    <row r="247" spans="1:21" ht="78" x14ac:dyDescent="0.3">
      <c r="A247" s="1" t="s">
        <v>528</v>
      </c>
      <c r="B247" s="13">
        <v>46135</v>
      </c>
      <c r="C247" s="12" t="s">
        <v>148</v>
      </c>
      <c r="D247" s="8" t="s">
        <v>148</v>
      </c>
      <c r="E247" s="8" t="s">
        <v>24</v>
      </c>
      <c r="F247" s="14" t="s">
        <v>514</v>
      </c>
      <c r="G247" s="15" t="s">
        <v>515</v>
      </c>
      <c r="H247" s="15" t="s">
        <v>513</v>
      </c>
      <c r="I247" s="13" t="s">
        <v>38</v>
      </c>
      <c r="J247" s="68" t="s">
        <v>158</v>
      </c>
      <c r="K247" s="12" t="s">
        <v>148</v>
      </c>
      <c r="L247" s="7">
        <v>46165</v>
      </c>
      <c r="M247" s="13">
        <v>46135</v>
      </c>
      <c r="N247" s="20">
        <f>Table1[[#This Row],[Completion Date]]-Table1[[#This Row],[Date Logged]]</f>
        <v>0</v>
      </c>
      <c r="O247" s="13" t="s">
        <v>58</v>
      </c>
      <c r="P247" s="12" t="s">
        <v>161</v>
      </c>
      <c r="Q247" s="12" t="s">
        <v>130</v>
      </c>
      <c r="R247" s="15" t="s">
        <v>131</v>
      </c>
      <c r="S247" s="15" t="s">
        <v>131</v>
      </c>
      <c r="T247" s="15" t="s">
        <v>132</v>
      </c>
      <c r="U247" s="12"/>
    </row>
    <row r="248" spans="1:21" ht="78" x14ac:dyDescent="0.3">
      <c r="A248" s="1" t="s">
        <v>529</v>
      </c>
      <c r="B248" s="13">
        <v>46135</v>
      </c>
      <c r="C248" s="12" t="s">
        <v>148</v>
      </c>
      <c r="D248" s="8" t="s">
        <v>148</v>
      </c>
      <c r="E248" s="8" t="s">
        <v>24</v>
      </c>
      <c r="F248" s="14" t="s">
        <v>514</v>
      </c>
      <c r="G248" s="2" t="s">
        <v>515</v>
      </c>
      <c r="H248" s="15" t="s">
        <v>513</v>
      </c>
      <c r="I248" s="13" t="s">
        <v>38</v>
      </c>
      <c r="J248" s="68" t="s">
        <v>34</v>
      </c>
      <c r="K248" s="12" t="s">
        <v>148</v>
      </c>
      <c r="L248" s="7">
        <v>46165</v>
      </c>
      <c r="M248" s="13">
        <v>46135</v>
      </c>
      <c r="N248" s="20">
        <f>Table1[[#This Row],[Completion Date]]-Table1[[#This Row],[Date Logged]]</f>
        <v>0</v>
      </c>
      <c r="O248" s="13" t="s">
        <v>58</v>
      </c>
      <c r="P248" s="12" t="s">
        <v>161</v>
      </c>
      <c r="Q248" s="12" t="s">
        <v>130</v>
      </c>
      <c r="R248" s="15" t="s">
        <v>131</v>
      </c>
      <c r="S248" s="15" t="s">
        <v>131</v>
      </c>
      <c r="T248" s="15" t="s">
        <v>132</v>
      </c>
      <c r="U248" s="12"/>
    </row>
    <row r="249" spans="1:21" ht="78" x14ac:dyDescent="0.3">
      <c r="A249" s="1" t="s">
        <v>530</v>
      </c>
      <c r="B249" s="13">
        <v>46135</v>
      </c>
      <c r="C249" s="12" t="s">
        <v>148</v>
      </c>
      <c r="D249" s="8" t="s">
        <v>148</v>
      </c>
      <c r="E249" s="8" t="s">
        <v>24</v>
      </c>
      <c r="F249" s="14" t="s">
        <v>514</v>
      </c>
      <c r="G249" s="15" t="s">
        <v>515</v>
      </c>
      <c r="H249" s="15" t="s">
        <v>513</v>
      </c>
      <c r="I249" s="13" t="s">
        <v>38</v>
      </c>
      <c r="J249" s="68" t="s">
        <v>517</v>
      </c>
      <c r="K249" s="12" t="s">
        <v>148</v>
      </c>
      <c r="L249" s="7">
        <v>46165</v>
      </c>
      <c r="M249" s="13">
        <v>46135</v>
      </c>
      <c r="N249" s="20">
        <f>Table1[[#This Row],[Completion Date]]-Table1[[#This Row],[Date Logged]]</f>
        <v>0</v>
      </c>
      <c r="O249" s="13" t="s">
        <v>58</v>
      </c>
      <c r="P249" s="12" t="s">
        <v>161</v>
      </c>
      <c r="Q249" s="12" t="s">
        <v>130</v>
      </c>
      <c r="R249" s="15" t="s">
        <v>131</v>
      </c>
      <c r="S249" s="15" t="s">
        <v>131</v>
      </c>
      <c r="T249" s="15" t="s">
        <v>132</v>
      </c>
      <c r="U249" s="12"/>
    </row>
    <row r="250" spans="1:21" ht="78" x14ac:dyDescent="0.3">
      <c r="A250" s="1" t="s">
        <v>531</v>
      </c>
      <c r="B250" s="13">
        <v>46135</v>
      </c>
      <c r="C250" s="12" t="s">
        <v>148</v>
      </c>
      <c r="D250" s="8" t="s">
        <v>148</v>
      </c>
      <c r="E250" s="8" t="s">
        <v>24</v>
      </c>
      <c r="F250" s="14" t="s">
        <v>514</v>
      </c>
      <c r="G250" s="15" t="s">
        <v>515</v>
      </c>
      <c r="H250" s="15" t="s">
        <v>513</v>
      </c>
      <c r="I250" s="13" t="s">
        <v>38</v>
      </c>
      <c r="J250" s="68" t="s">
        <v>518</v>
      </c>
      <c r="K250" s="12" t="s">
        <v>148</v>
      </c>
      <c r="L250" s="7">
        <v>46165</v>
      </c>
      <c r="M250" s="13">
        <v>46135</v>
      </c>
      <c r="N250" s="20">
        <f>Table1[[#This Row],[Completion Date]]-Table1[[#This Row],[Date Logged]]</f>
        <v>0</v>
      </c>
      <c r="O250" s="13" t="s">
        <v>58</v>
      </c>
      <c r="P250" s="12" t="s">
        <v>161</v>
      </c>
      <c r="Q250" s="12" t="s">
        <v>130</v>
      </c>
      <c r="R250" s="15" t="s">
        <v>131</v>
      </c>
      <c r="S250" s="15" t="s">
        <v>131</v>
      </c>
      <c r="T250" s="15" t="s">
        <v>132</v>
      </c>
      <c r="U250" s="12"/>
    </row>
    <row r="251" spans="1:21" ht="78" x14ac:dyDescent="0.3">
      <c r="A251" s="1" t="s">
        <v>536</v>
      </c>
      <c r="B251" s="13">
        <v>46136</v>
      </c>
      <c r="C251" s="1" t="s">
        <v>135</v>
      </c>
      <c r="D251" s="8" t="s">
        <v>135</v>
      </c>
      <c r="E251" s="8" t="s">
        <v>24</v>
      </c>
      <c r="F251" s="24" t="s">
        <v>532</v>
      </c>
      <c r="G251" s="2" t="s">
        <v>533</v>
      </c>
      <c r="H251" s="2" t="s">
        <v>534</v>
      </c>
      <c r="I251" s="13" t="s">
        <v>38</v>
      </c>
      <c r="J251" s="68" t="s">
        <v>535</v>
      </c>
      <c r="K251" s="1" t="s">
        <v>135</v>
      </c>
      <c r="L251" s="7">
        <v>46136</v>
      </c>
      <c r="M251" s="13">
        <v>46136</v>
      </c>
      <c r="N251" s="20">
        <f>Table1[[#This Row],[Completion Date]]-Table1[[#This Row],[Date Logged]]</f>
        <v>0</v>
      </c>
      <c r="O251" s="13" t="s">
        <v>58</v>
      </c>
      <c r="P251" s="12" t="s">
        <v>161</v>
      </c>
      <c r="Q251" s="12" t="s">
        <v>130</v>
      </c>
      <c r="R251" s="15" t="s">
        <v>131</v>
      </c>
      <c r="S251" s="15" t="s">
        <v>131</v>
      </c>
      <c r="T251" s="15" t="s">
        <v>132</v>
      </c>
      <c r="U251" s="12"/>
    </row>
    <row r="252" spans="1:21" ht="78" x14ac:dyDescent="0.3">
      <c r="A252" s="1" t="s">
        <v>537</v>
      </c>
      <c r="B252" s="13">
        <v>46136</v>
      </c>
      <c r="C252" s="12" t="s">
        <v>135</v>
      </c>
      <c r="D252" s="8" t="s">
        <v>135</v>
      </c>
      <c r="E252" s="8" t="s">
        <v>24</v>
      </c>
      <c r="F252" s="14" t="s">
        <v>532</v>
      </c>
      <c r="G252" s="15" t="s">
        <v>533</v>
      </c>
      <c r="H252" s="15" t="s">
        <v>534</v>
      </c>
      <c r="I252" s="13" t="s">
        <v>38</v>
      </c>
      <c r="J252" s="68" t="s">
        <v>261</v>
      </c>
      <c r="K252" s="12" t="s">
        <v>135</v>
      </c>
      <c r="L252" s="7">
        <v>46166</v>
      </c>
      <c r="M252" s="13">
        <v>46139</v>
      </c>
      <c r="N252" s="20">
        <f>Table1[[#This Row],[Completion Date]]-Table1[[#This Row],[Date Logged]]</f>
        <v>3</v>
      </c>
      <c r="O252" s="13" t="s">
        <v>58</v>
      </c>
      <c r="P252" s="12" t="s">
        <v>161</v>
      </c>
      <c r="Q252" s="12" t="s">
        <v>130</v>
      </c>
      <c r="R252" s="15" t="s">
        <v>131</v>
      </c>
      <c r="S252" s="15" t="s">
        <v>131</v>
      </c>
      <c r="T252" s="15" t="s">
        <v>132</v>
      </c>
      <c r="U252" s="12"/>
    </row>
    <row r="253" spans="1:21" ht="78" x14ac:dyDescent="0.3">
      <c r="A253" s="1" t="s">
        <v>538</v>
      </c>
      <c r="B253" s="13">
        <v>46136</v>
      </c>
      <c r="C253" s="12" t="s">
        <v>135</v>
      </c>
      <c r="D253" s="8" t="s">
        <v>135</v>
      </c>
      <c r="E253" s="8" t="s">
        <v>24</v>
      </c>
      <c r="F253" s="14" t="s">
        <v>532</v>
      </c>
      <c r="G253" s="15" t="s">
        <v>533</v>
      </c>
      <c r="H253" s="15" t="s">
        <v>534</v>
      </c>
      <c r="I253" s="13" t="s">
        <v>38</v>
      </c>
      <c r="J253" s="68" t="s">
        <v>158</v>
      </c>
      <c r="K253" s="12" t="s">
        <v>135</v>
      </c>
      <c r="L253" s="7">
        <v>46166</v>
      </c>
      <c r="M253" s="13">
        <v>46139</v>
      </c>
      <c r="N253" s="20">
        <f>Table1[[#This Row],[Completion Date]]-Table1[[#This Row],[Date Logged]]</f>
        <v>3</v>
      </c>
      <c r="O253" s="13" t="s">
        <v>58</v>
      </c>
      <c r="P253" s="12" t="s">
        <v>161</v>
      </c>
      <c r="Q253" s="12" t="s">
        <v>130</v>
      </c>
      <c r="R253" s="15" t="s">
        <v>131</v>
      </c>
      <c r="S253" s="15" t="s">
        <v>131</v>
      </c>
      <c r="T253" s="15" t="s">
        <v>132</v>
      </c>
      <c r="U253" s="12"/>
    </row>
    <row r="254" spans="1:21" ht="78" x14ac:dyDescent="0.3">
      <c r="A254" s="1" t="s">
        <v>539</v>
      </c>
      <c r="B254" s="13">
        <v>46136</v>
      </c>
      <c r="C254" s="12" t="s">
        <v>135</v>
      </c>
      <c r="D254" s="8" t="s">
        <v>135</v>
      </c>
      <c r="E254" s="8" t="s">
        <v>24</v>
      </c>
      <c r="F254" s="14" t="s">
        <v>532</v>
      </c>
      <c r="G254" s="15" t="s">
        <v>533</v>
      </c>
      <c r="H254" s="15" t="s">
        <v>534</v>
      </c>
      <c r="I254" s="13" t="s">
        <v>38</v>
      </c>
      <c r="J254" s="68" t="s">
        <v>34</v>
      </c>
      <c r="K254" s="12" t="s">
        <v>135</v>
      </c>
      <c r="L254" s="7">
        <v>46166</v>
      </c>
      <c r="M254" s="13">
        <v>46139</v>
      </c>
      <c r="N254" s="20">
        <f>Table1[[#This Row],[Completion Date]]-Table1[[#This Row],[Date Logged]]</f>
        <v>3</v>
      </c>
      <c r="O254" s="13" t="s">
        <v>58</v>
      </c>
      <c r="P254" s="12" t="s">
        <v>161</v>
      </c>
      <c r="Q254" s="12" t="s">
        <v>130</v>
      </c>
      <c r="R254" s="15" t="s">
        <v>131</v>
      </c>
      <c r="S254" s="15" t="s">
        <v>131</v>
      </c>
      <c r="T254" s="15" t="s">
        <v>132</v>
      </c>
      <c r="U254" s="12"/>
    </row>
    <row r="255" spans="1:21" ht="78" x14ac:dyDescent="0.3">
      <c r="A255" s="1" t="s">
        <v>540</v>
      </c>
      <c r="B255" s="13">
        <v>46136</v>
      </c>
      <c r="C255" s="12" t="s">
        <v>135</v>
      </c>
      <c r="D255" s="8" t="s">
        <v>135</v>
      </c>
      <c r="E255" s="8" t="s">
        <v>24</v>
      </c>
      <c r="F255" s="14" t="s">
        <v>532</v>
      </c>
      <c r="G255" s="15" t="s">
        <v>533</v>
      </c>
      <c r="H255" s="15" t="s">
        <v>534</v>
      </c>
      <c r="I255" s="13" t="s">
        <v>38</v>
      </c>
      <c r="J255" s="68" t="s">
        <v>35</v>
      </c>
      <c r="K255" s="12" t="s">
        <v>135</v>
      </c>
      <c r="L255" s="7">
        <v>46166</v>
      </c>
      <c r="M255" s="13">
        <v>46139</v>
      </c>
      <c r="N255" s="20">
        <f>Table1[[#This Row],[Completion Date]]-Table1[[#This Row],[Date Logged]]</f>
        <v>3</v>
      </c>
      <c r="O255" s="13" t="s">
        <v>58</v>
      </c>
      <c r="P255" s="12" t="s">
        <v>161</v>
      </c>
      <c r="Q255" s="12" t="s">
        <v>130</v>
      </c>
      <c r="R255" s="15" t="s">
        <v>131</v>
      </c>
      <c r="S255" s="15" t="s">
        <v>131</v>
      </c>
      <c r="T255" s="15" t="s">
        <v>132</v>
      </c>
      <c r="U255" s="12"/>
    </row>
    <row r="256" spans="1:21" ht="78" x14ac:dyDescent="0.3">
      <c r="A256" s="1" t="s">
        <v>541</v>
      </c>
      <c r="B256" s="13">
        <v>46136</v>
      </c>
      <c r="C256" s="12" t="s">
        <v>135</v>
      </c>
      <c r="D256" s="8" t="s">
        <v>135</v>
      </c>
      <c r="E256" s="8" t="s">
        <v>24</v>
      </c>
      <c r="F256" s="14" t="s">
        <v>532</v>
      </c>
      <c r="G256" s="15" t="s">
        <v>533</v>
      </c>
      <c r="H256" s="15" t="s">
        <v>534</v>
      </c>
      <c r="I256" s="13" t="s">
        <v>38</v>
      </c>
      <c r="J256" s="68" t="s">
        <v>308</v>
      </c>
      <c r="K256" s="12" t="s">
        <v>135</v>
      </c>
      <c r="L256" s="7">
        <v>46166</v>
      </c>
      <c r="M256" s="13">
        <v>46139</v>
      </c>
      <c r="N256" s="20">
        <f>Table1[[#This Row],[Completion Date]]-Table1[[#This Row],[Date Logged]]</f>
        <v>3</v>
      </c>
      <c r="O256" s="13" t="s">
        <v>58</v>
      </c>
      <c r="P256" s="12" t="s">
        <v>161</v>
      </c>
      <c r="Q256" s="12" t="s">
        <v>130</v>
      </c>
      <c r="R256" s="15" t="s">
        <v>131</v>
      </c>
      <c r="S256" s="15" t="s">
        <v>131</v>
      </c>
      <c r="T256" s="15" t="s">
        <v>132</v>
      </c>
      <c r="U256" s="12"/>
    </row>
    <row r="257" spans="1:21" ht="78" x14ac:dyDescent="0.3">
      <c r="A257" s="1" t="s">
        <v>542</v>
      </c>
      <c r="B257" s="13">
        <v>46136</v>
      </c>
      <c r="C257" s="12" t="s">
        <v>135</v>
      </c>
      <c r="D257" s="8" t="s">
        <v>135</v>
      </c>
      <c r="E257" s="8" t="s">
        <v>24</v>
      </c>
      <c r="F257" s="14" t="s">
        <v>532</v>
      </c>
      <c r="G257" s="15" t="s">
        <v>533</v>
      </c>
      <c r="H257" s="15" t="s">
        <v>534</v>
      </c>
      <c r="I257" s="13" t="s">
        <v>38</v>
      </c>
      <c r="J257" s="68" t="s">
        <v>235</v>
      </c>
      <c r="K257" s="12" t="s">
        <v>135</v>
      </c>
      <c r="L257" s="7">
        <v>46166</v>
      </c>
      <c r="M257" s="13">
        <v>46139</v>
      </c>
      <c r="N257" s="20">
        <f>Table1[[#This Row],[Completion Date]]-Table1[[#This Row],[Date Logged]]</f>
        <v>3</v>
      </c>
      <c r="O257" s="13" t="s">
        <v>58</v>
      </c>
      <c r="P257" s="12" t="s">
        <v>161</v>
      </c>
      <c r="Q257" s="12" t="s">
        <v>130</v>
      </c>
      <c r="R257" s="15" t="s">
        <v>131</v>
      </c>
      <c r="S257" s="15" t="s">
        <v>131</v>
      </c>
      <c r="T257" s="15" t="s">
        <v>132</v>
      </c>
      <c r="U257" s="12"/>
    </row>
    <row r="258" spans="1:21" ht="90" x14ac:dyDescent="0.3">
      <c r="A258" s="1" t="s">
        <v>757</v>
      </c>
      <c r="B258" s="13">
        <v>46148</v>
      </c>
      <c r="C258" s="1" t="s">
        <v>44</v>
      </c>
      <c r="D258" s="8" t="s">
        <v>44</v>
      </c>
      <c r="E258" s="8" t="s">
        <v>24</v>
      </c>
      <c r="F258" s="24" t="s">
        <v>553</v>
      </c>
      <c r="G258" s="2" t="s">
        <v>554</v>
      </c>
      <c r="H258" s="2" t="s">
        <v>552</v>
      </c>
      <c r="I258" s="13" t="s">
        <v>78</v>
      </c>
      <c r="J258" s="9" t="s">
        <v>763</v>
      </c>
      <c r="K258" s="1" t="s">
        <v>556</v>
      </c>
      <c r="L258" s="7">
        <v>46209</v>
      </c>
      <c r="M258" s="13">
        <v>46176</v>
      </c>
      <c r="N258" s="20">
        <f>Table1[[#This Row],[Completion Date]]-Table1[[#This Row],[Date Logged]]</f>
        <v>28</v>
      </c>
      <c r="O258" s="13" t="s">
        <v>58</v>
      </c>
      <c r="P258" s="1" t="s">
        <v>161</v>
      </c>
      <c r="Q258" s="1" t="s">
        <v>131</v>
      </c>
      <c r="R258" s="2" t="s">
        <v>131</v>
      </c>
      <c r="S258" s="2" t="s">
        <v>131</v>
      </c>
      <c r="T258" s="15" t="s">
        <v>223</v>
      </c>
      <c r="U258" s="1" t="s">
        <v>789</v>
      </c>
    </row>
    <row r="259" spans="1:21" ht="90" x14ac:dyDescent="0.3">
      <c r="A259" s="1" t="s">
        <v>758</v>
      </c>
      <c r="B259" s="13">
        <v>46148</v>
      </c>
      <c r="C259" s="12" t="s">
        <v>44</v>
      </c>
      <c r="D259" s="8" t="s">
        <v>44</v>
      </c>
      <c r="E259" s="8" t="s">
        <v>24</v>
      </c>
      <c r="F259" s="14" t="s">
        <v>553</v>
      </c>
      <c r="G259" s="15" t="s">
        <v>554</v>
      </c>
      <c r="H259" s="15" t="s">
        <v>552</v>
      </c>
      <c r="I259" s="13" t="s">
        <v>78</v>
      </c>
      <c r="J259" s="9" t="s">
        <v>764</v>
      </c>
      <c r="K259" s="1" t="s">
        <v>555</v>
      </c>
      <c r="L259" s="7">
        <v>46210</v>
      </c>
      <c r="M259" s="13">
        <v>46176</v>
      </c>
      <c r="N259" s="20">
        <f>Table1[[#This Row],[Completion Date]]-Table1[[#This Row],[Date Logged]]</f>
        <v>28</v>
      </c>
      <c r="O259" s="13" t="s">
        <v>58</v>
      </c>
      <c r="P259" s="1" t="s">
        <v>161</v>
      </c>
      <c r="Q259" s="1" t="s">
        <v>131</v>
      </c>
      <c r="R259" s="2" t="s">
        <v>131</v>
      </c>
      <c r="S259" s="2" t="s">
        <v>131</v>
      </c>
      <c r="T259" s="15" t="s">
        <v>223</v>
      </c>
      <c r="U259" s="1" t="s">
        <v>789</v>
      </c>
    </row>
    <row r="260" spans="1:21" ht="90" x14ac:dyDescent="0.3">
      <c r="A260" s="1" t="s">
        <v>759</v>
      </c>
      <c r="B260" s="13">
        <v>46148</v>
      </c>
      <c r="C260" s="12" t="s">
        <v>44</v>
      </c>
      <c r="D260" s="8" t="s">
        <v>44</v>
      </c>
      <c r="E260" s="8" t="s">
        <v>24</v>
      </c>
      <c r="F260" s="14" t="s">
        <v>553</v>
      </c>
      <c r="G260" s="15" t="s">
        <v>554</v>
      </c>
      <c r="H260" s="15" t="s">
        <v>552</v>
      </c>
      <c r="I260" s="13" t="s">
        <v>78</v>
      </c>
      <c r="J260" s="9" t="s">
        <v>765</v>
      </c>
      <c r="K260" s="1" t="s">
        <v>766</v>
      </c>
      <c r="L260" s="7">
        <v>46211</v>
      </c>
      <c r="M260" s="13">
        <v>46176</v>
      </c>
      <c r="N260" s="20">
        <f>Table1[[#This Row],[Completion Date]]-Table1[[#This Row],[Date Logged]]</f>
        <v>28</v>
      </c>
      <c r="O260" s="13" t="s">
        <v>58</v>
      </c>
      <c r="P260" s="1" t="s">
        <v>161</v>
      </c>
      <c r="Q260" s="1" t="s">
        <v>131</v>
      </c>
      <c r="R260" s="2" t="s">
        <v>131</v>
      </c>
      <c r="S260" s="2" t="s">
        <v>131</v>
      </c>
      <c r="T260" s="15" t="s">
        <v>223</v>
      </c>
      <c r="U260" s="1" t="s">
        <v>789</v>
      </c>
    </row>
    <row r="261" spans="1:21" ht="90" x14ac:dyDescent="0.3">
      <c r="A261" s="1" t="s">
        <v>760</v>
      </c>
      <c r="B261" s="13">
        <v>46148</v>
      </c>
      <c r="C261" s="12" t="s">
        <v>44</v>
      </c>
      <c r="D261" s="8" t="s">
        <v>44</v>
      </c>
      <c r="E261" s="8" t="s">
        <v>24</v>
      </c>
      <c r="F261" s="14" t="s">
        <v>553</v>
      </c>
      <c r="G261" s="15" t="s">
        <v>554</v>
      </c>
      <c r="H261" s="15" t="s">
        <v>552</v>
      </c>
      <c r="I261" s="13" t="s">
        <v>78</v>
      </c>
      <c r="J261" s="9" t="s">
        <v>767</v>
      </c>
      <c r="K261" s="2" t="s">
        <v>568</v>
      </c>
      <c r="L261" s="7">
        <v>46212</v>
      </c>
      <c r="M261" s="13">
        <v>46176</v>
      </c>
      <c r="N261" s="20">
        <f>Table1[[#This Row],[Completion Date]]-Table1[[#This Row],[Date Logged]]</f>
        <v>28</v>
      </c>
      <c r="O261" s="13" t="s">
        <v>58</v>
      </c>
      <c r="P261" s="1" t="s">
        <v>161</v>
      </c>
      <c r="Q261" s="1" t="s">
        <v>131</v>
      </c>
      <c r="R261" s="2" t="s">
        <v>131</v>
      </c>
      <c r="S261" s="2" t="s">
        <v>131</v>
      </c>
      <c r="T261" s="15" t="s">
        <v>223</v>
      </c>
      <c r="U261" s="1" t="s">
        <v>789</v>
      </c>
    </row>
    <row r="262" spans="1:21" ht="90" x14ac:dyDescent="0.3">
      <c r="A262" s="1" t="s">
        <v>761</v>
      </c>
      <c r="B262" s="13">
        <v>46148</v>
      </c>
      <c r="C262" s="12" t="s">
        <v>44</v>
      </c>
      <c r="D262" s="8" t="s">
        <v>44</v>
      </c>
      <c r="E262" s="8" t="s">
        <v>24</v>
      </c>
      <c r="F262" s="14" t="s">
        <v>553</v>
      </c>
      <c r="G262" s="15" t="s">
        <v>554</v>
      </c>
      <c r="H262" s="15" t="s">
        <v>552</v>
      </c>
      <c r="I262" s="13" t="s">
        <v>78</v>
      </c>
      <c r="J262" s="9" t="s">
        <v>768</v>
      </c>
      <c r="K262" s="12" t="s">
        <v>42</v>
      </c>
      <c r="L262" s="7">
        <v>46213</v>
      </c>
      <c r="M262" s="13">
        <v>46178</v>
      </c>
      <c r="N262" s="20">
        <f>Table1[[#This Row],[Completion Date]]-Table1[[#This Row],[Date Logged]]</f>
        <v>30</v>
      </c>
      <c r="O262" s="13" t="s">
        <v>58</v>
      </c>
      <c r="P262" s="1" t="s">
        <v>161</v>
      </c>
      <c r="Q262" s="1" t="s">
        <v>131</v>
      </c>
      <c r="R262" s="2" t="s">
        <v>131</v>
      </c>
      <c r="S262" s="2" t="s">
        <v>131</v>
      </c>
      <c r="T262" s="15" t="s">
        <v>223</v>
      </c>
      <c r="U262" s="1" t="s">
        <v>789</v>
      </c>
    </row>
    <row r="263" spans="1:21" ht="90" x14ac:dyDescent="0.3">
      <c r="A263" s="1" t="s">
        <v>769</v>
      </c>
      <c r="B263" s="13">
        <v>46148</v>
      </c>
      <c r="C263" s="12" t="s">
        <v>44</v>
      </c>
      <c r="D263" s="8" t="s">
        <v>44</v>
      </c>
      <c r="E263" s="8" t="s">
        <v>24</v>
      </c>
      <c r="F263" s="14" t="s">
        <v>553</v>
      </c>
      <c r="G263" s="15" t="s">
        <v>554</v>
      </c>
      <c r="H263" s="15" t="s">
        <v>552</v>
      </c>
      <c r="I263" s="13" t="s">
        <v>78</v>
      </c>
      <c r="J263" s="9" t="s">
        <v>771</v>
      </c>
      <c r="K263" s="1" t="s">
        <v>42</v>
      </c>
      <c r="L263" s="7">
        <v>46213</v>
      </c>
      <c r="M263" s="58">
        <v>46178</v>
      </c>
      <c r="N263" s="60">
        <f>Table1[[#This Row],[Completion Date]]-Table1[[#This Row],[Date Logged]]</f>
        <v>30</v>
      </c>
      <c r="O263" s="58" t="s">
        <v>58</v>
      </c>
      <c r="P263" s="1" t="s">
        <v>161</v>
      </c>
      <c r="Q263" s="1" t="s">
        <v>131</v>
      </c>
      <c r="R263" s="2" t="s">
        <v>131</v>
      </c>
      <c r="S263" s="2" t="s">
        <v>131</v>
      </c>
      <c r="T263" s="15" t="s">
        <v>223</v>
      </c>
      <c r="U263" s="1" t="s">
        <v>789</v>
      </c>
    </row>
    <row r="264" spans="1:21" ht="90" x14ac:dyDescent="0.3">
      <c r="A264" s="1" t="s">
        <v>770</v>
      </c>
      <c r="B264" s="13">
        <v>46148</v>
      </c>
      <c r="C264" s="12" t="s">
        <v>44</v>
      </c>
      <c r="D264" s="8" t="s">
        <v>44</v>
      </c>
      <c r="E264" s="8" t="s">
        <v>24</v>
      </c>
      <c r="F264" s="14" t="s">
        <v>553</v>
      </c>
      <c r="G264" s="15" t="s">
        <v>554</v>
      </c>
      <c r="H264" s="15" t="s">
        <v>552</v>
      </c>
      <c r="I264" s="13" t="s">
        <v>78</v>
      </c>
      <c r="J264" s="9" t="s">
        <v>772</v>
      </c>
      <c r="K264" s="2" t="s">
        <v>773</v>
      </c>
      <c r="L264" s="7">
        <v>46213</v>
      </c>
      <c r="M264" s="58">
        <v>46178</v>
      </c>
      <c r="N264" s="60">
        <f>Table1[[#This Row],[Completion Date]]-Table1[[#This Row],[Date Logged]]</f>
        <v>30</v>
      </c>
      <c r="O264" s="58" t="s">
        <v>58</v>
      </c>
      <c r="P264" s="1" t="s">
        <v>161</v>
      </c>
      <c r="Q264" s="1" t="s">
        <v>131</v>
      </c>
      <c r="R264" s="2" t="s">
        <v>131</v>
      </c>
      <c r="S264" s="2" t="s">
        <v>131</v>
      </c>
      <c r="T264" s="15" t="s">
        <v>223</v>
      </c>
      <c r="U264" s="1" t="s">
        <v>789</v>
      </c>
    </row>
    <row r="265" spans="1:21" ht="265.2" x14ac:dyDescent="0.3">
      <c r="A265" s="1" t="s">
        <v>563</v>
      </c>
      <c r="B265" s="13">
        <v>46148</v>
      </c>
      <c r="C265" s="1" t="s">
        <v>100</v>
      </c>
      <c r="D265" s="8" t="s">
        <v>23</v>
      </c>
      <c r="E265" s="8" t="s">
        <v>24</v>
      </c>
      <c r="F265" s="24" t="s">
        <v>557</v>
      </c>
      <c r="G265" s="2" t="s">
        <v>558</v>
      </c>
      <c r="H265" s="2" t="s">
        <v>47</v>
      </c>
      <c r="I265" s="13" t="s">
        <v>38</v>
      </c>
      <c r="J265" s="9" t="s">
        <v>762</v>
      </c>
      <c r="K265" s="1" t="s">
        <v>42</v>
      </c>
      <c r="L265" s="7">
        <v>46172</v>
      </c>
      <c r="M265" s="13">
        <v>46161</v>
      </c>
      <c r="N265" s="20">
        <f>Table1[[#This Row],[Completion Date]]-Table1[[#This Row],[Date Logged]]</f>
        <v>13</v>
      </c>
      <c r="O265" s="13" t="s">
        <v>58</v>
      </c>
      <c r="P265" s="1" t="s">
        <v>161</v>
      </c>
      <c r="Q265" s="1" t="s">
        <v>130</v>
      </c>
      <c r="R265" s="2" t="s">
        <v>131</v>
      </c>
      <c r="S265" s="2" t="s">
        <v>131</v>
      </c>
      <c r="T265" s="15" t="s">
        <v>132</v>
      </c>
      <c r="U265" s="12"/>
    </row>
    <row r="266" spans="1:21" ht="265.2" x14ac:dyDescent="0.3">
      <c r="A266" s="1" t="s">
        <v>564</v>
      </c>
      <c r="B266" s="13">
        <v>46148</v>
      </c>
      <c r="C266" s="12" t="s">
        <v>100</v>
      </c>
      <c r="D266" s="8" t="s">
        <v>23</v>
      </c>
      <c r="E266" s="8" t="s">
        <v>24</v>
      </c>
      <c r="F266" s="14" t="s">
        <v>557</v>
      </c>
      <c r="G266" s="15" t="s">
        <v>558</v>
      </c>
      <c r="H266" s="15" t="s">
        <v>47</v>
      </c>
      <c r="I266" s="13" t="s">
        <v>38</v>
      </c>
      <c r="J266" s="68" t="s">
        <v>559</v>
      </c>
      <c r="K266" s="2" t="s">
        <v>568</v>
      </c>
      <c r="L266" s="7">
        <v>46179</v>
      </c>
      <c r="M266" s="13">
        <v>46179</v>
      </c>
      <c r="N266" s="20">
        <f>Table1[[#This Row],[Completion Date]]-Table1[[#This Row],[Date Logged]]</f>
        <v>31</v>
      </c>
      <c r="O266" s="13" t="s">
        <v>58</v>
      </c>
      <c r="P266" s="1" t="s">
        <v>161</v>
      </c>
      <c r="Q266" s="1" t="s">
        <v>130</v>
      </c>
      <c r="R266" s="2" t="s">
        <v>131</v>
      </c>
      <c r="S266" s="2" t="s">
        <v>131</v>
      </c>
      <c r="T266" s="15" t="s">
        <v>132</v>
      </c>
      <c r="U266" s="12"/>
    </row>
    <row r="267" spans="1:21" ht="265.2" x14ac:dyDescent="0.3">
      <c r="A267" s="1" t="s">
        <v>565</v>
      </c>
      <c r="B267" s="13">
        <v>46148</v>
      </c>
      <c r="C267" s="12" t="s">
        <v>100</v>
      </c>
      <c r="D267" s="8" t="s">
        <v>23</v>
      </c>
      <c r="E267" s="8" t="s">
        <v>24</v>
      </c>
      <c r="F267" s="14" t="s">
        <v>557</v>
      </c>
      <c r="G267" s="15" t="s">
        <v>558</v>
      </c>
      <c r="H267" s="15" t="s">
        <v>47</v>
      </c>
      <c r="I267" s="13" t="s">
        <v>38</v>
      </c>
      <c r="J267" s="68" t="s">
        <v>560</v>
      </c>
      <c r="K267" s="1" t="s">
        <v>108</v>
      </c>
      <c r="L267" s="7">
        <v>46193</v>
      </c>
      <c r="M267" s="13">
        <v>46182</v>
      </c>
      <c r="N267" s="20">
        <f>Table1[[#This Row],[Completion Date]]-Table1[[#This Row],[Date Logged]]</f>
        <v>34</v>
      </c>
      <c r="O267" s="13" t="s">
        <v>58</v>
      </c>
      <c r="P267" s="1" t="s">
        <v>161</v>
      </c>
      <c r="Q267" s="1" t="s">
        <v>130</v>
      </c>
      <c r="R267" s="2" t="s">
        <v>131</v>
      </c>
      <c r="S267" s="2" t="s">
        <v>131</v>
      </c>
      <c r="T267" s="15" t="s">
        <v>132</v>
      </c>
      <c r="U267" s="12"/>
    </row>
    <row r="268" spans="1:21" ht="265.2" x14ac:dyDescent="0.3">
      <c r="A268" s="1" t="s">
        <v>566</v>
      </c>
      <c r="B268" s="13">
        <v>46148</v>
      </c>
      <c r="C268" s="12" t="s">
        <v>100</v>
      </c>
      <c r="D268" s="8" t="s">
        <v>23</v>
      </c>
      <c r="E268" s="8" t="s">
        <v>24</v>
      </c>
      <c r="F268" s="14" t="s">
        <v>557</v>
      </c>
      <c r="G268" s="15" t="s">
        <v>558</v>
      </c>
      <c r="H268" s="15" t="s">
        <v>47</v>
      </c>
      <c r="I268" s="13" t="s">
        <v>38</v>
      </c>
      <c r="J268" s="68" t="s">
        <v>561</v>
      </c>
      <c r="K268" s="1" t="s">
        <v>42</v>
      </c>
      <c r="L268" s="7">
        <v>46200</v>
      </c>
      <c r="M268" s="13">
        <v>46161</v>
      </c>
      <c r="N268" s="20">
        <f>Table1[[#This Row],[Completion Date]]-Table1[[#This Row],[Date Logged]]</f>
        <v>13</v>
      </c>
      <c r="O268" s="13" t="s">
        <v>58</v>
      </c>
      <c r="P268" s="1" t="s">
        <v>161</v>
      </c>
      <c r="Q268" s="1" t="s">
        <v>130</v>
      </c>
      <c r="R268" s="2" t="s">
        <v>131</v>
      </c>
      <c r="S268" s="2" t="s">
        <v>131</v>
      </c>
      <c r="T268" s="15" t="s">
        <v>132</v>
      </c>
      <c r="U268" s="12"/>
    </row>
    <row r="269" spans="1:21" ht="265.2" x14ac:dyDescent="0.3">
      <c r="A269" s="1" t="s">
        <v>567</v>
      </c>
      <c r="B269" s="13">
        <v>46148</v>
      </c>
      <c r="C269" s="12" t="s">
        <v>100</v>
      </c>
      <c r="D269" s="8" t="s">
        <v>23</v>
      </c>
      <c r="E269" s="8" t="s">
        <v>24</v>
      </c>
      <c r="F269" s="14" t="s">
        <v>557</v>
      </c>
      <c r="G269" s="15" t="s">
        <v>558</v>
      </c>
      <c r="H269" s="15" t="s">
        <v>47</v>
      </c>
      <c r="I269" s="13" t="s">
        <v>38</v>
      </c>
      <c r="J269" s="68" t="s">
        <v>562</v>
      </c>
      <c r="K269" s="2" t="s">
        <v>568</v>
      </c>
      <c r="L269" s="7">
        <v>46214</v>
      </c>
      <c r="M269" s="13">
        <v>46196</v>
      </c>
      <c r="N269" s="20">
        <f>Table1[[#This Row],[Completion Date]]-Table1[[#This Row],[Date Logged]]</f>
        <v>48</v>
      </c>
      <c r="O269" s="13" t="s">
        <v>58</v>
      </c>
      <c r="P269" s="1" t="s">
        <v>161</v>
      </c>
      <c r="Q269" s="1" t="s">
        <v>130</v>
      </c>
      <c r="R269" s="2" t="s">
        <v>131</v>
      </c>
      <c r="S269" s="2" t="s">
        <v>131</v>
      </c>
      <c r="T269" s="15" t="s">
        <v>132</v>
      </c>
      <c r="U269" s="12"/>
    </row>
    <row r="270" spans="1:21" ht="409.6" x14ac:dyDescent="0.3">
      <c r="A270" s="1" t="s">
        <v>888</v>
      </c>
      <c r="B270" s="13">
        <v>46150</v>
      </c>
      <c r="C270" s="1" t="s">
        <v>45</v>
      </c>
      <c r="D270" s="8" t="s">
        <v>23</v>
      </c>
      <c r="E270" s="8" t="s">
        <v>24</v>
      </c>
      <c r="F270" s="24" t="s">
        <v>886</v>
      </c>
      <c r="G270" s="2" t="s">
        <v>887</v>
      </c>
      <c r="H270" s="2" t="s">
        <v>885</v>
      </c>
      <c r="I270" s="13" t="s">
        <v>78</v>
      </c>
      <c r="J270" s="9" t="s">
        <v>893</v>
      </c>
      <c r="K270" s="2" t="s">
        <v>898</v>
      </c>
      <c r="L270" s="7">
        <v>46248</v>
      </c>
      <c r="M270" s="13"/>
      <c r="N270" s="20">
        <f>Table1[[#This Row],[Completion Date]]-Table1[[#This Row],[Date Logged]]</f>
        <v>-46150</v>
      </c>
      <c r="O270" s="13" t="s">
        <v>59</v>
      </c>
      <c r="P270" s="12"/>
      <c r="Q270" s="12"/>
      <c r="R270" s="15"/>
      <c r="S270" s="15"/>
      <c r="T270" s="15" t="s">
        <v>133</v>
      </c>
      <c r="U270" s="12"/>
    </row>
    <row r="271" spans="1:21" ht="409.6" x14ac:dyDescent="0.3">
      <c r="A271" s="1" t="s">
        <v>889</v>
      </c>
      <c r="B271" s="13">
        <v>46150</v>
      </c>
      <c r="C271" s="1" t="s">
        <v>45</v>
      </c>
      <c r="D271" s="8" t="s">
        <v>23</v>
      </c>
      <c r="E271" s="8" t="s">
        <v>24</v>
      </c>
      <c r="F271" s="24" t="s">
        <v>886</v>
      </c>
      <c r="G271" s="2" t="s">
        <v>887</v>
      </c>
      <c r="H271" s="2" t="s">
        <v>885</v>
      </c>
      <c r="I271" s="13" t="s">
        <v>78</v>
      </c>
      <c r="J271" s="9" t="s">
        <v>894</v>
      </c>
      <c r="K271" s="1" t="s">
        <v>45</v>
      </c>
      <c r="L271" s="7">
        <v>46248</v>
      </c>
      <c r="M271" s="13"/>
      <c r="N271" s="20">
        <f>Table1[[#This Row],[Completion Date]]-Table1[[#This Row],[Date Logged]]</f>
        <v>-46150</v>
      </c>
      <c r="O271" s="13" t="s">
        <v>59</v>
      </c>
      <c r="P271" s="12"/>
      <c r="Q271" s="12"/>
      <c r="R271" s="15"/>
      <c r="S271" s="15"/>
      <c r="T271" s="15" t="s">
        <v>133</v>
      </c>
      <c r="U271" s="1"/>
    </row>
    <row r="272" spans="1:21" ht="409.6" x14ac:dyDescent="0.3">
      <c r="A272" s="1" t="s">
        <v>890</v>
      </c>
      <c r="B272" s="13">
        <v>46150</v>
      </c>
      <c r="C272" s="1" t="s">
        <v>45</v>
      </c>
      <c r="D272" s="8" t="s">
        <v>23</v>
      </c>
      <c r="E272" s="8" t="s">
        <v>24</v>
      </c>
      <c r="F272" s="24" t="s">
        <v>886</v>
      </c>
      <c r="G272" s="2" t="s">
        <v>887</v>
      </c>
      <c r="H272" s="2" t="s">
        <v>885</v>
      </c>
      <c r="I272" s="13" t="s">
        <v>78</v>
      </c>
      <c r="J272" s="9" t="s">
        <v>895</v>
      </c>
      <c r="K272" s="1" t="s">
        <v>45</v>
      </c>
      <c r="L272" s="7">
        <v>46265</v>
      </c>
      <c r="M272" s="13"/>
      <c r="N272" s="20">
        <f>Table1[[#This Row],[Completion Date]]-Table1[[#This Row],[Date Logged]]</f>
        <v>-46150</v>
      </c>
      <c r="O272" s="13" t="s">
        <v>59</v>
      </c>
      <c r="P272" s="12"/>
      <c r="Q272" s="12"/>
      <c r="R272" s="15"/>
      <c r="S272" s="15"/>
      <c r="T272" s="15" t="s">
        <v>133</v>
      </c>
      <c r="U272" s="1"/>
    </row>
    <row r="273" spans="1:21" ht="409.6" x14ac:dyDescent="0.3">
      <c r="A273" s="1" t="s">
        <v>891</v>
      </c>
      <c r="B273" s="13">
        <v>46150</v>
      </c>
      <c r="C273" s="1" t="s">
        <v>45</v>
      </c>
      <c r="D273" s="8" t="s">
        <v>23</v>
      </c>
      <c r="E273" s="8" t="s">
        <v>24</v>
      </c>
      <c r="F273" s="24" t="s">
        <v>886</v>
      </c>
      <c r="G273" s="2" t="s">
        <v>887</v>
      </c>
      <c r="H273" s="2" t="s">
        <v>885</v>
      </c>
      <c r="I273" s="13" t="s">
        <v>78</v>
      </c>
      <c r="J273" s="9" t="s">
        <v>896</v>
      </c>
      <c r="K273" s="1" t="s">
        <v>45</v>
      </c>
      <c r="L273" s="7">
        <v>46265</v>
      </c>
      <c r="M273" s="13"/>
      <c r="N273" s="20">
        <f>Table1[[#This Row],[Completion Date]]-Table1[[#This Row],[Date Logged]]</f>
        <v>-46150</v>
      </c>
      <c r="O273" s="13" t="s">
        <v>59</v>
      </c>
      <c r="P273" s="12"/>
      <c r="Q273" s="12"/>
      <c r="R273" s="15"/>
      <c r="S273" s="15"/>
      <c r="T273" s="15" t="s">
        <v>133</v>
      </c>
      <c r="U273" s="1"/>
    </row>
    <row r="274" spans="1:21" ht="409.6" x14ac:dyDescent="0.3">
      <c r="A274" s="1" t="s">
        <v>892</v>
      </c>
      <c r="B274" s="13">
        <v>46150</v>
      </c>
      <c r="C274" s="1" t="s">
        <v>45</v>
      </c>
      <c r="D274" s="8" t="s">
        <v>23</v>
      </c>
      <c r="E274" s="8" t="s">
        <v>24</v>
      </c>
      <c r="F274" s="24" t="s">
        <v>886</v>
      </c>
      <c r="G274" s="2" t="s">
        <v>887</v>
      </c>
      <c r="H274" s="2" t="s">
        <v>885</v>
      </c>
      <c r="I274" s="13" t="s">
        <v>78</v>
      </c>
      <c r="J274" s="9" t="s">
        <v>897</v>
      </c>
      <c r="K274" s="1" t="s">
        <v>45</v>
      </c>
      <c r="L274" s="7">
        <v>46265</v>
      </c>
      <c r="M274" s="13"/>
      <c r="N274" s="20">
        <f>Table1[[#This Row],[Completion Date]]-Table1[[#This Row],[Date Logged]]</f>
        <v>-46150</v>
      </c>
      <c r="O274" s="13" t="s">
        <v>59</v>
      </c>
      <c r="P274" s="12"/>
      <c r="Q274" s="12"/>
      <c r="R274" s="15"/>
      <c r="S274" s="15"/>
      <c r="T274" s="15" t="s">
        <v>133</v>
      </c>
      <c r="U274" s="1"/>
    </row>
    <row r="275" spans="1:21" ht="172.8" x14ac:dyDescent="0.3">
      <c r="A275" s="1" t="s">
        <v>650</v>
      </c>
      <c r="B275" s="13">
        <v>46157</v>
      </c>
      <c r="C275" s="1" t="s">
        <v>570</v>
      </c>
      <c r="D275" s="8" t="s">
        <v>23</v>
      </c>
      <c r="E275" s="8" t="s">
        <v>24</v>
      </c>
      <c r="F275" s="59" t="s">
        <v>652</v>
      </c>
      <c r="G275" s="46" t="s">
        <v>651</v>
      </c>
      <c r="H275" s="2" t="s">
        <v>653</v>
      </c>
      <c r="I275" s="13" t="s">
        <v>78</v>
      </c>
      <c r="J275" s="9" t="s">
        <v>659</v>
      </c>
      <c r="K275" s="1" t="s">
        <v>570</v>
      </c>
      <c r="L275" s="7">
        <v>46188</v>
      </c>
      <c r="M275" s="13">
        <v>46184</v>
      </c>
      <c r="N275" s="20">
        <f>Table1[[#This Row],[Completion Date]]-Table1[[#This Row],[Date Logged]]</f>
        <v>27</v>
      </c>
      <c r="O275" s="13" t="s">
        <v>58</v>
      </c>
      <c r="P275" s="12"/>
      <c r="Q275" s="12"/>
      <c r="R275" s="15"/>
      <c r="S275" s="15"/>
      <c r="T275" s="15" t="s">
        <v>133</v>
      </c>
      <c r="U275" s="12"/>
    </row>
    <row r="276" spans="1:21" ht="172.8" x14ac:dyDescent="0.3">
      <c r="A276" s="1" t="s">
        <v>654</v>
      </c>
      <c r="B276" s="13">
        <v>46157</v>
      </c>
      <c r="C276" s="1" t="s">
        <v>570</v>
      </c>
      <c r="D276" s="8" t="s">
        <v>23</v>
      </c>
      <c r="E276" s="8" t="s">
        <v>24</v>
      </c>
      <c r="F276" s="59" t="s">
        <v>652</v>
      </c>
      <c r="G276" s="46" t="s">
        <v>651</v>
      </c>
      <c r="H276" s="2" t="s">
        <v>653</v>
      </c>
      <c r="I276" s="13" t="s">
        <v>78</v>
      </c>
      <c r="J276" s="61" t="s">
        <v>658</v>
      </c>
      <c r="K276" s="54" t="s">
        <v>570</v>
      </c>
      <c r="L276" s="58">
        <v>46188</v>
      </c>
      <c r="M276" s="58">
        <v>46184</v>
      </c>
      <c r="N276" s="60">
        <f>Table1[[#This Row],[Completion Date]]-Table1[[#This Row],[Date Logged]]</f>
        <v>27</v>
      </c>
      <c r="O276" s="58" t="s">
        <v>58</v>
      </c>
      <c r="P276" s="54"/>
      <c r="Q276" s="54"/>
      <c r="R276" s="55"/>
      <c r="S276" s="55"/>
      <c r="T276" s="55" t="s">
        <v>133</v>
      </c>
      <c r="U276" s="54"/>
    </row>
    <row r="277" spans="1:21" ht="172.8" x14ac:dyDescent="0.3">
      <c r="A277" s="1" t="s">
        <v>655</v>
      </c>
      <c r="B277" s="13">
        <v>46157</v>
      </c>
      <c r="C277" s="1" t="s">
        <v>570</v>
      </c>
      <c r="D277" s="8" t="s">
        <v>23</v>
      </c>
      <c r="E277" s="8" t="s">
        <v>24</v>
      </c>
      <c r="F277" s="59" t="s">
        <v>652</v>
      </c>
      <c r="G277" s="46" t="s">
        <v>651</v>
      </c>
      <c r="H277" s="2" t="s">
        <v>653</v>
      </c>
      <c r="I277" s="13" t="s">
        <v>78</v>
      </c>
      <c r="J277" s="61" t="s">
        <v>660</v>
      </c>
      <c r="K277" s="54" t="s">
        <v>570</v>
      </c>
      <c r="L277" s="58">
        <v>46203</v>
      </c>
      <c r="M277" s="58"/>
      <c r="N277" s="60">
        <f>Table1[[#This Row],[Completion Date]]-Table1[[#This Row],[Date Logged]]</f>
        <v>-46157</v>
      </c>
      <c r="O277" s="58" t="s">
        <v>59</v>
      </c>
      <c r="P277" s="54"/>
      <c r="Q277" s="54"/>
      <c r="R277" s="55"/>
      <c r="S277" s="55"/>
      <c r="T277" s="55" t="s">
        <v>133</v>
      </c>
      <c r="U277" s="54"/>
    </row>
    <row r="278" spans="1:21" ht="172.8" x14ac:dyDescent="0.3">
      <c r="A278" s="1" t="s">
        <v>656</v>
      </c>
      <c r="B278" s="13">
        <v>46157</v>
      </c>
      <c r="C278" s="1" t="s">
        <v>570</v>
      </c>
      <c r="D278" s="8" t="s">
        <v>23</v>
      </c>
      <c r="E278" s="8" t="s">
        <v>24</v>
      </c>
      <c r="F278" s="59" t="s">
        <v>652</v>
      </c>
      <c r="G278" s="46" t="s">
        <v>651</v>
      </c>
      <c r="H278" s="2" t="s">
        <v>653</v>
      </c>
      <c r="I278" s="13" t="s">
        <v>78</v>
      </c>
      <c r="J278" s="61" t="s">
        <v>661</v>
      </c>
      <c r="K278" s="54" t="s">
        <v>663</v>
      </c>
      <c r="L278" s="58">
        <v>46249</v>
      </c>
      <c r="M278" s="58"/>
      <c r="N278" s="60">
        <f>Table1[[#This Row],[Completion Date]]-Table1[[#This Row],[Date Logged]]</f>
        <v>-46157</v>
      </c>
      <c r="O278" s="58" t="s">
        <v>59</v>
      </c>
      <c r="P278" s="54"/>
      <c r="Q278" s="54"/>
      <c r="R278" s="55"/>
      <c r="S278" s="55"/>
      <c r="T278" s="55" t="s">
        <v>133</v>
      </c>
      <c r="U278" s="54"/>
    </row>
    <row r="279" spans="1:21" ht="172.8" x14ac:dyDescent="0.3">
      <c r="A279" s="1" t="s">
        <v>657</v>
      </c>
      <c r="B279" s="13">
        <v>46157</v>
      </c>
      <c r="C279" s="1" t="s">
        <v>570</v>
      </c>
      <c r="D279" s="8" t="s">
        <v>23</v>
      </c>
      <c r="E279" s="8" t="s">
        <v>24</v>
      </c>
      <c r="F279" s="59" t="s">
        <v>652</v>
      </c>
      <c r="G279" s="46" t="s">
        <v>651</v>
      </c>
      <c r="H279" s="2" t="s">
        <v>653</v>
      </c>
      <c r="I279" s="13" t="s">
        <v>78</v>
      </c>
      <c r="J279" s="61" t="s">
        <v>662</v>
      </c>
      <c r="K279" s="54" t="s">
        <v>570</v>
      </c>
      <c r="L279" s="58">
        <v>46234</v>
      </c>
      <c r="M279" s="58">
        <v>46241</v>
      </c>
      <c r="N279" s="60">
        <f>Table1[[#This Row],[Completion Date]]-Table1[[#This Row],[Date Logged]]</f>
        <v>84</v>
      </c>
      <c r="O279" s="58" t="s">
        <v>58</v>
      </c>
      <c r="P279" s="54"/>
      <c r="Q279" s="54"/>
      <c r="R279" s="55"/>
      <c r="S279" s="55"/>
      <c r="T279" s="55" t="s">
        <v>133</v>
      </c>
      <c r="U279" s="54"/>
    </row>
    <row r="280" spans="1:21" ht="15.6" x14ac:dyDescent="0.3">
      <c r="A280" s="1" t="s">
        <v>625</v>
      </c>
      <c r="B280" s="13">
        <v>46157</v>
      </c>
      <c r="C280" s="1" t="s">
        <v>146</v>
      </c>
      <c r="D280" s="8" t="s">
        <v>146</v>
      </c>
      <c r="E280" s="8" t="s">
        <v>24</v>
      </c>
      <c r="F280" s="24" t="s">
        <v>591</v>
      </c>
      <c r="G280" s="15"/>
      <c r="H280" s="15"/>
      <c r="I280" s="13"/>
      <c r="J280" s="68"/>
      <c r="K280" s="12"/>
      <c r="L280" s="7"/>
      <c r="M280" s="13"/>
      <c r="N280" s="20">
        <f>Table1[[#This Row],[Completion Date]]-Table1[[#This Row],[Date Logged]]</f>
        <v>-46157</v>
      </c>
      <c r="O280" s="13"/>
      <c r="P280" s="12"/>
      <c r="Q280" s="12"/>
      <c r="R280" s="15"/>
      <c r="S280" s="15"/>
      <c r="T280" s="15" t="s">
        <v>70</v>
      </c>
      <c r="U280" s="12"/>
    </row>
    <row r="281" spans="1:21" ht="15.6" x14ac:dyDescent="0.3">
      <c r="A281" s="1" t="s">
        <v>626</v>
      </c>
      <c r="B281" s="13">
        <v>46157</v>
      </c>
      <c r="C281" s="1" t="s">
        <v>146</v>
      </c>
      <c r="D281" s="8" t="s">
        <v>146</v>
      </c>
      <c r="E281" s="8" t="s">
        <v>24</v>
      </c>
      <c r="F281" s="24" t="s">
        <v>592</v>
      </c>
      <c r="G281" s="15"/>
      <c r="H281" s="15"/>
      <c r="I281" s="13"/>
      <c r="J281" s="68"/>
      <c r="K281" s="12"/>
      <c r="L281" s="7"/>
      <c r="M281" s="13"/>
      <c r="N281" s="20">
        <f>Table1[[#This Row],[Completion Date]]-Table1[[#This Row],[Date Logged]]</f>
        <v>-46157</v>
      </c>
      <c r="O281" s="13"/>
      <c r="P281" s="12"/>
      <c r="Q281" s="12"/>
      <c r="R281" s="15"/>
      <c r="S281" s="15"/>
      <c r="T281" s="15" t="s">
        <v>70</v>
      </c>
      <c r="U281" s="12"/>
    </row>
    <row r="282" spans="1:21" ht="120" x14ac:dyDescent="0.3">
      <c r="A282" s="1" t="s">
        <v>624</v>
      </c>
      <c r="B282" s="13">
        <v>46161</v>
      </c>
      <c r="C282" s="1" t="s">
        <v>44</v>
      </c>
      <c r="D282" s="8" t="s">
        <v>161</v>
      </c>
      <c r="E282" s="8" t="s">
        <v>24</v>
      </c>
      <c r="F282" s="24" t="s">
        <v>593</v>
      </c>
      <c r="G282" s="2" t="s">
        <v>594</v>
      </c>
      <c r="H282" s="2" t="s">
        <v>595</v>
      </c>
      <c r="I282" s="13" t="s">
        <v>38</v>
      </c>
      <c r="J282" s="68" t="s">
        <v>191</v>
      </c>
      <c r="K282" s="1" t="s">
        <v>41</v>
      </c>
      <c r="L282" s="7">
        <v>46203</v>
      </c>
      <c r="M282" s="13">
        <v>46198</v>
      </c>
      <c r="N282" s="20">
        <f>Table1[[#This Row],[Completion Date]]-Table1[[#This Row],[Date Logged]]</f>
        <v>37</v>
      </c>
      <c r="O282" s="13" t="s">
        <v>58</v>
      </c>
      <c r="P282" s="12"/>
      <c r="Q282" s="12"/>
      <c r="R282" s="15"/>
      <c r="S282" s="15"/>
      <c r="T282" s="15" t="s">
        <v>133</v>
      </c>
      <c r="U282" s="12"/>
    </row>
    <row r="283" spans="1:21" ht="120" x14ac:dyDescent="0.3">
      <c r="A283" s="1" t="s">
        <v>627</v>
      </c>
      <c r="B283" s="13">
        <v>46161</v>
      </c>
      <c r="C283" s="12" t="s">
        <v>44</v>
      </c>
      <c r="D283" s="8" t="s">
        <v>161</v>
      </c>
      <c r="E283" s="8" t="s">
        <v>24</v>
      </c>
      <c r="F283" s="14" t="s">
        <v>593</v>
      </c>
      <c r="G283" s="15" t="s">
        <v>594</v>
      </c>
      <c r="H283" s="15" t="s">
        <v>595</v>
      </c>
      <c r="I283" s="13" t="s">
        <v>38</v>
      </c>
      <c r="J283" s="9" t="s">
        <v>952</v>
      </c>
      <c r="K283" s="1" t="s">
        <v>41</v>
      </c>
      <c r="L283" s="7">
        <v>46203</v>
      </c>
      <c r="M283" s="13">
        <v>46198</v>
      </c>
      <c r="N283" s="20">
        <f>Table1[[#This Row],[Completion Date]]-Table1[[#This Row],[Date Logged]]</f>
        <v>37</v>
      </c>
      <c r="O283" s="13" t="s">
        <v>58</v>
      </c>
      <c r="P283" s="12"/>
      <c r="Q283" s="12"/>
      <c r="R283" s="15"/>
      <c r="S283" s="15"/>
      <c r="T283" s="15" t="s">
        <v>133</v>
      </c>
      <c r="U283" s="12"/>
    </row>
    <row r="284" spans="1:21" ht="120" x14ac:dyDescent="0.3">
      <c r="A284" s="1" t="s">
        <v>628</v>
      </c>
      <c r="B284" s="13">
        <v>46161</v>
      </c>
      <c r="C284" s="12" t="s">
        <v>44</v>
      </c>
      <c r="D284" s="8" t="s">
        <v>161</v>
      </c>
      <c r="E284" s="8" t="s">
        <v>24</v>
      </c>
      <c r="F284" s="14" t="s">
        <v>593</v>
      </c>
      <c r="G284" s="15" t="s">
        <v>594</v>
      </c>
      <c r="H284" s="15" t="s">
        <v>595</v>
      </c>
      <c r="I284" s="13" t="s">
        <v>38</v>
      </c>
      <c r="J284" s="9" t="s">
        <v>953</v>
      </c>
      <c r="K284" s="1" t="s">
        <v>108</v>
      </c>
      <c r="L284" s="7">
        <v>46203</v>
      </c>
      <c r="M284" s="13">
        <v>46202</v>
      </c>
      <c r="N284" s="20">
        <f>Table1[[#This Row],[Completion Date]]-Table1[[#This Row],[Date Logged]]</f>
        <v>41</v>
      </c>
      <c r="O284" s="13" t="s">
        <v>58</v>
      </c>
      <c r="P284" s="12"/>
      <c r="Q284" s="12"/>
      <c r="R284" s="15"/>
      <c r="S284" s="15"/>
      <c r="T284" s="15" t="s">
        <v>133</v>
      </c>
      <c r="U284" s="12"/>
    </row>
    <row r="285" spans="1:21" ht="120" x14ac:dyDescent="0.3">
      <c r="A285" s="1" t="s">
        <v>629</v>
      </c>
      <c r="B285" s="13">
        <v>46161</v>
      </c>
      <c r="C285" s="12" t="s">
        <v>44</v>
      </c>
      <c r="D285" s="8" t="s">
        <v>161</v>
      </c>
      <c r="E285" s="8" t="s">
        <v>24</v>
      </c>
      <c r="F285" s="14" t="s">
        <v>593</v>
      </c>
      <c r="G285" s="15" t="s">
        <v>594</v>
      </c>
      <c r="H285" s="15" t="s">
        <v>595</v>
      </c>
      <c r="I285" s="13" t="s">
        <v>38</v>
      </c>
      <c r="J285" s="9" t="s">
        <v>194</v>
      </c>
      <c r="K285" s="1" t="s">
        <v>42</v>
      </c>
      <c r="L285" s="7">
        <v>46203</v>
      </c>
      <c r="M285" s="13">
        <v>46202</v>
      </c>
      <c r="N285" s="20">
        <f>Table1[[#This Row],[Completion Date]]-Table1[[#This Row],[Date Logged]]</f>
        <v>41</v>
      </c>
      <c r="O285" s="13" t="s">
        <v>58</v>
      </c>
      <c r="P285" s="12"/>
      <c r="Q285" s="12"/>
      <c r="R285" s="15"/>
      <c r="S285" s="15"/>
      <c r="T285" s="15" t="s">
        <v>133</v>
      </c>
      <c r="U285" s="12"/>
    </row>
    <row r="286" spans="1:21" ht="120" x14ac:dyDescent="0.3">
      <c r="A286" s="1" t="s">
        <v>630</v>
      </c>
      <c r="B286" s="13">
        <v>46161</v>
      </c>
      <c r="C286" s="12" t="s">
        <v>44</v>
      </c>
      <c r="D286" s="8" t="s">
        <v>161</v>
      </c>
      <c r="E286" s="8" t="s">
        <v>24</v>
      </c>
      <c r="F286" s="14" t="s">
        <v>593</v>
      </c>
      <c r="G286" s="15" t="s">
        <v>594</v>
      </c>
      <c r="H286" s="15" t="s">
        <v>595</v>
      </c>
      <c r="I286" s="13" t="s">
        <v>38</v>
      </c>
      <c r="J286" s="9" t="s">
        <v>195</v>
      </c>
      <c r="K286" s="1" t="s">
        <v>42</v>
      </c>
      <c r="L286" s="7">
        <v>46203</v>
      </c>
      <c r="M286" s="13">
        <v>46202</v>
      </c>
      <c r="N286" s="20">
        <f>Table1[[#This Row],[Completion Date]]-Table1[[#This Row],[Date Logged]]</f>
        <v>41</v>
      </c>
      <c r="O286" s="13" t="s">
        <v>58</v>
      </c>
      <c r="P286" s="12"/>
      <c r="Q286" s="12"/>
      <c r="R286" s="15"/>
      <c r="S286" s="15"/>
      <c r="T286" s="15" t="s">
        <v>133</v>
      </c>
      <c r="U286" s="12"/>
    </row>
    <row r="287" spans="1:21" ht="120" x14ac:dyDescent="0.3">
      <c r="A287" s="1" t="s">
        <v>630</v>
      </c>
      <c r="B287" s="13">
        <v>46161</v>
      </c>
      <c r="C287" s="12" t="s">
        <v>44</v>
      </c>
      <c r="D287" s="8" t="s">
        <v>161</v>
      </c>
      <c r="E287" s="8" t="s">
        <v>24</v>
      </c>
      <c r="F287" s="14" t="s">
        <v>593</v>
      </c>
      <c r="G287" s="15" t="s">
        <v>594</v>
      </c>
      <c r="H287" s="15" t="s">
        <v>595</v>
      </c>
      <c r="I287" s="13" t="s">
        <v>38</v>
      </c>
      <c r="J287" s="67" t="s">
        <v>954</v>
      </c>
      <c r="K287" s="63" t="s">
        <v>80</v>
      </c>
      <c r="L287" s="64">
        <v>46233</v>
      </c>
      <c r="M287" s="64">
        <v>46227</v>
      </c>
      <c r="N287" s="66">
        <f>Table1[[#This Row],[Completion Date]]-Table1[[#This Row],[Date Logged]]</f>
        <v>66</v>
      </c>
      <c r="O287" s="64" t="s">
        <v>58</v>
      </c>
      <c r="P287" s="63"/>
      <c r="Q287" s="63"/>
      <c r="R287" s="65"/>
      <c r="S287" s="65"/>
      <c r="T287" s="65" t="s">
        <v>133</v>
      </c>
      <c r="U287" s="63"/>
    </row>
    <row r="288" spans="1:21" ht="120" x14ac:dyDescent="0.3">
      <c r="A288" s="1" t="s">
        <v>630</v>
      </c>
      <c r="B288" s="13">
        <v>46161</v>
      </c>
      <c r="C288" s="12" t="s">
        <v>44</v>
      </c>
      <c r="D288" s="8" t="s">
        <v>161</v>
      </c>
      <c r="E288" s="8" t="s">
        <v>24</v>
      </c>
      <c r="F288" s="14" t="s">
        <v>593</v>
      </c>
      <c r="G288" s="15" t="s">
        <v>594</v>
      </c>
      <c r="H288" s="15" t="s">
        <v>595</v>
      </c>
      <c r="I288" s="13" t="s">
        <v>38</v>
      </c>
      <c r="J288" s="67" t="s">
        <v>955</v>
      </c>
      <c r="K288" s="63" t="s">
        <v>41</v>
      </c>
      <c r="L288" s="64">
        <v>46264</v>
      </c>
      <c r="M288" s="64">
        <v>46248</v>
      </c>
      <c r="N288" s="66">
        <f>Table1[[#This Row],[Completion Date]]-Table1[[#This Row],[Date Logged]]</f>
        <v>87</v>
      </c>
      <c r="O288" s="64" t="s">
        <v>58</v>
      </c>
      <c r="P288" s="63"/>
      <c r="Q288" s="63"/>
      <c r="R288" s="65"/>
      <c r="S288" s="65"/>
      <c r="T288" s="65" t="s">
        <v>133</v>
      </c>
      <c r="U288" s="63"/>
    </row>
    <row r="289" spans="1:21" ht="120" x14ac:dyDescent="0.3">
      <c r="A289" s="1" t="s">
        <v>630</v>
      </c>
      <c r="B289" s="13">
        <v>46161</v>
      </c>
      <c r="C289" s="12" t="s">
        <v>44</v>
      </c>
      <c r="D289" s="8" t="s">
        <v>161</v>
      </c>
      <c r="E289" s="8" t="s">
        <v>24</v>
      </c>
      <c r="F289" s="14" t="s">
        <v>593</v>
      </c>
      <c r="G289" s="15" t="s">
        <v>594</v>
      </c>
      <c r="H289" s="15" t="s">
        <v>595</v>
      </c>
      <c r="I289" s="13" t="s">
        <v>38</v>
      </c>
      <c r="J289" s="67" t="s">
        <v>956</v>
      </c>
      <c r="K289" s="63" t="s">
        <v>108</v>
      </c>
      <c r="L289" s="64">
        <v>46280</v>
      </c>
      <c r="M289" s="64"/>
      <c r="N289" s="66">
        <f>Table1[[#This Row],[Completion Date]]-Table1[[#This Row],[Date Logged]]</f>
        <v>-46161</v>
      </c>
      <c r="O289" s="64" t="s">
        <v>59</v>
      </c>
      <c r="P289" s="63"/>
      <c r="Q289" s="63"/>
      <c r="R289" s="65"/>
      <c r="S289" s="65"/>
      <c r="T289" s="65" t="s">
        <v>133</v>
      </c>
      <c r="U289" s="63"/>
    </row>
    <row r="290" spans="1:21" ht="195" x14ac:dyDescent="0.3">
      <c r="A290" s="1" t="s">
        <v>604</v>
      </c>
      <c r="B290" s="13">
        <v>46162</v>
      </c>
      <c r="C290" s="1" t="s">
        <v>148</v>
      </c>
      <c r="D290" s="8" t="s">
        <v>23</v>
      </c>
      <c r="E290" s="8" t="s">
        <v>24</v>
      </c>
      <c r="F290" s="24" t="s">
        <v>596</v>
      </c>
      <c r="G290" s="15" t="s">
        <v>602</v>
      </c>
      <c r="H290" s="2" t="s">
        <v>603</v>
      </c>
      <c r="I290" s="13" t="s">
        <v>78</v>
      </c>
      <c r="J290" s="9" t="s">
        <v>606</v>
      </c>
      <c r="K290" s="1" t="s">
        <v>148</v>
      </c>
      <c r="L290" s="53">
        <v>46168</v>
      </c>
      <c r="M290" s="13">
        <v>46164</v>
      </c>
      <c r="N290" s="20">
        <f>Table1[[#This Row],[Completion Date]]-Table1[[#This Row],[Date Logged]]</f>
        <v>2</v>
      </c>
      <c r="O290" s="13" t="s">
        <v>58</v>
      </c>
      <c r="P290" s="1" t="s">
        <v>161</v>
      </c>
      <c r="Q290" s="1" t="s">
        <v>130</v>
      </c>
      <c r="R290" s="2" t="s">
        <v>131</v>
      </c>
      <c r="S290" s="2" t="s">
        <v>131</v>
      </c>
      <c r="T290" s="15" t="s">
        <v>132</v>
      </c>
      <c r="U290" s="12"/>
    </row>
    <row r="291" spans="1:21" ht="195" x14ac:dyDescent="0.3">
      <c r="A291" s="1" t="s">
        <v>605</v>
      </c>
      <c r="B291" s="13">
        <v>46162</v>
      </c>
      <c r="C291" s="1" t="s">
        <v>148</v>
      </c>
      <c r="D291" s="8" t="s">
        <v>23</v>
      </c>
      <c r="E291" s="8" t="s">
        <v>24</v>
      </c>
      <c r="F291" s="24" t="s">
        <v>596</v>
      </c>
      <c r="G291" s="15" t="s">
        <v>602</v>
      </c>
      <c r="H291" s="2" t="s">
        <v>603</v>
      </c>
      <c r="I291" s="7" t="s">
        <v>78</v>
      </c>
      <c r="J291" s="68" t="s">
        <v>607</v>
      </c>
      <c r="K291" s="1" t="s">
        <v>42</v>
      </c>
      <c r="L291" s="7">
        <v>46174</v>
      </c>
      <c r="M291" s="13">
        <v>46164</v>
      </c>
      <c r="N291" s="19">
        <f>Table1[[#This Row],[Completion Date]]-Table1[[#This Row],[Date Logged]]</f>
        <v>2</v>
      </c>
      <c r="O291" s="7" t="s">
        <v>58</v>
      </c>
      <c r="P291" s="1" t="s">
        <v>161</v>
      </c>
      <c r="Q291" s="1" t="s">
        <v>130</v>
      </c>
      <c r="R291" s="2" t="s">
        <v>131</v>
      </c>
      <c r="S291" s="2" t="s">
        <v>131</v>
      </c>
      <c r="T291" s="2" t="s">
        <v>132</v>
      </c>
      <c r="U291" s="1"/>
    </row>
    <row r="292" spans="1:21" ht="195" x14ac:dyDescent="0.3">
      <c r="A292" s="1" t="s">
        <v>610</v>
      </c>
      <c r="B292" s="13">
        <v>46162</v>
      </c>
      <c r="C292" s="1" t="s">
        <v>148</v>
      </c>
      <c r="D292" s="8" t="s">
        <v>23</v>
      </c>
      <c r="E292" s="8" t="s">
        <v>24</v>
      </c>
      <c r="F292" s="24" t="s">
        <v>596</v>
      </c>
      <c r="G292" s="15" t="s">
        <v>602</v>
      </c>
      <c r="H292" s="2" t="s">
        <v>603</v>
      </c>
      <c r="I292" s="7" t="s">
        <v>78</v>
      </c>
      <c r="J292" s="9" t="s">
        <v>460</v>
      </c>
      <c r="K292" s="1" t="s">
        <v>148</v>
      </c>
      <c r="L292" s="7">
        <v>46174</v>
      </c>
      <c r="M292" s="13">
        <v>46164</v>
      </c>
      <c r="N292" s="19">
        <f>Table1[[#This Row],[Completion Date]]-Table1[[#This Row],[Date Logged]]</f>
        <v>2</v>
      </c>
      <c r="O292" s="7" t="s">
        <v>58</v>
      </c>
      <c r="P292" s="1" t="s">
        <v>161</v>
      </c>
      <c r="Q292" s="1" t="s">
        <v>130</v>
      </c>
      <c r="R292" s="2" t="s">
        <v>131</v>
      </c>
      <c r="S292" s="2" t="s">
        <v>131</v>
      </c>
      <c r="T292" s="2" t="s">
        <v>132</v>
      </c>
      <c r="U292" s="1"/>
    </row>
    <row r="293" spans="1:21" ht="195" x14ac:dyDescent="0.3">
      <c r="A293" s="1" t="s">
        <v>611</v>
      </c>
      <c r="B293" s="13">
        <v>46162</v>
      </c>
      <c r="C293" s="1" t="s">
        <v>148</v>
      </c>
      <c r="D293" s="8" t="s">
        <v>23</v>
      </c>
      <c r="E293" s="8" t="s">
        <v>24</v>
      </c>
      <c r="F293" s="24" t="s">
        <v>596</v>
      </c>
      <c r="G293" s="15" t="s">
        <v>602</v>
      </c>
      <c r="H293" s="2" t="s">
        <v>603</v>
      </c>
      <c r="I293" s="7" t="s">
        <v>78</v>
      </c>
      <c r="J293" s="9" t="s">
        <v>608</v>
      </c>
      <c r="K293" s="1" t="s">
        <v>148</v>
      </c>
      <c r="L293" s="13">
        <v>46258</v>
      </c>
      <c r="M293" s="13">
        <v>46227</v>
      </c>
      <c r="N293" s="19">
        <f>Table1[[#This Row],[Completion Date]]-Table1[[#This Row],[Date Logged]]</f>
        <v>65</v>
      </c>
      <c r="O293" s="7" t="s">
        <v>58</v>
      </c>
      <c r="P293" s="1" t="s">
        <v>161</v>
      </c>
      <c r="Q293" s="1" t="s">
        <v>130</v>
      </c>
      <c r="R293" s="2" t="s">
        <v>131</v>
      </c>
      <c r="S293" s="2" t="s">
        <v>131</v>
      </c>
      <c r="T293" s="2" t="s">
        <v>132</v>
      </c>
      <c r="U293" s="1"/>
    </row>
    <row r="294" spans="1:21" ht="195" x14ac:dyDescent="0.3">
      <c r="A294" s="1" t="s">
        <v>612</v>
      </c>
      <c r="B294" s="13">
        <v>46162</v>
      </c>
      <c r="C294" s="1" t="s">
        <v>148</v>
      </c>
      <c r="D294" s="8" t="s">
        <v>23</v>
      </c>
      <c r="E294" s="8" t="s">
        <v>24</v>
      </c>
      <c r="F294" s="24" t="s">
        <v>596</v>
      </c>
      <c r="G294" s="15" t="s">
        <v>602</v>
      </c>
      <c r="H294" s="2" t="s">
        <v>603</v>
      </c>
      <c r="I294" s="7" t="s">
        <v>78</v>
      </c>
      <c r="J294" s="9" t="s">
        <v>609</v>
      </c>
      <c r="K294" s="1" t="s">
        <v>148</v>
      </c>
      <c r="L294" s="13">
        <v>46258</v>
      </c>
      <c r="M294" s="13">
        <v>46227</v>
      </c>
      <c r="N294" s="19">
        <f>Table1[[#This Row],[Completion Date]]-Table1[[#This Row],[Date Logged]]</f>
        <v>65</v>
      </c>
      <c r="O294" s="7" t="s">
        <v>58</v>
      </c>
      <c r="P294" s="1" t="s">
        <v>161</v>
      </c>
      <c r="Q294" s="1" t="s">
        <v>130</v>
      </c>
      <c r="R294" s="2" t="s">
        <v>131</v>
      </c>
      <c r="S294" s="2" t="s">
        <v>131</v>
      </c>
      <c r="T294" s="2" t="s">
        <v>132</v>
      </c>
      <c r="U294" s="1"/>
    </row>
    <row r="295" spans="1:21" ht="195" x14ac:dyDescent="0.3">
      <c r="A295" s="1" t="s">
        <v>613</v>
      </c>
      <c r="B295" s="13">
        <v>46162</v>
      </c>
      <c r="C295" s="1" t="s">
        <v>148</v>
      </c>
      <c r="D295" s="8" t="s">
        <v>23</v>
      </c>
      <c r="E295" s="8" t="s">
        <v>24</v>
      </c>
      <c r="F295" s="24" t="s">
        <v>596</v>
      </c>
      <c r="G295" s="15" t="s">
        <v>602</v>
      </c>
      <c r="H295" s="2" t="s">
        <v>603</v>
      </c>
      <c r="I295" s="7" t="s">
        <v>78</v>
      </c>
      <c r="J295" s="9" t="s">
        <v>615</v>
      </c>
      <c r="K295" s="1" t="s">
        <v>42</v>
      </c>
      <c r="L295" s="13">
        <v>46258</v>
      </c>
      <c r="M295" s="13">
        <v>46230</v>
      </c>
      <c r="N295" s="19">
        <f>Table1[[#This Row],[Completion Date]]-Table1[[#This Row],[Date Logged]]</f>
        <v>68</v>
      </c>
      <c r="O295" s="7" t="s">
        <v>58</v>
      </c>
      <c r="P295" s="1" t="s">
        <v>161</v>
      </c>
      <c r="Q295" s="1" t="s">
        <v>130</v>
      </c>
      <c r="R295" s="2" t="s">
        <v>131</v>
      </c>
      <c r="S295" s="2" t="s">
        <v>131</v>
      </c>
      <c r="T295" s="2" t="s">
        <v>132</v>
      </c>
      <c r="U295" s="1"/>
    </row>
    <row r="296" spans="1:21" ht="195" x14ac:dyDescent="0.3">
      <c r="A296" s="1" t="s">
        <v>614</v>
      </c>
      <c r="B296" s="13">
        <v>46162</v>
      </c>
      <c r="C296" s="1" t="s">
        <v>148</v>
      </c>
      <c r="D296" s="8" t="s">
        <v>23</v>
      </c>
      <c r="E296" s="8" t="s">
        <v>24</v>
      </c>
      <c r="F296" s="24" t="s">
        <v>596</v>
      </c>
      <c r="G296" s="15" t="s">
        <v>602</v>
      </c>
      <c r="H296" s="2" t="s">
        <v>603</v>
      </c>
      <c r="I296" s="7" t="s">
        <v>78</v>
      </c>
      <c r="J296" s="9" t="s">
        <v>463</v>
      </c>
      <c r="K296" s="1" t="s">
        <v>148</v>
      </c>
      <c r="L296" s="13">
        <v>46258</v>
      </c>
      <c r="M296" s="25">
        <v>46231</v>
      </c>
      <c r="N296" s="19">
        <f>Table1[[#This Row],[Completion Date]]-Table1[[#This Row],[Date Logged]]</f>
        <v>69</v>
      </c>
      <c r="O296" s="7" t="s">
        <v>58</v>
      </c>
      <c r="P296" s="1" t="s">
        <v>161</v>
      </c>
      <c r="Q296" s="1" t="s">
        <v>130</v>
      </c>
      <c r="R296" s="2" t="s">
        <v>131</v>
      </c>
      <c r="S296" s="2" t="s">
        <v>131</v>
      </c>
      <c r="T296" s="2" t="s">
        <v>132</v>
      </c>
      <c r="U296" s="1"/>
    </row>
    <row r="297" spans="1:21" ht="210" x14ac:dyDescent="0.3">
      <c r="A297" s="1" t="s">
        <v>618</v>
      </c>
      <c r="B297" s="13">
        <v>46162</v>
      </c>
      <c r="C297" s="1" t="s">
        <v>148</v>
      </c>
      <c r="D297" s="8" t="s">
        <v>23</v>
      </c>
      <c r="E297" s="8" t="s">
        <v>24</v>
      </c>
      <c r="F297" s="24" t="s">
        <v>597</v>
      </c>
      <c r="G297" s="2" t="s">
        <v>617</v>
      </c>
      <c r="H297" s="2" t="s">
        <v>619</v>
      </c>
      <c r="I297" s="13" t="s">
        <v>38</v>
      </c>
      <c r="J297" s="9" t="s">
        <v>620</v>
      </c>
      <c r="K297" s="1" t="s">
        <v>148</v>
      </c>
      <c r="L297" s="7">
        <v>46223</v>
      </c>
      <c r="M297" s="7">
        <v>46183</v>
      </c>
      <c r="N297" s="20">
        <f>Table1[[#This Row],[Completion Date]]-Table1[[#This Row],[Date Logged]]</f>
        <v>21</v>
      </c>
      <c r="O297" s="13" t="s">
        <v>58</v>
      </c>
      <c r="P297" s="1" t="s">
        <v>161</v>
      </c>
      <c r="Q297" s="1" t="s">
        <v>131</v>
      </c>
      <c r="R297" s="2" t="s">
        <v>131</v>
      </c>
      <c r="S297" s="2" t="s">
        <v>131</v>
      </c>
      <c r="T297" s="15" t="s">
        <v>223</v>
      </c>
      <c r="U297" s="1" t="s">
        <v>884</v>
      </c>
    </row>
    <row r="298" spans="1:21" ht="210" x14ac:dyDescent="0.3">
      <c r="A298" s="1" t="s">
        <v>622</v>
      </c>
      <c r="B298" s="13">
        <v>46162</v>
      </c>
      <c r="C298" s="1" t="s">
        <v>148</v>
      </c>
      <c r="D298" s="8" t="s">
        <v>23</v>
      </c>
      <c r="E298" s="8" t="s">
        <v>24</v>
      </c>
      <c r="F298" s="24" t="s">
        <v>597</v>
      </c>
      <c r="G298" s="2" t="s">
        <v>617</v>
      </c>
      <c r="H298" s="2" t="s">
        <v>619</v>
      </c>
      <c r="I298" s="7" t="s">
        <v>38</v>
      </c>
      <c r="J298" s="9" t="s">
        <v>621</v>
      </c>
      <c r="K298" s="1" t="s">
        <v>148</v>
      </c>
      <c r="L298" s="7">
        <v>46223</v>
      </c>
      <c r="M298" s="7">
        <v>46196</v>
      </c>
      <c r="N298" s="19">
        <f>Table1[[#This Row],[Completion Date]]-Table1[[#This Row],[Date Logged]]</f>
        <v>34</v>
      </c>
      <c r="O298" s="7" t="s">
        <v>58</v>
      </c>
      <c r="P298" s="1" t="s">
        <v>161</v>
      </c>
      <c r="Q298" s="1" t="s">
        <v>131</v>
      </c>
      <c r="R298" s="2" t="s">
        <v>131</v>
      </c>
      <c r="S298" s="2" t="s">
        <v>131</v>
      </c>
      <c r="T298" s="2" t="s">
        <v>223</v>
      </c>
      <c r="U298" s="1" t="s">
        <v>884</v>
      </c>
    </row>
    <row r="299" spans="1:21" ht="150" x14ac:dyDescent="0.3">
      <c r="A299" s="1" t="s">
        <v>631</v>
      </c>
      <c r="B299" s="13">
        <v>46162</v>
      </c>
      <c r="C299" s="1" t="s">
        <v>80</v>
      </c>
      <c r="D299" s="8" t="s">
        <v>23</v>
      </c>
      <c r="E299" s="8" t="s">
        <v>48</v>
      </c>
      <c r="F299" s="24" t="s">
        <v>632</v>
      </c>
      <c r="G299" s="2" t="s">
        <v>633</v>
      </c>
      <c r="H299" s="2" t="s">
        <v>634</v>
      </c>
      <c r="I299" s="13" t="s">
        <v>38</v>
      </c>
      <c r="J299" s="9" t="s">
        <v>644</v>
      </c>
      <c r="K299" s="54" t="s">
        <v>80</v>
      </c>
      <c r="L299" s="56">
        <v>46162</v>
      </c>
      <c r="M299" s="13">
        <v>46162</v>
      </c>
      <c r="N299" s="20">
        <f>Table1[[#This Row],[Completion Date]]-Table1[[#This Row],[Date Logged]]</f>
        <v>0</v>
      </c>
      <c r="O299" s="13" t="s">
        <v>58</v>
      </c>
      <c r="P299" s="1" t="s">
        <v>161</v>
      </c>
      <c r="Q299" s="1" t="s">
        <v>130</v>
      </c>
      <c r="R299" s="2" t="s">
        <v>131</v>
      </c>
      <c r="S299" s="2" t="s">
        <v>131</v>
      </c>
      <c r="T299" s="15" t="s">
        <v>132</v>
      </c>
      <c r="U299" s="12"/>
    </row>
    <row r="300" spans="1:21" ht="150" x14ac:dyDescent="0.3">
      <c r="A300" s="1" t="s">
        <v>635</v>
      </c>
      <c r="B300" s="13">
        <v>46162</v>
      </c>
      <c r="C300" s="1" t="s">
        <v>80</v>
      </c>
      <c r="D300" s="8" t="s">
        <v>23</v>
      </c>
      <c r="E300" s="8" t="s">
        <v>48</v>
      </c>
      <c r="F300" s="24" t="s">
        <v>632</v>
      </c>
      <c r="G300" s="2" t="s">
        <v>633</v>
      </c>
      <c r="H300" s="2" t="s">
        <v>634</v>
      </c>
      <c r="I300" s="13" t="s">
        <v>38</v>
      </c>
      <c r="J300" s="9" t="s">
        <v>645</v>
      </c>
      <c r="K300" s="54" t="s">
        <v>649</v>
      </c>
      <c r="L300" s="56">
        <v>46169</v>
      </c>
      <c r="M300" s="13">
        <v>46164</v>
      </c>
      <c r="N300" s="20">
        <f>Table1[[#This Row],[Completion Date]]-Table1[[#This Row],[Date Logged]]</f>
        <v>2</v>
      </c>
      <c r="O300" s="13" t="s">
        <v>58</v>
      </c>
      <c r="P300" s="1" t="s">
        <v>161</v>
      </c>
      <c r="Q300" s="1" t="s">
        <v>130</v>
      </c>
      <c r="R300" s="2" t="s">
        <v>131</v>
      </c>
      <c r="S300" s="2" t="s">
        <v>131</v>
      </c>
      <c r="T300" s="15" t="s">
        <v>132</v>
      </c>
      <c r="U300" s="12"/>
    </row>
    <row r="301" spans="1:21" ht="150" x14ac:dyDescent="0.3">
      <c r="A301" s="1" t="s">
        <v>636</v>
      </c>
      <c r="B301" s="13">
        <v>46162</v>
      </c>
      <c r="C301" s="1" t="s">
        <v>80</v>
      </c>
      <c r="D301" s="8" t="s">
        <v>23</v>
      </c>
      <c r="E301" s="8" t="s">
        <v>48</v>
      </c>
      <c r="F301" s="24" t="s">
        <v>632</v>
      </c>
      <c r="G301" s="2" t="s">
        <v>633</v>
      </c>
      <c r="H301" s="2" t="s">
        <v>634</v>
      </c>
      <c r="I301" s="13" t="s">
        <v>38</v>
      </c>
      <c r="J301" s="9" t="s">
        <v>349</v>
      </c>
      <c r="K301" s="55" t="s">
        <v>589</v>
      </c>
      <c r="L301" s="56">
        <v>46176</v>
      </c>
      <c r="M301" s="13">
        <v>46176</v>
      </c>
      <c r="N301" s="20">
        <f>Table1[[#This Row],[Completion Date]]-Table1[[#This Row],[Date Logged]]</f>
        <v>14</v>
      </c>
      <c r="O301" s="13" t="s">
        <v>58</v>
      </c>
      <c r="P301" s="1" t="s">
        <v>161</v>
      </c>
      <c r="Q301" s="1" t="s">
        <v>130</v>
      </c>
      <c r="R301" s="2" t="s">
        <v>131</v>
      </c>
      <c r="S301" s="2" t="s">
        <v>131</v>
      </c>
      <c r="T301" s="15" t="s">
        <v>132</v>
      </c>
      <c r="U301" s="54"/>
    </row>
    <row r="302" spans="1:21" ht="19.5" customHeight="1" x14ac:dyDescent="0.3">
      <c r="A302" s="1" t="s">
        <v>637</v>
      </c>
      <c r="B302" s="13">
        <v>46162</v>
      </c>
      <c r="C302" s="1" t="s">
        <v>80</v>
      </c>
      <c r="D302" s="8" t="s">
        <v>23</v>
      </c>
      <c r="E302" s="8" t="s">
        <v>48</v>
      </c>
      <c r="F302" s="24" t="s">
        <v>632</v>
      </c>
      <c r="G302" s="2" t="s">
        <v>633</v>
      </c>
      <c r="H302" s="2" t="s">
        <v>634</v>
      </c>
      <c r="I302" s="13" t="s">
        <v>38</v>
      </c>
      <c r="J302" s="9" t="s">
        <v>350</v>
      </c>
      <c r="K302" s="57">
        <v>46183</v>
      </c>
      <c r="L302" s="56">
        <v>46183</v>
      </c>
      <c r="M302" s="13">
        <v>46176</v>
      </c>
      <c r="N302" s="20">
        <f>Table1[[#This Row],[Completion Date]]-Table1[[#This Row],[Date Logged]]</f>
        <v>14</v>
      </c>
      <c r="O302" s="13" t="s">
        <v>58</v>
      </c>
      <c r="P302" s="1" t="s">
        <v>161</v>
      </c>
      <c r="Q302" s="1" t="s">
        <v>130</v>
      </c>
      <c r="R302" s="2" t="s">
        <v>131</v>
      </c>
      <c r="S302" s="2" t="s">
        <v>131</v>
      </c>
      <c r="T302" s="15" t="s">
        <v>132</v>
      </c>
      <c r="U302" s="54"/>
    </row>
    <row r="303" spans="1:21" ht="19.5" customHeight="1" x14ac:dyDescent="0.3">
      <c r="A303" s="1" t="s">
        <v>638</v>
      </c>
      <c r="B303" s="13">
        <v>46162</v>
      </c>
      <c r="C303" s="1" t="s">
        <v>80</v>
      </c>
      <c r="D303" s="8" t="s">
        <v>23</v>
      </c>
      <c r="E303" s="8" t="s">
        <v>48</v>
      </c>
      <c r="F303" s="24" t="s">
        <v>632</v>
      </c>
      <c r="G303" s="2" t="s">
        <v>633</v>
      </c>
      <c r="H303" s="2" t="s">
        <v>634</v>
      </c>
      <c r="I303" s="13" t="s">
        <v>38</v>
      </c>
      <c r="J303" s="9" t="s">
        <v>646</v>
      </c>
      <c r="K303" s="57">
        <v>46183</v>
      </c>
      <c r="L303" s="56">
        <v>46183</v>
      </c>
      <c r="M303" s="13">
        <v>46182</v>
      </c>
      <c r="N303" s="20">
        <f>Table1[[#This Row],[Completion Date]]-Table1[[#This Row],[Date Logged]]</f>
        <v>20</v>
      </c>
      <c r="O303" s="13" t="s">
        <v>58</v>
      </c>
      <c r="P303" s="1" t="s">
        <v>161</v>
      </c>
      <c r="Q303" s="1" t="s">
        <v>130</v>
      </c>
      <c r="R303" s="2" t="s">
        <v>131</v>
      </c>
      <c r="S303" s="2" t="s">
        <v>131</v>
      </c>
      <c r="T303" s="15" t="s">
        <v>132</v>
      </c>
      <c r="U303" s="54"/>
    </row>
    <row r="304" spans="1:21" ht="19.5" customHeight="1" x14ac:dyDescent="0.3">
      <c r="A304" s="1" t="s">
        <v>639</v>
      </c>
      <c r="B304" s="13">
        <v>46162</v>
      </c>
      <c r="C304" s="1" t="s">
        <v>80</v>
      </c>
      <c r="D304" s="8" t="s">
        <v>23</v>
      </c>
      <c r="E304" s="8" t="s">
        <v>48</v>
      </c>
      <c r="F304" s="24" t="s">
        <v>632</v>
      </c>
      <c r="G304" s="2" t="s">
        <v>633</v>
      </c>
      <c r="H304" s="2" t="s">
        <v>634</v>
      </c>
      <c r="I304" s="13" t="s">
        <v>38</v>
      </c>
      <c r="J304" s="9" t="s">
        <v>647</v>
      </c>
      <c r="K304" s="57">
        <v>46183</v>
      </c>
      <c r="L304" s="56">
        <v>46183</v>
      </c>
      <c r="M304" s="13">
        <v>46182</v>
      </c>
      <c r="N304" s="20">
        <f>Table1[[#This Row],[Completion Date]]-Table1[[#This Row],[Date Logged]]</f>
        <v>20</v>
      </c>
      <c r="O304" s="13" t="s">
        <v>58</v>
      </c>
      <c r="P304" s="1" t="s">
        <v>161</v>
      </c>
      <c r="Q304" s="1" t="s">
        <v>130</v>
      </c>
      <c r="R304" s="2" t="s">
        <v>131</v>
      </c>
      <c r="S304" s="2" t="s">
        <v>131</v>
      </c>
      <c r="T304" s="15" t="s">
        <v>132</v>
      </c>
      <c r="U304" s="54"/>
    </row>
    <row r="305" spans="1:21" ht="19.5" customHeight="1" x14ac:dyDescent="0.3">
      <c r="A305" s="1" t="s">
        <v>640</v>
      </c>
      <c r="B305" s="13">
        <v>46162</v>
      </c>
      <c r="C305" s="1" t="s">
        <v>80</v>
      </c>
      <c r="D305" s="8" t="s">
        <v>23</v>
      </c>
      <c r="E305" s="8" t="s">
        <v>48</v>
      </c>
      <c r="F305" s="24" t="s">
        <v>632</v>
      </c>
      <c r="G305" s="2" t="s">
        <v>633</v>
      </c>
      <c r="H305" s="2" t="s">
        <v>634</v>
      </c>
      <c r="I305" s="13" t="s">
        <v>38</v>
      </c>
      <c r="J305" s="9" t="s">
        <v>648</v>
      </c>
      <c r="K305" s="57">
        <v>46295</v>
      </c>
      <c r="L305" s="56">
        <v>46295</v>
      </c>
      <c r="M305" s="13">
        <v>46183</v>
      </c>
      <c r="N305" s="20">
        <f>Table1[[#This Row],[Completion Date]]-Table1[[#This Row],[Date Logged]]</f>
        <v>21</v>
      </c>
      <c r="O305" s="13" t="s">
        <v>58</v>
      </c>
      <c r="P305" s="1" t="s">
        <v>161</v>
      </c>
      <c r="Q305" s="1" t="s">
        <v>130</v>
      </c>
      <c r="R305" s="2" t="s">
        <v>131</v>
      </c>
      <c r="S305" s="2" t="s">
        <v>131</v>
      </c>
      <c r="T305" s="15" t="s">
        <v>132</v>
      </c>
      <c r="U305" s="54"/>
    </row>
    <row r="306" spans="1:21" ht="19.5" customHeight="1" x14ac:dyDescent="0.3">
      <c r="A306" s="1" t="s">
        <v>641</v>
      </c>
      <c r="B306" s="13">
        <v>46162</v>
      </c>
      <c r="C306" s="1" t="s">
        <v>80</v>
      </c>
      <c r="D306" s="8" t="s">
        <v>23</v>
      </c>
      <c r="E306" s="8" t="s">
        <v>48</v>
      </c>
      <c r="F306" s="24" t="s">
        <v>632</v>
      </c>
      <c r="G306" s="2" t="s">
        <v>633</v>
      </c>
      <c r="H306" s="2" t="s">
        <v>634</v>
      </c>
      <c r="I306" s="13" t="s">
        <v>38</v>
      </c>
      <c r="J306" s="9" t="s">
        <v>350</v>
      </c>
      <c r="K306" s="57">
        <v>46302</v>
      </c>
      <c r="L306" s="56">
        <v>46302</v>
      </c>
      <c r="M306" s="13">
        <v>46183</v>
      </c>
      <c r="N306" s="20">
        <f>Table1[[#This Row],[Completion Date]]-Table1[[#This Row],[Date Logged]]</f>
        <v>21</v>
      </c>
      <c r="O306" s="13" t="s">
        <v>58</v>
      </c>
      <c r="P306" s="1" t="s">
        <v>161</v>
      </c>
      <c r="Q306" s="1" t="s">
        <v>130</v>
      </c>
      <c r="R306" s="2" t="s">
        <v>131</v>
      </c>
      <c r="S306" s="2" t="s">
        <v>131</v>
      </c>
      <c r="T306" s="15" t="s">
        <v>132</v>
      </c>
      <c r="U306" s="54"/>
    </row>
    <row r="307" spans="1:21" ht="19.5" customHeight="1" x14ac:dyDescent="0.3">
      <c r="A307" s="1" t="s">
        <v>642</v>
      </c>
      <c r="B307" s="13">
        <v>46162</v>
      </c>
      <c r="C307" s="1" t="s">
        <v>80</v>
      </c>
      <c r="D307" s="8" t="s">
        <v>23</v>
      </c>
      <c r="E307" s="8" t="s">
        <v>48</v>
      </c>
      <c r="F307" s="24" t="s">
        <v>632</v>
      </c>
      <c r="G307" s="2" t="s">
        <v>633</v>
      </c>
      <c r="H307" s="2" t="s">
        <v>634</v>
      </c>
      <c r="I307" s="13" t="s">
        <v>38</v>
      </c>
      <c r="J307" s="9" t="s">
        <v>646</v>
      </c>
      <c r="K307" s="57">
        <v>46302</v>
      </c>
      <c r="L307" s="56">
        <v>46302</v>
      </c>
      <c r="M307" s="13">
        <v>46183</v>
      </c>
      <c r="N307" s="20">
        <f>Table1[[#This Row],[Completion Date]]-Table1[[#This Row],[Date Logged]]</f>
        <v>21</v>
      </c>
      <c r="O307" s="13" t="s">
        <v>58</v>
      </c>
      <c r="P307" s="1" t="s">
        <v>161</v>
      </c>
      <c r="Q307" s="1" t="s">
        <v>130</v>
      </c>
      <c r="R307" s="2" t="s">
        <v>131</v>
      </c>
      <c r="S307" s="2" t="s">
        <v>131</v>
      </c>
      <c r="T307" s="15" t="s">
        <v>132</v>
      </c>
      <c r="U307" s="54"/>
    </row>
    <row r="308" spans="1:21" ht="19.5" customHeight="1" x14ac:dyDescent="0.3">
      <c r="A308" s="1" t="s">
        <v>643</v>
      </c>
      <c r="B308" s="13">
        <v>46162</v>
      </c>
      <c r="C308" s="1" t="s">
        <v>80</v>
      </c>
      <c r="D308" s="8" t="s">
        <v>23</v>
      </c>
      <c r="E308" s="8" t="s">
        <v>48</v>
      </c>
      <c r="F308" s="24" t="s">
        <v>632</v>
      </c>
      <c r="G308" s="2" t="s">
        <v>633</v>
      </c>
      <c r="H308" s="2" t="s">
        <v>634</v>
      </c>
      <c r="I308" s="13" t="s">
        <v>38</v>
      </c>
      <c r="J308" s="9" t="s">
        <v>647</v>
      </c>
      <c r="K308" s="57">
        <v>46302</v>
      </c>
      <c r="L308" s="56">
        <v>46302</v>
      </c>
      <c r="M308" s="13">
        <v>46183</v>
      </c>
      <c r="N308" s="20">
        <f>Table1[[#This Row],[Completion Date]]-Table1[[#This Row],[Date Logged]]</f>
        <v>21</v>
      </c>
      <c r="O308" s="13" t="s">
        <v>58</v>
      </c>
      <c r="P308" s="1" t="s">
        <v>161</v>
      </c>
      <c r="Q308" s="1" t="s">
        <v>130</v>
      </c>
      <c r="R308" s="2" t="s">
        <v>131</v>
      </c>
      <c r="S308" s="2" t="s">
        <v>131</v>
      </c>
      <c r="T308" s="15" t="s">
        <v>132</v>
      </c>
      <c r="U308" s="54"/>
    </row>
    <row r="309" spans="1:21" ht="19.5" customHeight="1" x14ac:dyDescent="0.3">
      <c r="A309" s="1" t="s">
        <v>599</v>
      </c>
      <c r="B309" s="13">
        <v>46164</v>
      </c>
      <c r="C309" s="1" t="s">
        <v>135</v>
      </c>
      <c r="D309" s="8" t="s">
        <v>598</v>
      </c>
      <c r="E309" s="8" t="s">
        <v>24</v>
      </c>
      <c r="F309" s="14"/>
      <c r="G309" s="15"/>
      <c r="H309" s="15"/>
      <c r="I309" s="13"/>
      <c r="J309" s="68"/>
      <c r="K309" s="12"/>
      <c r="L309" s="7"/>
      <c r="M309" s="13"/>
      <c r="N309" s="20">
        <f>Table1[[#This Row],[Completion Date]]-Table1[[#This Row],[Date Logged]]</f>
        <v>-46164</v>
      </c>
      <c r="O309" s="13" t="s">
        <v>59</v>
      </c>
      <c r="P309" s="12"/>
      <c r="Q309" s="12"/>
      <c r="R309" s="15"/>
      <c r="S309" s="15"/>
      <c r="T309" s="15" t="s">
        <v>70</v>
      </c>
      <c r="U309" s="54"/>
    </row>
    <row r="310" spans="1:21" ht="19.5" customHeight="1" x14ac:dyDescent="0.3">
      <c r="A310" s="1" t="s">
        <v>864</v>
      </c>
      <c r="B310" s="13">
        <v>46175</v>
      </c>
      <c r="C310" s="1" t="s">
        <v>161</v>
      </c>
      <c r="D310" s="8" t="s">
        <v>135</v>
      </c>
      <c r="E310" s="8" t="s">
        <v>24</v>
      </c>
      <c r="F310" s="24" t="s">
        <v>601</v>
      </c>
      <c r="G310" s="2" t="s">
        <v>860</v>
      </c>
      <c r="H310" s="2" t="s">
        <v>861</v>
      </c>
      <c r="I310" s="13" t="s">
        <v>38</v>
      </c>
      <c r="J310" s="9" t="s">
        <v>861</v>
      </c>
      <c r="K310" s="1" t="s">
        <v>428</v>
      </c>
      <c r="L310" s="7">
        <v>46224</v>
      </c>
      <c r="M310" s="13">
        <v>46219</v>
      </c>
      <c r="N310" s="20">
        <f>Table1[[#This Row],[Completion Date]]-Table1[[#This Row],[Date Logged]]</f>
        <v>44</v>
      </c>
      <c r="O310" s="13" t="s">
        <v>58</v>
      </c>
      <c r="P310" s="1" t="s">
        <v>161</v>
      </c>
      <c r="Q310" s="1" t="s">
        <v>131</v>
      </c>
      <c r="R310" s="2" t="s">
        <v>131</v>
      </c>
      <c r="S310" s="2" t="s">
        <v>131</v>
      </c>
      <c r="T310" s="15" t="s">
        <v>132</v>
      </c>
      <c r="U310" s="12"/>
    </row>
    <row r="311" spans="1:21" ht="19.5" customHeight="1" x14ac:dyDescent="0.3">
      <c r="A311" s="1" t="s">
        <v>865</v>
      </c>
      <c r="B311" s="13">
        <v>46175</v>
      </c>
      <c r="C311" s="1" t="s">
        <v>161</v>
      </c>
      <c r="D311" s="8" t="s">
        <v>135</v>
      </c>
      <c r="E311" s="8" t="s">
        <v>24</v>
      </c>
      <c r="F311" s="24" t="s">
        <v>601</v>
      </c>
      <c r="G311" s="2" t="s">
        <v>860</v>
      </c>
      <c r="H311" s="55" t="s">
        <v>862</v>
      </c>
      <c r="I311" s="58"/>
      <c r="J311" s="9" t="s">
        <v>862</v>
      </c>
      <c r="K311" s="1" t="s">
        <v>428</v>
      </c>
      <c r="L311" s="7">
        <v>46224</v>
      </c>
      <c r="M311" s="13">
        <v>46219</v>
      </c>
      <c r="N311" s="60">
        <f>Table1[[#This Row],[Completion Date]]-Table1[[#This Row],[Date Logged]]</f>
        <v>44</v>
      </c>
      <c r="O311" s="13" t="s">
        <v>58</v>
      </c>
      <c r="P311" s="54" t="s">
        <v>161</v>
      </c>
      <c r="Q311" s="54" t="s">
        <v>131</v>
      </c>
      <c r="R311" s="55" t="s">
        <v>131</v>
      </c>
      <c r="S311" s="55" t="s">
        <v>131</v>
      </c>
      <c r="T311" s="15" t="s">
        <v>132</v>
      </c>
      <c r="U311" s="54"/>
    </row>
    <row r="312" spans="1:21" ht="19.5" customHeight="1" x14ac:dyDescent="0.3">
      <c r="A312" s="1" t="s">
        <v>664</v>
      </c>
      <c r="B312" s="13">
        <v>46184</v>
      </c>
      <c r="C312" s="1" t="s">
        <v>23</v>
      </c>
      <c r="D312" s="8" t="s">
        <v>23</v>
      </c>
      <c r="E312" s="8" t="s">
        <v>24</v>
      </c>
      <c r="F312" s="24" t="s">
        <v>665</v>
      </c>
      <c r="G312" s="2" t="s">
        <v>666</v>
      </c>
      <c r="H312" s="2" t="s">
        <v>667</v>
      </c>
      <c r="I312" s="13" t="s">
        <v>38</v>
      </c>
      <c r="J312" s="9" t="s">
        <v>674</v>
      </c>
      <c r="K312" s="1" t="s">
        <v>23</v>
      </c>
      <c r="L312" s="7">
        <v>46184</v>
      </c>
      <c r="M312" s="13">
        <v>46184</v>
      </c>
      <c r="N312" s="20">
        <f>Table1[[#This Row],[Completion Date]]-Table1[[#This Row],[Date Logged]]</f>
        <v>0</v>
      </c>
      <c r="O312" s="13" t="s">
        <v>58</v>
      </c>
      <c r="P312" s="1" t="s">
        <v>129</v>
      </c>
      <c r="Q312" s="1" t="s">
        <v>130</v>
      </c>
      <c r="R312" s="2" t="s">
        <v>131</v>
      </c>
      <c r="S312" s="2" t="s">
        <v>131</v>
      </c>
      <c r="T312" s="15" t="s">
        <v>132</v>
      </c>
      <c r="U312" s="1" t="s">
        <v>47</v>
      </c>
    </row>
    <row r="313" spans="1:21" ht="19.5" customHeight="1" x14ac:dyDescent="0.3">
      <c r="A313" s="1" t="s">
        <v>668</v>
      </c>
      <c r="B313" s="13">
        <v>46184</v>
      </c>
      <c r="C313" s="1" t="s">
        <v>23</v>
      </c>
      <c r="D313" s="8" t="s">
        <v>23</v>
      </c>
      <c r="E313" s="8" t="s">
        <v>24</v>
      </c>
      <c r="F313" s="24" t="s">
        <v>665</v>
      </c>
      <c r="G313" s="2" t="s">
        <v>666</v>
      </c>
      <c r="H313" s="2" t="s">
        <v>667</v>
      </c>
      <c r="I313" s="13" t="s">
        <v>38</v>
      </c>
      <c r="J313" s="9" t="s">
        <v>675</v>
      </c>
      <c r="K313" s="1" t="s">
        <v>23</v>
      </c>
      <c r="L313" s="7">
        <v>46579</v>
      </c>
      <c r="M313" s="13">
        <v>46184</v>
      </c>
      <c r="N313" s="20">
        <f>Table1[[#This Row],[Completion Date]]-Table1[[#This Row],[Date Logged]]</f>
        <v>0</v>
      </c>
      <c r="O313" s="13" t="s">
        <v>58</v>
      </c>
      <c r="P313" s="1" t="s">
        <v>129</v>
      </c>
      <c r="Q313" s="1" t="s">
        <v>130</v>
      </c>
      <c r="R313" s="2" t="s">
        <v>131</v>
      </c>
      <c r="S313" s="2" t="s">
        <v>131</v>
      </c>
      <c r="T313" s="15" t="s">
        <v>132</v>
      </c>
      <c r="U313" s="1" t="s">
        <v>47</v>
      </c>
    </row>
    <row r="314" spans="1:21" ht="19.5" customHeight="1" x14ac:dyDescent="0.3">
      <c r="A314" s="1" t="s">
        <v>669</v>
      </c>
      <c r="B314" s="13">
        <v>46184</v>
      </c>
      <c r="C314" s="1" t="s">
        <v>23</v>
      </c>
      <c r="D314" s="8" t="s">
        <v>23</v>
      </c>
      <c r="E314" s="8" t="s">
        <v>24</v>
      </c>
      <c r="F314" s="24" t="s">
        <v>665</v>
      </c>
      <c r="G314" s="2" t="s">
        <v>666</v>
      </c>
      <c r="H314" s="2" t="s">
        <v>667</v>
      </c>
      <c r="I314" s="13" t="s">
        <v>38</v>
      </c>
      <c r="J314" s="9" t="s">
        <v>295</v>
      </c>
      <c r="K314" s="1" t="s">
        <v>23</v>
      </c>
      <c r="L314" s="7">
        <v>46579</v>
      </c>
      <c r="M314" s="13">
        <v>46185</v>
      </c>
      <c r="N314" s="20">
        <f>Table1[[#This Row],[Completion Date]]-Table1[[#This Row],[Date Logged]]</f>
        <v>1</v>
      </c>
      <c r="O314" s="13" t="s">
        <v>58</v>
      </c>
      <c r="P314" s="1" t="s">
        <v>129</v>
      </c>
      <c r="Q314" s="1" t="s">
        <v>130</v>
      </c>
      <c r="R314" s="2" t="s">
        <v>131</v>
      </c>
      <c r="S314" s="2" t="s">
        <v>131</v>
      </c>
      <c r="T314" s="15" t="s">
        <v>132</v>
      </c>
      <c r="U314" s="1" t="s">
        <v>47</v>
      </c>
    </row>
    <row r="315" spans="1:21" ht="30.75" customHeight="1" x14ac:dyDescent="0.3">
      <c r="A315" s="1" t="s">
        <v>670</v>
      </c>
      <c r="B315" s="13">
        <v>46184</v>
      </c>
      <c r="C315" s="1" t="s">
        <v>23</v>
      </c>
      <c r="D315" s="8" t="s">
        <v>23</v>
      </c>
      <c r="E315" s="8" t="s">
        <v>24</v>
      </c>
      <c r="F315" s="24" t="s">
        <v>665</v>
      </c>
      <c r="G315" s="2" t="s">
        <v>666</v>
      </c>
      <c r="H315" s="2" t="s">
        <v>667</v>
      </c>
      <c r="I315" s="13" t="s">
        <v>38</v>
      </c>
      <c r="J315" s="9" t="s">
        <v>296</v>
      </c>
      <c r="K315" s="1" t="s">
        <v>23</v>
      </c>
      <c r="L315" s="7">
        <v>46579</v>
      </c>
      <c r="M315" s="13">
        <v>46185</v>
      </c>
      <c r="N315" s="20">
        <f>Table1[[#This Row],[Completion Date]]-Table1[[#This Row],[Date Logged]]</f>
        <v>1</v>
      </c>
      <c r="O315" s="13" t="s">
        <v>58</v>
      </c>
      <c r="P315" s="1" t="s">
        <v>129</v>
      </c>
      <c r="Q315" s="1" t="s">
        <v>130</v>
      </c>
      <c r="R315" s="2" t="s">
        <v>131</v>
      </c>
      <c r="S315" s="2" t="s">
        <v>131</v>
      </c>
      <c r="T315" s="15" t="s">
        <v>132</v>
      </c>
      <c r="U315" s="1" t="s">
        <v>47</v>
      </c>
    </row>
    <row r="316" spans="1:21" ht="19.5" customHeight="1" x14ac:dyDescent="0.3">
      <c r="A316" s="1" t="s">
        <v>671</v>
      </c>
      <c r="B316" s="13">
        <v>46184</v>
      </c>
      <c r="C316" s="1" t="s">
        <v>23</v>
      </c>
      <c r="D316" s="8" t="s">
        <v>23</v>
      </c>
      <c r="E316" s="8" t="s">
        <v>24</v>
      </c>
      <c r="F316" s="24" t="s">
        <v>665</v>
      </c>
      <c r="G316" s="2" t="s">
        <v>666</v>
      </c>
      <c r="H316" s="2" t="s">
        <v>667</v>
      </c>
      <c r="I316" s="13" t="s">
        <v>38</v>
      </c>
      <c r="J316" s="9" t="s">
        <v>297</v>
      </c>
      <c r="K316" s="1" t="s">
        <v>23</v>
      </c>
      <c r="L316" s="7">
        <v>46579</v>
      </c>
      <c r="M316" s="13">
        <v>46185</v>
      </c>
      <c r="N316" s="20">
        <f>Table1[[#This Row],[Completion Date]]-Table1[[#This Row],[Date Logged]]</f>
        <v>1</v>
      </c>
      <c r="O316" s="13" t="s">
        <v>58</v>
      </c>
      <c r="P316" s="1" t="s">
        <v>129</v>
      </c>
      <c r="Q316" s="1" t="s">
        <v>130</v>
      </c>
      <c r="R316" s="2" t="s">
        <v>131</v>
      </c>
      <c r="S316" s="2" t="s">
        <v>131</v>
      </c>
      <c r="T316" s="15" t="s">
        <v>132</v>
      </c>
      <c r="U316" s="1" t="s">
        <v>47</v>
      </c>
    </row>
    <row r="317" spans="1:21" ht="19.5" customHeight="1" x14ac:dyDescent="0.3">
      <c r="A317" s="1" t="s">
        <v>672</v>
      </c>
      <c r="B317" s="13">
        <v>46184</v>
      </c>
      <c r="C317" s="1" t="s">
        <v>23</v>
      </c>
      <c r="D317" s="8" t="s">
        <v>23</v>
      </c>
      <c r="E317" s="8" t="s">
        <v>24</v>
      </c>
      <c r="F317" s="24" t="s">
        <v>665</v>
      </c>
      <c r="G317" s="2" t="s">
        <v>666</v>
      </c>
      <c r="H317" s="2" t="s">
        <v>667</v>
      </c>
      <c r="I317" s="13" t="s">
        <v>38</v>
      </c>
      <c r="J317" s="9" t="s">
        <v>676</v>
      </c>
      <c r="K317" s="1" t="s">
        <v>23</v>
      </c>
      <c r="L317" s="7">
        <v>46579</v>
      </c>
      <c r="M317" s="13">
        <v>46185</v>
      </c>
      <c r="N317" s="20">
        <f>Table1[[#This Row],[Completion Date]]-Table1[[#This Row],[Date Logged]]</f>
        <v>1</v>
      </c>
      <c r="O317" s="13" t="s">
        <v>58</v>
      </c>
      <c r="P317" s="1" t="s">
        <v>129</v>
      </c>
      <c r="Q317" s="1" t="s">
        <v>130</v>
      </c>
      <c r="R317" s="2" t="s">
        <v>131</v>
      </c>
      <c r="S317" s="2" t="s">
        <v>131</v>
      </c>
      <c r="T317" s="15" t="s">
        <v>132</v>
      </c>
      <c r="U317" s="1" t="s">
        <v>47</v>
      </c>
    </row>
    <row r="318" spans="1:21" ht="19.5" customHeight="1" x14ac:dyDescent="0.3">
      <c r="A318" s="1" t="s">
        <v>673</v>
      </c>
      <c r="B318" s="13">
        <v>46184</v>
      </c>
      <c r="C318" s="1" t="s">
        <v>23</v>
      </c>
      <c r="D318" s="8" t="s">
        <v>23</v>
      </c>
      <c r="E318" s="8" t="s">
        <v>24</v>
      </c>
      <c r="F318" s="24" t="s">
        <v>665</v>
      </c>
      <c r="G318" s="2" t="s">
        <v>666</v>
      </c>
      <c r="H318" s="2" t="s">
        <v>667</v>
      </c>
      <c r="I318" s="13" t="s">
        <v>38</v>
      </c>
      <c r="J318" s="9" t="s">
        <v>677</v>
      </c>
      <c r="K318" s="1" t="s">
        <v>23</v>
      </c>
      <c r="L318" s="7">
        <v>46579</v>
      </c>
      <c r="M318" s="13">
        <v>46185</v>
      </c>
      <c r="N318" s="20">
        <f>Table1[[#This Row],[Completion Date]]-Table1[[#This Row],[Date Logged]]</f>
        <v>1</v>
      </c>
      <c r="O318" s="13" t="s">
        <v>58</v>
      </c>
      <c r="P318" s="1" t="s">
        <v>129</v>
      </c>
      <c r="Q318" s="1" t="s">
        <v>130</v>
      </c>
      <c r="R318" s="2" t="s">
        <v>131</v>
      </c>
      <c r="S318" s="2" t="s">
        <v>131</v>
      </c>
      <c r="T318" s="15" t="s">
        <v>132</v>
      </c>
      <c r="U318" s="1" t="s">
        <v>47</v>
      </c>
    </row>
    <row r="319" spans="1:21" ht="19.5" customHeight="1" x14ac:dyDescent="0.3">
      <c r="A319" s="1" t="s">
        <v>678</v>
      </c>
      <c r="B319" s="13">
        <v>46184</v>
      </c>
      <c r="C319" s="1" t="s">
        <v>146</v>
      </c>
      <c r="D319" s="8" t="s">
        <v>146</v>
      </c>
      <c r="E319" s="8" t="s">
        <v>24</v>
      </c>
      <c r="F319" s="24" t="s">
        <v>679</v>
      </c>
      <c r="G319" s="15"/>
      <c r="H319" s="15"/>
      <c r="I319" s="13"/>
      <c r="J319" s="9" t="s">
        <v>712</v>
      </c>
      <c r="K319" s="12"/>
      <c r="L319" s="7">
        <v>46751</v>
      </c>
      <c r="M319" s="13"/>
      <c r="N319" s="20">
        <f>Table1[[#This Row],[Completion Date]]-Table1[[#This Row],[Date Logged]]</f>
        <v>-46184</v>
      </c>
      <c r="O319" s="13" t="s">
        <v>59</v>
      </c>
      <c r="P319" s="12"/>
      <c r="Q319" s="12"/>
      <c r="R319" s="15"/>
      <c r="S319" s="15"/>
      <c r="T319" s="15" t="s">
        <v>70</v>
      </c>
      <c r="U319" s="12"/>
    </row>
    <row r="320" spans="1:21" ht="19.5" customHeight="1" x14ac:dyDescent="0.3">
      <c r="A320" s="1" t="s">
        <v>683</v>
      </c>
      <c r="B320" s="13">
        <v>46188</v>
      </c>
      <c r="C320" s="1" t="s">
        <v>100</v>
      </c>
      <c r="D320" s="8" t="s">
        <v>23</v>
      </c>
      <c r="E320" s="8" t="s">
        <v>24</v>
      </c>
      <c r="F320" s="24" t="s">
        <v>680</v>
      </c>
      <c r="G320" s="2" t="s">
        <v>681</v>
      </c>
      <c r="H320" s="2" t="s">
        <v>682</v>
      </c>
      <c r="I320" s="13" t="s">
        <v>78</v>
      </c>
      <c r="J320" s="9" t="s">
        <v>684</v>
      </c>
      <c r="K320" s="1" t="s">
        <v>80</v>
      </c>
      <c r="L320" s="7">
        <v>46195</v>
      </c>
      <c r="M320" s="13">
        <v>46195</v>
      </c>
      <c r="N320" s="20">
        <f>Table1[[#This Row],[Completion Date]]-Table1[[#This Row],[Date Logged]]</f>
        <v>7</v>
      </c>
      <c r="O320" s="13" t="s">
        <v>58</v>
      </c>
      <c r="P320" s="1" t="s">
        <v>161</v>
      </c>
      <c r="Q320" s="1" t="s">
        <v>131</v>
      </c>
      <c r="R320" s="2" t="s">
        <v>131</v>
      </c>
      <c r="S320" s="2" t="s">
        <v>131</v>
      </c>
      <c r="T320" s="15" t="s">
        <v>223</v>
      </c>
      <c r="U320" s="1" t="s">
        <v>774</v>
      </c>
    </row>
    <row r="321" spans="1:21" ht="19.5" customHeight="1" x14ac:dyDescent="0.3">
      <c r="A321" s="1" t="s">
        <v>693</v>
      </c>
      <c r="B321" s="13">
        <v>46188</v>
      </c>
      <c r="C321" s="1" t="s">
        <v>100</v>
      </c>
      <c r="D321" s="8" t="s">
        <v>23</v>
      </c>
      <c r="E321" s="8" t="s">
        <v>24</v>
      </c>
      <c r="F321" s="24" t="s">
        <v>680</v>
      </c>
      <c r="G321" s="2" t="s">
        <v>681</v>
      </c>
      <c r="H321" s="2" t="s">
        <v>682</v>
      </c>
      <c r="I321" s="13" t="s">
        <v>78</v>
      </c>
      <c r="J321" s="9" t="s">
        <v>685</v>
      </c>
      <c r="K321" s="1" t="s">
        <v>41</v>
      </c>
      <c r="L321" s="7">
        <v>46196</v>
      </c>
      <c r="M321" s="13">
        <v>46196</v>
      </c>
      <c r="N321" s="20">
        <f>Table1[[#This Row],[Completion Date]]-Table1[[#This Row],[Date Logged]]</f>
        <v>8</v>
      </c>
      <c r="O321" s="13" t="s">
        <v>58</v>
      </c>
      <c r="P321" s="1" t="s">
        <v>161</v>
      </c>
      <c r="Q321" s="1" t="s">
        <v>131</v>
      </c>
      <c r="R321" s="2" t="s">
        <v>131</v>
      </c>
      <c r="S321" s="2" t="s">
        <v>131</v>
      </c>
      <c r="T321" s="15" t="s">
        <v>223</v>
      </c>
      <c r="U321" s="1" t="s">
        <v>774</v>
      </c>
    </row>
    <row r="322" spans="1:21" ht="19.5" customHeight="1" x14ac:dyDescent="0.3">
      <c r="A322" s="1" t="s">
        <v>694</v>
      </c>
      <c r="B322" s="13">
        <v>46188</v>
      </c>
      <c r="C322" s="1" t="s">
        <v>100</v>
      </c>
      <c r="D322" s="8" t="s">
        <v>23</v>
      </c>
      <c r="E322" s="8" t="s">
        <v>24</v>
      </c>
      <c r="F322" s="24" t="s">
        <v>680</v>
      </c>
      <c r="G322" s="2" t="s">
        <v>681</v>
      </c>
      <c r="H322" s="2" t="s">
        <v>682</v>
      </c>
      <c r="I322" s="13" t="s">
        <v>78</v>
      </c>
      <c r="J322" s="9" t="s">
        <v>686</v>
      </c>
      <c r="K322" s="1" t="s">
        <v>41</v>
      </c>
      <c r="L322" s="7">
        <v>46200</v>
      </c>
      <c r="M322" s="13">
        <v>46199</v>
      </c>
      <c r="N322" s="20">
        <f>Table1[[#This Row],[Completion Date]]-Table1[[#This Row],[Date Logged]]</f>
        <v>11</v>
      </c>
      <c r="O322" s="13" t="s">
        <v>58</v>
      </c>
      <c r="P322" s="1" t="s">
        <v>161</v>
      </c>
      <c r="Q322" s="1" t="s">
        <v>131</v>
      </c>
      <c r="R322" s="2" t="s">
        <v>131</v>
      </c>
      <c r="S322" s="2" t="s">
        <v>131</v>
      </c>
      <c r="T322" s="15" t="s">
        <v>223</v>
      </c>
      <c r="U322" s="1" t="s">
        <v>774</v>
      </c>
    </row>
    <row r="323" spans="1:21" ht="19.5" customHeight="1" x14ac:dyDescent="0.3">
      <c r="A323" s="1" t="s">
        <v>695</v>
      </c>
      <c r="B323" s="13">
        <v>46188</v>
      </c>
      <c r="C323" s="1" t="s">
        <v>100</v>
      </c>
      <c r="D323" s="8" t="s">
        <v>23</v>
      </c>
      <c r="E323" s="8" t="s">
        <v>24</v>
      </c>
      <c r="F323" s="24" t="s">
        <v>680</v>
      </c>
      <c r="G323" s="2" t="s">
        <v>681</v>
      </c>
      <c r="H323" s="2" t="s">
        <v>682</v>
      </c>
      <c r="I323" s="13" t="s">
        <v>78</v>
      </c>
      <c r="J323" s="9" t="s">
        <v>687</v>
      </c>
      <c r="K323" s="1" t="s">
        <v>692</v>
      </c>
      <c r="L323" s="7">
        <v>46201</v>
      </c>
      <c r="M323" s="13">
        <v>46199</v>
      </c>
      <c r="N323" s="20">
        <f>Table1[[#This Row],[Completion Date]]-Table1[[#This Row],[Date Logged]]</f>
        <v>11</v>
      </c>
      <c r="O323" s="13" t="s">
        <v>58</v>
      </c>
      <c r="P323" s="1" t="s">
        <v>161</v>
      </c>
      <c r="Q323" s="1" t="s">
        <v>131</v>
      </c>
      <c r="R323" s="2" t="s">
        <v>131</v>
      </c>
      <c r="S323" s="2" t="s">
        <v>131</v>
      </c>
      <c r="T323" s="15" t="s">
        <v>223</v>
      </c>
      <c r="U323" s="1" t="s">
        <v>774</v>
      </c>
    </row>
    <row r="324" spans="1:21" ht="19.5" customHeight="1" x14ac:dyDescent="0.3">
      <c r="A324" s="1" t="s">
        <v>696</v>
      </c>
      <c r="B324" s="13">
        <v>46188</v>
      </c>
      <c r="C324" s="1" t="s">
        <v>100</v>
      </c>
      <c r="D324" s="8" t="s">
        <v>23</v>
      </c>
      <c r="E324" s="8" t="s">
        <v>24</v>
      </c>
      <c r="F324" s="24" t="s">
        <v>680</v>
      </c>
      <c r="G324" s="2" t="s">
        <v>681</v>
      </c>
      <c r="H324" s="2" t="s">
        <v>682</v>
      </c>
      <c r="I324" s="13" t="s">
        <v>78</v>
      </c>
      <c r="J324" s="9" t="s">
        <v>688</v>
      </c>
      <c r="K324" s="1" t="s">
        <v>42</v>
      </c>
      <c r="L324" s="7">
        <v>46203</v>
      </c>
      <c r="M324" s="13">
        <v>46199</v>
      </c>
      <c r="N324" s="20">
        <f>Table1[[#This Row],[Completion Date]]-Table1[[#This Row],[Date Logged]]</f>
        <v>11</v>
      </c>
      <c r="O324" s="13" t="s">
        <v>58</v>
      </c>
      <c r="P324" s="1" t="s">
        <v>161</v>
      </c>
      <c r="Q324" s="1" t="s">
        <v>131</v>
      </c>
      <c r="R324" s="2" t="s">
        <v>131</v>
      </c>
      <c r="S324" s="2" t="s">
        <v>131</v>
      </c>
      <c r="T324" s="15" t="s">
        <v>223</v>
      </c>
      <c r="U324" s="1" t="s">
        <v>774</v>
      </c>
    </row>
    <row r="325" spans="1:21" ht="19.5" customHeight="1" x14ac:dyDescent="0.3">
      <c r="A325" s="1" t="s">
        <v>697</v>
      </c>
      <c r="B325" s="13">
        <v>46188</v>
      </c>
      <c r="C325" s="1" t="s">
        <v>100</v>
      </c>
      <c r="D325" s="8" t="s">
        <v>23</v>
      </c>
      <c r="E325" s="8" t="s">
        <v>24</v>
      </c>
      <c r="F325" s="24" t="s">
        <v>680</v>
      </c>
      <c r="G325" s="2" t="s">
        <v>681</v>
      </c>
      <c r="H325" s="2" t="s">
        <v>682</v>
      </c>
      <c r="I325" s="13" t="s">
        <v>78</v>
      </c>
      <c r="J325" s="9" t="s">
        <v>689</v>
      </c>
      <c r="K325" s="1" t="s">
        <v>80</v>
      </c>
      <c r="L325" s="7">
        <v>46203</v>
      </c>
      <c r="M325" s="13">
        <v>46199</v>
      </c>
      <c r="N325" s="20">
        <f>Table1[[#This Row],[Completion Date]]-Table1[[#This Row],[Date Logged]]</f>
        <v>11</v>
      </c>
      <c r="O325" s="13" t="s">
        <v>58</v>
      </c>
      <c r="P325" s="1" t="s">
        <v>161</v>
      </c>
      <c r="Q325" s="1" t="s">
        <v>131</v>
      </c>
      <c r="R325" s="2" t="s">
        <v>131</v>
      </c>
      <c r="S325" s="2" t="s">
        <v>131</v>
      </c>
      <c r="T325" s="15" t="s">
        <v>223</v>
      </c>
      <c r="U325" s="1" t="s">
        <v>774</v>
      </c>
    </row>
    <row r="326" spans="1:21" ht="19.5" customHeight="1" x14ac:dyDescent="0.3">
      <c r="A326" s="1" t="s">
        <v>698</v>
      </c>
      <c r="B326" s="13">
        <v>46188</v>
      </c>
      <c r="C326" s="1" t="s">
        <v>100</v>
      </c>
      <c r="D326" s="8" t="s">
        <v>23</v>
      </c>
      <c r="E326" s="8" t="s">
        <v>24</v>
      </c>
      <c r="F326" s="24" t="s">
        <v>680</v>
      </c>
      <c r="G326" s="2" t="s">
        <v>681</v>
      </c>
      <c r="H326" s="2" t="s">
        <v>682</v>
      </c>
      <c r="I326" s="13" t="s">
        <v>78</v>
      </c>
      <c r="J326" s="9" t="s">
        <v>690</v>
      </c>
      <c r="K326" s="1" t="s">
        <v>208</v>
      </c>
      <c r="L326" s="7">
        <v>46203</v>
      </c>
      <c r="M326" s="13">
        <v>46202</v>
      </c>
      <c r="N326" s="20">
        <f>Table1[[#This Row],[Completion Date]]-Table1[[#This Row],[Date Logged]]</f>
        <v>14</v>
      </c>
      <c r="O326" s="13" t="s">
        <v>58</v>
      </c>
      <c r="P326" s="1" t="s">
        <v>161</v>
      </c>
      <c r="Q326" s="1" t="s">
        <v>131</v>
      </c>
      <c r="R326" s="2" t="s">
        <v>131</v>
      </c>
      <c r="S326" s="2" t="s">
        <v>131</v>
      </c>
      <c r="T326" s="15" t="s">
        <v>223</v>
      </c>
      <c r="U326" s="1" t="s">
        <v>774</v>
      </c>
    </row>
    <row r="327" spans="1:21" ht="19.5" customHeight="1" x14ac:dyDescent="0.3">
      <c r="A327" s="1" t="s">
        <v>699</v>
      </c>
      <c r="B327" s="13">
        <v>46188</v>
      </c>
      <c r="C327" s="1" t="s">
        <v>100</v>
      </c>
      <c r="D327" s="8" t="s">
        <v>23</v>
      </c>
      <c r="E327" s="8" t="s">
        <v>24</v>
      </c>
      <c r="F327" s="24" t="s">
        <v>680</v>
      </c>
      <c r="G327" s="2" t="s">
        <v>681</v>
      </c>
      <c r="H327" s="2" t="s">
        <v>682</v>
      </c>
      <c r="I327" s="13" t="s">
        <v>78</v>
      </c>
      <c r="J327" s="9" t="s">
        <v>691</v>
      </c>
      <c r="K327" s="1" t="s">
        <v>42</v>
      </c>
      <c r="L327" s="7">
        <v>46203</v>
      </c>
      <c r="M327" s="13">
        <v>46202</v>
      </c>
      <c r="N327" s="20">
        <f>Table1[[#This Row],[Completion Date]]-Table1[[#This Row],[Date Logged]]</f>
        <v>14</v>
      </c>
      <c r="O327" s="13" t="s">
        <v>58</v>
      </c>
      <c r="P327" s="1" t="s">
        <v>161</v>
      </c>
      <c r="Q327" s="1" t="s">
        <v>131</v>
      </c>
      <c r="R327" s="2" t="s">
        <v>131</v>
      </c>
      <c r="S327" s="2" t="s">
        <v>131</v>
      </c>
      <c r="T327" s="15" t="s">
        <v>223</v>
      </c>
      <c r="U327" s="1" t="s">
        <v>774</v>
      </c>
    </row>
    <row r="328" spans="1:21" ht="19.5" customHeight="1" x14ac:dyDescent="0.3">
      <c r="A328" s="1" t="s">
        <v>700</v>
      </c>
      <c r="B328" s="13">
        <v>46188</v>
      </c>
      <c r="C328" s="1" t="s">
        <v>100</v>
      </c>
      <c r="D328" s="8" t="s">
        <v>23</v>
      </c>
      <c r="E328" s="8" t="s">
        <v>24</v>
      </c>
      <c r="F328" s="24" t="s">
        <v>680</v>
      </c>
      <c r="G328" s="2" t="s">
        <v>681</v>
      </c>
      <c r="H328" s="2" t="s">
        <v>682</v>
      </c>
      <c r="I328" s="13" t="s">
        <v>78</v>
      </c>
      <c r="J328" s="9" t="s">
        <v>182</v>
      </c>
      <c r="K328" s="1" t="s">
        <v>42</v>
      </c>
      <c r="L328" s="7">
        <v>46210</v>
      </c>
      <c r="M328" s="13">
        <v>46202</v>
      </c>
      <c r="N328" s="20">
        <f>Table1[[#This Row],[Completion Date]]-Table1[[#This Row],[Date Logged]]</f>
        <v>14</v>
      </c>
      <c r="O328" s="13" t="s">
        <v>58</v>
      </c>
      <c r="P328" s="1" t="s">
        <v>161</v>
      </c>
      <c r="Q328" s="1" t="s">
        <v>131</v>
      </c>
      <c r="R328" s="2" t="s">
        <v>131</v>
      </c>
      <c r="S328" s="2" t="s">
        <v>131</v>
      </c>
      <c r="T328" s="15" t="s">
        <v>223</v>
      </c>
      <c r="U328" s="1" t="s">
        <v>774</v>
      </c>
    </row>
    <row r="329" spans="1:21" ht="19.5" customHeight="1" x14ac:dyDescent="0.3">
      <c r="A329" s="1" t="s">
        <v>702</v>
      </c>
      <c r="B329" s="13">
        <v>46188</v>
      </c>
      <c r="C329" s="1" t="s">
        <v>135</v>
      </c>
      <c r="D329" s="8" t="s">
        <v>135</v>
      </c>
      <c r="E329" s="8" t="s">
        <v>24</v>
      </c>
      <c r="F329" s="24" t="s">
        <v>701</v>
      </c>
      <c r="G329" s="2" t="s">
        <v>709</v>
      </c>
      <c r="H329" s="2" t="s">
        <v>710</v>
      </c>
      <c r="I329" s="13" t="s">
        <v>38</v>
      </c>
      <c r="J329" s="9" t="s">
        <v>711</v>
      </c>
      <c r="K329" s="1" t="s">
        <v>135</v>
      </c>
      <c r="L329" s="7">
        <v>46218</v>
      </c>
      <c r="M329" s="13">
        <v>46189</v>
      </c>
      <c r="N329" s="20">
        <f>Table1[[#This Row],[Completion Date]]-Table1[[#This Row],[Date Logged]]</f>
        <v>1</v>
      </c>
      <c r="O329" s="13" t="s">
        <v>58</v>
      </c>
      <c r="P329" s="1" t="s">
        <v>161</v>
      </c>
      <c r="Q329" s="1" t="s">
        <v>131</v>
      </c>
      <c r="R329" s="2" t="s">
        <v>131</v>
      </c>
      <c r="S329" s="2" t="s">
        <v>131</v>
      </c>
      <c r="T329" s="15" t="s">
        <v>132</v>
      </c>
      <c r="U329" s="12"/>
    </row>
    <row r="330" spans="1:21" ht="19.5" customHeight="1" x14ac:dyDescent="0.3">
      <c r="A330" s="1" t="s">
        <v>703</v>
      </c>
      <c r="B330" s="13">
        <v>46188</v>
      </c>
      <c r="C330" s="1" t="s">
        <v>135</v>
      </c>
      <c r="D330" s="8" t="s">
        <v>135</v>
      </c>
      <c r="E330" s="8" t="s">
        <v>24</v>
      </c>
      <c r="F330" s="24" t="s">
        <v>701</v>
      </c>
      <c r="G330" s="2" t="s">
        <v>709</v>
      </c>
      <c r="H330" s="2" t="s">
        <v>710</v>
      </c>
      <c r="I330" s="13" t="s">
        <v>38</v>
      </c>
      <c r="J330" s="9" t="s">
        <v>675</v>
      </c>
      <c r="K330" s="1" t="s">
        <v>135</v>
      </c>
      <c r="L330" s="7">
        <v>46218</v>
      </c>
      <c r="M330" s="13">
        <v>46195</v>
      </c>
      <c r="N330" s="20">
        <f>Table1[[#This Row],[Completion Date]]-Table1[[#This Row],[Date Logged]]</f>
        <v>7</v>
      </c>
      <c r="O330" s="13" t="s">
        <v>58</v>
      </c>
      <c r="P330" s="1" t="s">
        <v>161</v>
      </c>
      <c r="Q330" s="1" t="s">
        <v>131</v>
      </c>
      <c r="R330" s="2" t="s">
        <v>131</v>
      </c>
      <c r="S330" s="2" t="s">
        <v>131</v>
      </c>
      <c r="T330" s="15" t="s">
        <v>132</v>
      </c>
      <c r="U330" s="12"/>
    </row>
    <row r="331" spans="1:21" ht="19.5" customHeight="1" x14ac:dyDescent="0.3">
      <c r="A331" s="1" t="s">
        <v>704</v>
      </c>
      <c r="B331" s="13">
        <v>46188</v>
      </c>
      <c r="C331" s="1" t="s">
        <v>135</v>
      </c>
      <c r="D331" s="8" t="s">
        <v>135</v>
      </c>
      <c r="E331" s="8" t="s">
        <v>24</v>
      </c>
      <c r="F331" s="24" t="s">
        <v>701</v>
      </c>
      <c r="G331" s="2" t="s">
        <v>709</v>
      </c>
      <c r="H331" s="2" t="s">
        <v>710</v>
      </c>
      <c r="I331" s="13" t="s">
        <v>38</v>
      </c>
      <c r="J331" s="9" t="s">
        <v>295</v>
      </c>
      <c r="K331" s="1" t="s">
        <v>135</v>
      </c>
      <c r="L331" s="7">
        <v>46218</v>
      </c>
      <c r="M331" s="13">
        <v>46195</v>
      </c>
      <c r="N331" s="20">
        <f>Table1[[#This Row],[Completion Date]]-Table1[[#This Row],[Date Logged]]</f>
        <v>7</v>
      </c>
      <c r="O331" s="13" t="s">
        <v>58</v>
      </c>
      <c r="P331" s="1" t="s">
        <v>161</v>
      </c>
      <c r="Q331" s="1" t="s">
        <v>131</v>
      </c>
      <c r="R331" s="2" t="s">
        <v>131</v>
      </c>
      <c r="S331" s="2" t="s">
        <v>131</v>
      </c>
      <c r="T331" s="15" t="s">
        <v>132</v>
      </c>
      <c r="U331" s="12"/>
    </row>
    <row r="332" spans="1:21" ht="19.5" customHeight="1" x14ac:dyDescent="0.3">
      <c r="A332" s="1" t="s">
        <v>705</v>
      </c>
      <c r="B332" s="13">
        <v>46188</v>
      </c>
      <c r="C332" s="1" t="s">
        <v>135</v>
      </c>
      <c r="D332" s="8" t="s">
        <v>135</v>
      </c>
      <c r="E332" s="8" t="s">
        <v>24</v>
      </c>
      <c r="F332" s="24" t="s">
        <v>701</v>
      </c>
      <c r="G332" s="2" t="s">
        <v>709</v>
      </c>
      <c r="H332" s="2" t="s">
        <v>710</v>
      </c>
      <c r="I332" s="13" t="s">
        <v>38</v>
      </c>
      <c r="J332" s="9" t="s">
        <v>296</v>
      </c>
      <c r="K332" s="1" t="s">
        <v>135</v>
      </c>
      <c r="L332" s="7">
        <v>46218</v>
      </c>
      <c r="M332" s="13">
        <v>46195</v>
      </c>
      <c r="N332" s="20">
        <f>Table1[[#This Row],[Completion Date]]-Table1[[#This Row],[Date Logged]]</f>
        <v>7</v>
      </c>
      <c r="O332" s="13" t="s">
        <v>58</v>
      </c>
      <c r="P332" s="1" t="s">
        <v>161</v>
      </c>
      <c r="Q332" s="1" t="s">
        <v>131</v>
      </c>
      <c r="R332" s="2" t="s">
        <v>131</v>
      </c>
      <c r="S332" s="2" t="s">
        <v>131</v>
      </c>
      <c r="T332" s="15" t="s">
        <v>132</v>
      </c>
      <c r="U332" s="12"/>
    </row>
    <row r="333" spans="1:21" ht="68.25" customHeight="1" x14ac:dyDescent="0.3">
      <c r="A333" s="1" t="s">
        <v>706</v>
      </c>
      <c r="B333" s="13">
        <v>46188</v>
      </c>
      <c r="C333" s="1" t="s">
        <v>135</v>
      </c>
      <c r="D333" s="8" t="s">
        <v>135</v>
      </c>
      <c r="E333" s="8" t="s">
        <v>24</v>
      </c>
      <c r="F333" s="24" t="s">
        <v>701</v>
      </c>
      <c r="G333" s="2" t="s">
        <v>709</v>
      </c>
      <c r="H333" s="2" t="s">
        <v>710</v>
      </c>
      <c r="I333" s="13" t="s">
        <v>38</v>
      </c>
      <c r="J333" s="9" t="s">
        <v>297</v>
      </c>
      <c r="K333" s="1" t="s">
        <v>135</v>
      </c>
      <c r="L333" s="7">
        <v>46218</v>
      </c>
      <c r="M333" s="13">
        <v>46195</v>
      </c>
      <c r="N333" s="20">
        <f>Table1[[#This Row],[Completion Date]]-Table1[[#This Row],[Date Logged]]</f>
        <v>7</v>
      </c>
      <c r="O333" s="13" t="s">
        <v>58</v>
      </c>
      <c r="P333" s="1" t="s">
        <v>161</v>
      </c>
      <c r="Q333" s="1" t="s">
        <v>131</v>
      </c>
      <c r="R333" s="2" t="s">
        <v>131</v>
      </c>
      <c r="S333" s="2" t="s">
        <v>131</v>
      </c>
      <c r="T333" s="15" t="s">
        <v>132</v>
      </c>
      <c r="U333" s="12"/>
    </row>
    <row r="334" spans="1:21" ht="69.75" customHeight="1" x14ac:dyDescent="0.3">
      <c r="A334" s="1" t="s">
        <v>707</v>
      </c>
      <c r="B334" s="13">
        <v>46188</v>
      </c>
      <c r="C334" s="1" t="s">
        <v>135</v>
      </c>
      <c r="D334" s="8" t="s">
        <v>135</v>
      </c>
      <c r="E334" s="8" t="s">
        <v>24</v>
      </c>
      <c r="F334" s="24" t="s">
        <v>701</v>
      </c>
      <c r="G334" s="2" t="s">
        <v>709</v>
      </c>
      <c r="H334" s="2" t="s">
        <v>710</v>
      </c>
      <c r="I334" s="13" t="s">
        <v>38</v>
      </c>
      <c r="J334" s="9" t="s">
        <v>676</v>
      </c>
      <c r="K334" s="1" t="s">
        <v>135</v>
      </c>
      <c r="L334" s="7">
        <v>46218</v>
      </c>
      <c r="M334" s="13">
        <v>46195</v>
      </c>
      <c r="N334" s="20">
        <f>Table1[[#This Row],[Completion Date]]-Table1[[#This Row],[Date Logged]]</f>
        <v>7</v>
      </c>
      <c r="O334" s="13" t="s">
        <v>58</v>
      </c>
      <c r="P334" s="1" t="s">
        <v>161</v>
      </c>
      <c r="Q334" s="1" t="s">
        <v>131</v>
      </c>
      <c r="R334" s="2" t="s">
        <v>131</v>
      </c>
      <c r="S334" s="2" t="s">
        <v>131</v>
      </c>
      <c r="T334" s="15" t="s">
        <v>132</v>
      </c>
      <c r="U334" s="12"/>
    </row>
    <row r="335" spans="1:21" ht="71.25" customHeight="1" x14ac:dyDescent="0.3">
      <c r="A335" s="1" t="s">
        <v>708</v>
      </c>
      <c r="B335" s="13">
        <v>46188</v>
      </c>
      <c r="C335" s="1" t="s">
        <v>135</v>
      </c>
      <c r="D335" s="8" t="s">
        <v>135</v>
      </c>
      <c r="E335" s="8" t="s">
        <v>24</v>
      </c>
      <c r="F335" s="24" t="s">
        <v>701</v>
      </c>
      <c r="G335" s="2" t="s">
        <v>709</v>
      </c>
      <c r="H335" s="2" t="s">
        <v>710</v>
      </c>
      <c r="I335" s="13" t="s">
        <v>38</v>
      </c>
      <c r="J335" s="9" t="s">
        <v>677</v>
      </c>
      <c r="K335" s="1" t="s">
        <v>135</v>
      </c>
      <c r="L335" s="7">
        <v>46218</v>
      </c>
      <c r="M335" s="13">
        <v>46195</v>
      </c>
      <c r="N335" s="20">
        <f>Table1[[#This Row],[Completion Date]]-Table1[[#This Row],[Date Logged]]</f>
        <v>7</v>
      </c>
      <c r="O335" s="13" t="s">
        <v>58</v>
      </c>
      <c r="P335" s="1" t="s">
        <v>161</v>
      </c>
      <c r="Q335" s="1" t="s">
        <v>131</v>
      </c>
      <c r="R335" s="2" t="s">
        <v>131</v>
      </c>
      <c r="S335" s="2" t="s">
        <v>131</v>
      </c>
      <c r="T335" s="15" t="s">
        <v>132</v>
      </c>
      <c r="U335" s="12"/>
    </row>
    <row r="336" spans="1:21" ht="31.2" x14ac:dyDescent="0.3">
      <c r="A336" s="1" t="s">
        <v>713</v>
      </c>
      <c r="B336" s="13">
        <v>46188</v>
      </c>
      <c r="C336" s="1" t="s">
        <v>146</v>
      </c>
      <c r="D336" s="8" t="s">
        <v>146</v>
      </c>
      <c r="E336" s="8" t="s">
        <v>24</v>
      </c>
      <c r="F336" s="24" t="s">
        <v>714</v>
      </c>
      <c r="G336" s="2"/>
      <c r="H336" s="2"/>
      <c r="I336" s="13"/>
      <c r="J336" s="9"/>
      <c r="K336" s="1"/>
      <c r="L336" s="7"/>
      <c r="M336" s="13"/>
      <c r="N336" s="20">
        <f>Table1[[#This Row],[Completion Date]]-Table1[[#This Row],[Date Logged]]</f>
        <v>-46188</v>
      </c>
      <c r="O336" s="13" t="s">
        <v>59</v>
      </c>
      <c r="P336" s="12"/>
      <c r="Q336" s="12"/>
      <c r="R336" s="15"/>
      <c r="S336" s="15"/>
      <c r="T336" s="15" t="s">
        <v>70</v>
      </c>
      <c r="U336" s="12"/>
    </row>
    <row r="337" spans="1:21" ht="60" x14ac:dyDescent="0.3">
      <c r="A337" s="1" t="s">
        <v>730</v>
      </c>
      <c r="B337" s="13">
        <v>46196</v>
      </c>
      <c r="C337" s="1" t="s">
        <v>148</v>
      </c>
      <c r="D337" s="8" t="s">
        <v>23</v>
      </c>
      <c r="E337" s="8" t="s">
        <v>24</v>
      </c>
      <c r="F337" s="24" t="s">
        <v>715</v>
      </c>
      <c r="G337" s="2" t="s">
        <v>737</v>
      </c>
      <c r="H337" s="2" t="s">
        <v>716</v>
      </c>
      <c r="I337" s="13" t="s">
        <v>78</v>
      </c>
      <c r="J337" s="9" t="s">
        <v>738</v>
      </c>
      <c r="K337" s="1" t="s">
        <v>148</v>
      </c>
      <c r="L337" s="7">
        <v>46202</v>
      </c>
      <c r="M337" s="13">
        <v>46199</v>
      </c>
      <c r="N337" s="20">
        <f>Table1[[#This Row],[Completion Date]]-Table1[[#This Row],[Date Logged]]</f>
        <v>3</v>
      </c>
      <c r="O337" s="13" t="s">
        <v>58</v>
      </c>
      <c r="P337" s="1" t="s">
        <v>161</v>
      </c>
      <c r="Q337" s="1" t="s">
        <v>131</v>
      </c>
      <c r="R337" s="2" t="s">
        <v>131</v>
      </c>
      <c r="S337" s="2" t="s">
        <v>131</v>
      </c>
      <c r="T337" s="15" t="s">
        <v>132</v>
      </c>
      <c r="U337" s="1" t="s">
        <v>939</v>
      </c>
    </row>
    <row r="338" spans="1:21" ht="60" x14ac:dyDescent="0.3">
      <c r="A338" s="1" t="s">
        <v>731</v>
      </c>
      <c r="B338" s="13">
        <v>46196</v>
      </c>
      <c r="C338" s="1" t="s">
        <v>148</v>
      </c>
      <c r="D338" s="8" t="s">
        <v>23</v>
      </c>
      <c r="E338" s="8" t="s">
        <v>24</v>
      </c>
      <c r="F338" s="24" t="s">
        <v>715</v>
      </c>
      <c r="G338" s="55" t="s">
        <v>737</v>
      </c>
      <c r="H338" s="2" t="s">
        <v>716</v>
      </c>
      <c r="I338" s="13" t="s">
        <v>78</v>
      </c>
      <c r="J338" s="9" t="s">
        <v>739</v>
      </c>
      <c r="K338" s="1" t="s">
        <v>148</v>
      </c>
      <c r="L338" s="58">
        <v>46206</v>
      </c>
      <c r="M338" s="13">
        <v>46199</v>
      </c>
      <c r="N338" s="60">
        <f>Table1[[#This Row],[Completion Date]]-Table1[[#This Row],[Date Logged]]</f>
        <v>3</v>
      </c>
      <c r="O338" s="58" t="s">
        <v>58</v>
      </c>
      <c r="P338" s="1" t="s">
        <v>161</v>
      </c>
      <c r="Q338" s="1" t="s">
        <v>131</v>
      </c>
      <c r="R338" s="2" t="s">
        <v>131</v>
      </c>
      <c r="S338" s="2" t="s">
        <v>131</v>
      </c>
      <c r="T338" s="55" t="s">
        <v>132</v>
      </c>
      <c r="U338" s="1" t="s">
        <v>939</v>
      </c>
    </row>
    <row r="339" spans="1:21" ht="60" x14ac:dyDescent="0.3">
      <c r="A339" s="1" t="s">
        <v>732</v>
      </c>
      <c r="B339" s="13">
        <v>46196</v>
      </c>
      <c r="C339" s="1" t="s">
        <v>148</v>
      </c>
      <c r="D339" s="8" t="s">
        <v>23</v>
      </c>
      <c r="E339" s="8" t="s">
        <v>24</v>
      </c>
      <c r="F339" s="24" t="s">
        <v>715</v>
      </c>
      <c r="G339" s="55" t="s">
        <v>737</v>
      </c>
      <c r="H339" s="2" t="s">
        <v>716</v>
      </c>
      <c r="I339" s="13" t="s">
        <v>78</v>
      </c>
      <c r="J339" s="9" t="s">
        <v>460</v>
      </c>
      <c r="K339" s="1" t="s">
        <v>148</v>
      </c>
      <c r="L339" s="58">
        <v>46206</v>
      </c>
      <c r="M339" s="58">
        <v>46205</v>
      </c>
      <c r="N339" s="60">
        <f>Table1[[#This Row],[Completion Date]]-Table1[[#This Row],[Date Logged]]</f>
        <v>9</v>
      </c>
      <c r="O339" s="58" t="s">
        <v>58</v>
      </c>
      <c r="P339" s="1" t="s">
        <v>161</v>
      </c>
      <c r="Q339" s="1" t="s">
        <v>131</v>
      </c>
      <c r="R339" s="2" t="s">
        <v>131</v>
      </c>
      <c r="S339" s="2" t="s">
        <v>131</v>
      </c>
      <c r="T339" s="55" t="s">
        <v>132</v>
      </c>
      <c r="U339" s="1" t="s">
        <v>939</v>
      </c>
    </row>
    <row r="340" spans="1:21" ht="60" x14ac:dyDescent="0.3">
      <c r="A340" s="1" t="s">
        <v>733</v>
      </c>
      <c r="B340" s="13">
        <v>46196</v>
      </c>
      <c r="C340" s="1" t="s">
        <v>148</v>
      </c>
      <c r="D340" s="8" t="s">
        <v>23</v>
      </c>
      <c r="E340" s="8" t="s">
        <v>24</v>
      </c>
      <c r="F340" s="24" t="s">
        <v>715</v>
      </c>
      <c r="G340" s="55" t="s">
        <v>737</v>
      </c>
      <c r="H340" s="2" t="s">
        <v>716</v>
      </c>
      <c r="I340" s="13" t="s">
        <v>78</v>
      </c>
      <c r="J340" s="9" t="s">
        <v>740</v>
      </c>
      <c r="K340" s="1" t="s">
        <v>148</v>
      </c>
      <c r="L340" s="58">
        <v>46290</v>
      </c>
      <c r="M340" s="58">
        <v>46251</v>
      </c>
      <c r="N340" s="60">
        <f>Table1[[#This Row],[Completion Date]]-Table1[[#This Row],[Date Logged]]</f>
        <v>55</v>
      </c>
      <c r="O340" s="58" t="s">
        <v>58</v>
      </c>
      <c r="P340" s="1" t="s">
        <v>161</v>
      </c>
      <c r="Q340" s="1" t="s">
        <v>131</v>
      </c>
      <c r="R340" s="2" t="s">
        <v>131</v>
      </c>
      <c r="S340" s="2" t="s">
        <v>131</v>
      </c>
      <c r="T340" s="55" t="s">
        <v>132</v>
      </c>
      <c r="U340" s="1" t="s">
        <v>939</v>
      </c>
    </row>
    <row r="341" spans="1:21" ht="60" x14ac:dyDescent="0.3">
      <c r="A341" s="1" t="s">
        <v>734</v>
      </c>
      <c r="B341" s="13">
        <v>46196</v>
      </c>
      <c r="C341" s="1" t="s">
        <v>148</v>
      </c>
      <c r="D341" s="8" t="s">
        <v>23</v>
      </c>
      <c r="E341" s="8" t="s">
        <v>24</v>
      </c>
      <c r="F341" s="24" t="s">
        <v>715</v>
      </c>
      <c r="G341" s="55" t="s">
        <v>737</v>
      </c>
      <c r="H341" s="2" t="s">
        <v>716</v>
      </c>
      <c r="I341" s="13" t="s">
        <v>78</v>
      </c>
      <c r="J341" s="9" t="s">
        <v>741</v>
      </c>
      <c r="K341" s="1" t="s">
        <v>148</v>
      </c>
      <c r="L341" s="58">
        <v>46290</v>
      </c>
      <c r="M341" s="58">
        <v>46251</v>
      </c>
      <c r="N341" s="60">
        <f>Table1[[#This Row],[Completion Date]]-Table1[[#This Row],[Date Logged]]</f>
        <v>55</v>
      </c>
      <c r="O341" s="58" t="s">
        <v>58</v>
      </c>
      <c r="P341" s="1" t="s">
        <v>161</v>
      </c>
      <c r="Q341" s="1" t="s">
        <v>131</v>
      </c>
      <c r="R341" s="2" t="s">
        <v>131</v>
      </c>
      <c r="S341" s="2" t="s">
        <v>131</v>
      </c>
      <c r="T341" s="55" t="s">
        <v>132</v>
      </c>
      <c r="U341" s="1" t="s">
        <v>939</v>
      </c>
    </row>
    <row r="342" spans="1:21" ht="60" x14ac:dyDescent="0.3">
      <c r="A342" s="1" t="s">
        <v>735</v>
      </c>
      <c r="B342" s="13">
        <v>46196</v>
      </c>
      <c r="C342" s="1" t="s">
        <v>148</v>
      </c>
      <c r="D342" s="8" t="s">
        <v>23</v>
      </c>
      <c r="E342" s="8" t="s">
        <v>24</v>
      </c>
      <c r="F342" s="24" t="s">
        <v>715</v>
      </c>
      <c r="G342" s="55" t="s">
        <v>737</v>
      </c>
      <c r="H342" s="2" t="s">
        <v>716</v>
      </c>
      <c r="I342" s="13" t="s">
        <v>78</v>
      </c>
      <c r="J342" s="9" t="s">
        <v>742</v>
      </c>
      <c r="K342" s="1" t="s">
        <v>148</v>
      </c>
      <c r="L342" s="58">
        <v>46290</v>
      </c>
      <c r="M342" s="58">
        <v>46251</v>
      </c>
      <c r="N342" s="60">
        <f>Table1[[#This Row],[Completion Date]]-Table1[[#This Row],[Date Logged]]</f>
        <v>55</v>
      </c>
      <c r="O342" s="58" t="s">
        <v>58</v>
      </c>
      <c r="P342" s="1" t="s">
        <v>161</v>
      </c>
      <c r="Q342" s="1" t="s">
        <v>131</v>
      </c>
      <c r="R342" s="2" t="s">
        <v>131</v>
      </c>
      <c r="S342" s="2" t="s">
        <v>131</v>
      </c>
      <c r="T342" s="55" t="s">
        <v>132</v>
      </c>
      <c r="U342" s="1" t="s">
        <v>939</v>
      </c>
    </row>
    <row r="343" spans="1:21" ht="60" x14ac:dyDescent="0.3">
      <c r="A343" s="1" t="s">
        <v>736</v>
      </c>
      <c r="B343" s="13">
        <v>46196</v>
      </c>
      <c r="C343" s="1" t="s">
        <v>148</v>
      </c>
      <c r="D343" s="8" t="s">
        <v>23</v>
      </c>
      <c r="E343" s="8" t="s">
        <v>24</v>
      </c>
      <c r="F343" s="24" t="s">
        <v>715</v>
      </c>
      <c r="G343" s="55" t="s">
        <v>737</v>
      </c>
      <c r="H343" s="2" t="s">
        <v>716</v>
      </c>
      <c r="I343" s="13" t="s">
        <v>78</v>
      </c>
      <c r="J343" s="9" t="s">
        <v>743</v>
      </c>
      <c r="K343" s="1" t="s">
        <v>148</v>
      </c>
      <c r="L343" s="58">
        <v>46290</v>
      </c>
      <c r="M343" s="58">
        <v>46251</v>
      </c>
      <c r="N343" s="60">
        <f>Table1[[#This Row],[Completion Date]]-Table1[[#This Row],[Date Logged]]</f>
        <v>55</v>
      </c>
      <c r="O343" s="58" t="s">
        <v>58</v>
      </c>
      <c r="P343" s="1" t="s">
        <v>161</v>
      </c>
      <c r="Q343" s="1" t="s">
        <v>131</v>
      </c>
      <c r="R343" s="2" t="s">
        <v>131</v>
      </c>
      <c r="S343" s="2" t="s">
        <v>131</v>
      </c>
      <c r="T343" s="55" t="s">
        <v>132</v>
      </c>
      <c r="U343" s="1" t="s">
        <v>939</v>
      </c>
    </row>
    <row r="344" spans="1:21" ht="90" x14ac:dyDescent="0.3">
      <c r="A344" s="1" t="s">
        <v>717</v>
      </c>
      <c r="B344" s="13">
        <v>46197</v>
      </c>
      <c r="C344" s="1" t="s">
        <v>23</v>
      </c>
      <c r="D344" s="8" t="s">
        <v>23</v>
      </c>
      <c r="E344" s="8" t="s">
        <v>24</v>
      </c>
      <c r="F344" s="24" t="s">
        <v>718</v>
      </c>
      <c r="G344" s="2" t="s">
        <v>727</v>
      </c>
      <c r="H344" s="2" t="s">
        <v>719</v>
      </c>
      <c r="I344" s="13" t="s">
        <v>78</v>
      </c>
      <c r="J344" s="9" t="s">
        <v>720</v>
      </c>
      <c r="K344" s="1" t="s">
        <v>23</v>
      </c>
      <c r="L344" s="7">
        <v>46197</v>
      </c>
      <c r="M344" s="13">
        <v>46197</v>
      </c>
      <c r="N344" s="20">
        <f>Table1[[#This Row],[Completion Date]]-Table1[[#This Row],[Date Logged]]</f>
        <v>0</v>
      </c>
      <c r="O344" s="13" t="s">
        <v>58</v>
      </c>
      <c r="P344" s="1" t="s">
        <v>161</v>
      </c>
      <c r="Q344" s="1" t="s">
        <v>130</v>
      </c>
      <c r="R344" s="2" t="s">
        <v>131</v>
      </c>
      <c r="S344" s="2" t="s">
        <v>131</v>
      </c>
      <c r="T344" s="15" t="s">
        <v>132</v>
      </c>
      <c r="U344" s="12"/>
    </row>
    <row r="345" spans="1:21" ht="90" x14ac:dyDescent="0.3">
      <c r="A345" s="1" t="s">
        <v>721</v>
      </c>
      <c r="B345" s="13">
        <v>46197</v>
      </c>
      <c r="C345" s="1" t="s">
        <v>23</v>
      </c>
      <c r="D345" s="8" t="s">
        <v>23</v>
      </c>
      <c r="E345" s="8" t="s">
        <v>24</v>
      </c>
      <c r="F345" s="24" t="s">
        <v>718</v>
      </c>
      <c r="G345" s="2" t="s">
        <v>727</v>
      </c>
      <c r="H345" s="2" t="s">
        <v>719</v>
      </c>
      <c r="I345" s="13" t="s">
        <v>78</v>
      </c>
      <c r="J345" s="9" t="s">
        <v>756</v>
      </c>
      <c r="K345" s="1" t="s">
        <v>41</v>
      </c>
      <c r="L345" s="7">
        <v>46227</v>
      </c>
      <c r="M345" s="13">
        <v>46198</v>
      </c>
      <c r="N345" s="20">
        <f>Table1[[#This Row],[Completion Date]]-Table1[[#This Row],[Date Logged]]</f>
        <v>1</v>
      </c>
      <c r="O345" s="13" t="s">
        <v>58</v>
      </c>
      <c r="P345" s="1" t="s">
        <v>161</v>
      </c>
      <c r="Q345" s="1" t="s">
        <v>130</v>
      </c>
      <c r="R345" s="2" t="s">
        <v>131</v>
      </c>
      <c r="S345" s="2" t="s">
        <v>131</v>
      </c>
      <c r="T345" s="15" t="s">
        <v>132</v>
      </c>
      <c r="U345" s="12"/>
    </row>
    <row r="346" spans="1:21" ht="90" x14ac:dyDescent="0.3">
      <c r="A346" s="1" t="s">
        <v>722</v>
      </c>
      <c r="B346" s="13">
        <v>46197</v>
      </c>
      <c r="C346" s="1" t="s">
        <v>23</v>
      </c>
      <c r="D346" s="8" t="s">
        <v>23</v>
      </c>
      <c r="E346" s="8" t="s">
        <v>24</v>
      </c>
      <c r="F346" s="24" t="s">
        <v>718</v>
      </c>
      <c r="G346" s="2" t="s">
        <v>727</v>
      </c>
      <c r="H346" s="2" t="s">
        <v>719</v>
      </c>
      <c r="I346" s="13" t="s">
        <v>78</v>
      </c>
      <c r="J346" s="9" t="s">
        <v>295</v>
      </c>
      <c r="K346" s="1" t="s">
        <v>42</v>
      </c>
      <c r="L346" s="7">
        <v>46227</v>
      </c>
      <c r="M346" s="13">
        <v>46198</v>
      </c>
      <c r="N346" s="20">
        <f>Table1[[#This Row],[Completion Date]]-Table1[[#This Row],[Date Logged]]</f>
        <v>1</v>
      </c>
      <c r="O346" s="13" t="s">
        <v>58</v>
      </c>
      <c r="P346" s="1" t="s">
        <v>161</v>
      </c>
      <c r="Q346" s="1" t="s">
        <v>130</v>
      </c>
      <c r="R346" s="2" t="s">
        <v>131</v>
      </c>
      <c r="S346" s="2" t="s">
        <v>131</v>
      </c>
      <c r="T346" s="15" t="s">
        <v>132</v>
      </c>
      <c r="U346" s="12"/>
    </row>
    <row r="347" spans="1:21" ht="90" x14ac:dyDescent="0.3">
      <c r="A347" s="1" t="s">
        <v>723</v>
      </c>
      <c r="B347" s="13">
        <v>46197</v>
      </c>
      <c r="C347" s="1" t="s">
        <v>23</v>
      </c>
      <c r="D347" s="8" t="s">
        <v>23</v>
      </c>
      <c r="E347" s="8" t="s">
        <v>24</v>
      </c>
      <c r="F347" s="24" t="s">
        <v>718</v>
      </c>
      <c r="G347" s="2" t="s">
        <v>727</v>
      </c>
      <c r="H347" s="2" t="s">
        <v>719</v>
      </c>
      <c r="I347" s="13" t="s">
        <v>78</v>
      </c>
      <c r="J347" s="9" t="s">
        <v>296</v>
      </c>
      <c r="K347" s="1" t="s">
        <v>42</v>
      </c>
      <c r="L347" s="7">
        <v>46227</v>
      </c>
      <c r="M347" s="13">
        <v>46202</v>
      </c>
      <c r="N347" s="20">
        <f>Table1[[#This Row],[Completion Date]]-Table1[[#This Row],[Date Logged]]</f>
        <v>5</v>
      </c>
      <c r="O347" s="13" t="s">
        <v>58</v>
      </c>
      <c r="P347" s="1" t="s">
        <v>161</v>
      </c>
      <c r="Q347" s="1" t="s">
        <v>130</v>
      </c>
      <c r="R347" s="2" t="s">
        <v>131</v>
      </c>
      <c r="S347" s="2" t="s">
        <v>131</v>
      </c>
      <c r="T347" s="15" t="s">
        <v>132</v>
      </c>
      <c r="U347" s="12"/>
    </row>
    <row r="348" spans="1:21" ht="90" x14ac:dyDescent="0.3">
      <c r="A348" s="1" t="s">
        <v>724</v>
      </c>
      <c r="B348" s="13">
        <v>46197</v>
      </c>
      <c r="C348" s="1" t="s">
        <v>23</v>
      </c>
      <c r="D348" s="8" t="s">
        <v>23</v>
      </c>
      <c r="E348" s="8" t="s">
        <v>24</v>
      </c>
      <c r="F348" s="24" t="s">
        <v>718</v>
      </c>
      <c r="G348" s="2" t="s">
        <v>727</v>
      </c>
      <c r="H348" s="2" t="s">
        <v>719</v>
      </c>
      <c r="I348" s="13" t="s">
        <v>78</v>
      </c>
      <c r="J348" s="9" t="s">
        <v>297</v>
      </c>
      <c r="K348" s="1" t="s">
        <v>23</v>
      </c>
      <c r="L348" s="7">
        <v>46227</v>
      </c>
      <c r="M348" s="13">
        <v>46199</v>
      </c>
      <c r="N348" s="20">
        <f>Table1[[#This Row],[Completion Date]]-Table1[[#This Row],[Date Logged]]</f>
        <v>2</v>
      </c>
      <c r="O348" s="13" t="s">
        <v>58</v>
      </c>
      <c r="P348" s="1" t="s">
        <v>161</v>
      </c>
      <c r="Q348" s="1" t="s">
        <v>130</v>
      </c>
      <c r="R348" s="2" t="s">
        <v>131</v>
      </c>
      <c r="S348" s="2" t="s">
        <v>131</v>
      </c>
      <c r="T348" s="15" t="s">
        <v>132</v>
      </c>
      <c r="U348" s="12"/>
    </row>
    <row r="349" spans="1:21" ht="90" x14ac:dyDescent="0.3">
      <c r="A349" s="1" t="s">
        <v>725</v>
      </c>
      <c r="B349" s="13">
        <v>46197</v>
      </c>
      <c r="C349" s="1" t="s">
        <v>23</v>
      </c>
      <c r="D349" s="8" t="s">
        <v>23</v>
      </c>
      <c r="E349" s="8" t="s">
        <v>24</v>
      </c>
      <c r="F349" s="24" t="s">
        <v>718</v>
      </c>
      <c r="G349" s="2" t="s">
        <v>727</v>
      </c>
      <c r="H349" s="2" t="s">
        <v>719</v>
      </c>
      <c r="I349" s="13" t="s">
        <v>78</v>
      </c>
      <c r="J349" s="9" t="s">
        <v>755</v>
      </c>
      <c r="K349" s="1" t="s">
        <v>42</v>
      </c>
      <c r="L349" s="7">
        <v>46227</v>
      </c>
      <c r="M349" s="13">
        <v>46205</v>
      </c>
      <c r="N349" s="20">
        <f>Table1[[#This Row],[Completion Date]]-Table1[[#This Row],[Date Logged]]</f>
        <v>8</v>
      </c>
      <c r="O349" s="13" t="s">
        <v>58</v>
      </c>
      <c r="P349" s="1" t="s">
        <v>161</v>
      </c>
      <c r="Q349" s="1" t="s">
        <v>130</v>
      </c>
      <c r="R349" s="2" t="s">
        <v>131</v>
      </c>
      <c r="S349" s="2" t="s">
        <v>131</v>
      </c>
      <c r="T349" s="15" t="s">
        <v>132</v>
      </c>
      <c r="U349" s="12"/>
    </row>
    <row r="350" spans="1:21" ht="90" x14ac:dyDescent="0.3">
      <c r="A350" s="1" t="s">
        <v>726</v>
      </c>
      <c r="B350" s="13">
        <v>46197</v>
      </c>
      <c r="C350" s="1" t="s">
        <v>23</v>
      </c>
      <c r="D350" s="8" t="s">
        <v>23</v>
      </c>
      <c r="E350" s="8" t="s">
        <v>24</v>
      </c>
      <c r="F350" s="24" t="s">
        <v>718</v>
      </c>
      <c r="G350" s="2" t="s">
        <v>727</v>
      </c>
      <c r="H350" s="2" t="s">
        <v>719</v>
      </c>
      <c r="I350" s="13" t="s">
        <v>78</v>
      </c>
      <c r="J350" s="9" t="s">
        <v>518</v>
      </c>
      <c r="K350" s="1" t="s">
        <v>42</v>
      </c>
      <c r="L350" s="7">
        <v>46227</v>
      </c>
      <c r="M350" s="13">
        <v>46205</v>
      </c>
      <c r="N350" s="20">
        <f>Table1[[#This Row],[Completion Date]]-Table1[[#This Row],[Date Logged]]</f>
        <v>8</v>
      </c>
      <c r="O350" s="13" t="s">
        <v>58</v>
      </c>
      <c r="P350" s="1" t="s">
        <v>161</v>
      </c>
      <c r="Q350" s="1" t="s">
        <v>130</v>
      </c>
      <c r="R350" s="2" t="s">
        <v>131</v>
      </c>
      <c r="S350" s="2" t="s">
        <v>131</v>
      </c>
      <c r="T350" s="15" t="s">
        <v>132</v>
      </c>
      <c r="U350" s="12"/>
    </row>
    <row r="351" spans="1:21" ht="31.2" x14ac:dyDescent="0.3">
      <c r="A351" s="1" t="s">
        <v>728</v>
      </c>
      <c r="B351" s="13">
        <v>46198</v>
      </c>
      <c r="C351" s="1" t="s">
        <v>45</v>
      </c>
      <c r="D351" s="8" t="s">
        <v>45</v>
      </c>
      <c r="E351" s="8" t="s">
        <v>24</v>
      </c>
      <c r="F351" s="24" t="s">
        <v>729</v>
      </c>
      <c r="G351" s="2" t="s">
        <v>775</v>
      </c>
      <c r="H351" s="2" t="s">
        <v>47</v>
      </c>
      <c r="I351" s="13" t="s">
        <v>38</v>
      </c>
      <c r="J351" s="9" t="s">
        <v>776</v>
      </c>
      <c r="K351" s="1" t="s">
        <v>45</v>
      </c>
      <c r="L351" s="7">
        <v>46651</v>
      </c>
      <c r="M351" s="13">
        <v>46205</v>
      </c>
      <c r="N351" s="20">
        <f>Table1[[#This Row],[Completion Date]]-Table1[[#This Row],[Date Logged]]</f>
        <v>7</v>
      </c>
      <c r="O351" s="13" t="s">
        <v>58</v>
      </c>
      <c r="P351" s="1" t="s">
        <v>161</v>
      </c>
      <c r="Q351" s="1" t="s">
        <v>130</v>
      </c>
      <c r="R351" s="2" t="s">
        <v>131</v>
      </c>
      <c r="S351" s="2" t="s">
        <v>131</v>
      </c>
      <c r="T351" s="15" t="s">
        <v>132</v>
      </c>
      <c r="U351" s="12"/>
    </row>
    <row r="352" spans="1:21" ht="78" x14ac:dyDescent="0.3">
      <c r="A352" s="1" t="s">
        <v>745</v>
      </c>
      <c r="B352" s="13">
        <v>46199</v>
      </c>
      <c r="C352" s="1" t="s">
        <v>23</v>
      </c>
      <c r="D352" s="8" t="s">
        <v>23</v>
      </c>
      <c r="E352" s="8" t="s">
        <v>24</v>
      </c>
      <c r="F352" s="24" t="s">
        <v>744</v>
      </c>
      <c r="G352" s="2" t="s">
        <v>746</v>
      </c>
      <c r="H352" s="2" t="s">
        <v>747</v>
      </c>
      <c r="I352" s="13" t="s">
        <v>38</v>
      </c>
      <c r="J352" s="9" t="s">
        <v>748</v>
      </c>
      <c r="K352" s="1" t="s">
        <v>23</v>
      </c>
      <c r="L352" s="7">
        <v>46199</v>
      </c>
      <c r="M352" s="13">
        <v>46199</v>
      </c>
      <c r="N352" s="20">
        <f>Table1[[#This Row],[Completion Date]]-Table1[[#This Row],[Date Logged]]</f>
        <v>0</v>
      </c>
      <c r="O352" s="13" t="s">
        <v>58</v>
      </c>
      <c r="P352" s="1" t="s">
        <v>161</v>
      </c>
      <c r="Q352" s="1" t="s">
        <v>130</v>
      </c>
      <c r="R352" s="2" t="s">
        <v>131</v>
      </c>
      <c r="S352" s="2" t="s">
        <v>131</v>
      </c>
      <c r="T352" s="15" t="s">
        <v>132</v>
      </c>
      <c r="U352" s="12"/>
    </row>
    <row r="353" spans="1:21" ht="78" x14ac:dyDescent="0.3">
      <c r="A353" s="1" t="s">
        <v>749</v>
      </c>
      <c r="B353" s="13">
        <v>46199</v>
      </c>
      <c r="C353" s="1" t="s">
        <v>23</v>
      </c>
      <c r="D353" s="8" t="s">
        <v>23</v>
      </c>
      <c r="E353" s="8" t="s">
        <v>24</v>
      </c>
      <c r="F353" s="24" t="s">
        <v>744</v>
      </c>
      <c r="G353" s="2" t="s">
        <v>746</v>
      </c>
      <c r="H353" s="2" t="s">
        <v>747</v>
      </c>
      <c r="I353" s="13" t="s">
        <v>38</v>
      </c>
      <c r="J353" s="9" t="s">
        <v>756</v>
      </c>
      <c r="K353" s="1" t="s">
        <v>41</v>
      </c>
      <c r="L353" s="7">
        <v>46229</v>
      </c>
      <c r="M353" s="13">
        <v>46199</v>
      </c>
      <c r="N353" s="20">
        <f>Table1[[#This Row],[Completion Date]]-Table1[[#This Row],[Date Logged]]</f>
        <v>0</v>
      </c>
      <c r="O353" s="13" t="s">
        <v>58</v>
      </c>
      <c r="P353" s="1" t="s">
        <v>161</v>
      </c>
      <c r="Q353" s="1" t="s">
        <v>130</v>
      </c>
      <c r="R353" s="2" t="s">
        <v>131</v>
      </c>
      <c r="S353" s="2" t="s">
        <v>131</v>
      </c>
      <c r="T353" s="15" t="s">
        <v>132</v>
      </c>
      <c r="U353" s="12"/>
    </row>
    <row r="354" spans="1:21" ht="78" x14ac:dyDescent="0.3">
      <c r="A354" s="1" t="s">
        <v>750</v>
      </c>
      <c r="B354" s="13">
        <v>46199</v>
      </c>
      <c r="C354" s="1" t="s">
        <v>23</v>
      </c>
      <c r="D354" s="8" t="s">
        <v>23</v>
      </c>
      <c r="E354" s="8" t="s">
        <v>24</v>
      </c>
      <c r="F354" s="24" t="s">
        <v>744</v>
      </c>
      <c r="G354" s="2" t="s">
        <v>746</v>
      </c>
      <c r="H354" s="2" t="s">
        <v>747</v>
      </c>
      <c r="I354" s="13" t="s">
        <v>38</v>
      </c>
      <c r="J354" s="9" t="s">
        <v>295</v>
      </c>
      <c r="K354" s="1" t="s">
        <v>42</v>
      </c>
      <c r="L354" s="7">
        <v>46229</v>
      </c>
      <c r="M354" s="13">
        <v>46202</v>
      </c>
      <c r="N354" s="20">
        <f>Table1[[#This Row],[Completion Date]]-Table1[[#This Row],[Date Logged]]</f>
        <v>3</v>
      </c>
      <c r="O354" s="13" t="s">
        <v>58</v>
      </c>
      <c r="P354" s="1" t="s">
        <v>161</v>
      </c>
      <c r="Q354" s="1" t="s">
        <v>130</v>
      </c>
      <c r="R354" s="2" t="s">
        <v>131</v>
      </c>
      <c r="S354" s="2" t="s">
        <v>131</v>
      </c>
      <c r="T354" s="15" t="s">
        <v>132</v>
      </c>
      <c r="U354" s="12"/>
    </row>
    <row r="355" spans="1:21" ht="78" x14ac:dyDescent="0.3">
      <c r="A355" s="1" t="s">
        <v>751</v>
      </c>
      <c r="B355" s="13">
        <v>46199</v>
      </c>
      <c r="C355" s="1" t="s">
        <v>23</v>
      </c>
      <c r="D355" s="8" t="s">
        <v>23</v>
      </c>
      <c r="E355" s="8" t="s">
        <v>24</v>
      </c>
      <c r="F355" s="24" t="s">
        <v>744</v>
      </c>
      <c r="G355" s="2" t="s">
        <v>746</v>
      </c>
      <c r="H355" s="2" t="s">
        <v>747</v>
      </c>
      <c r="I355" s="13" t="s">
        <v>38</v>
      </c>
      <c r="J355" s="9" t="s">
        <v>296</v>
      </c>
      <c r="K355" s="1" t="s">
        <v>42</v>
      </c>
      <c r="L355" s="7">
        <v>46229</v>
      </c>
      <c r="M355" s="13">
        <v>46202</v>
      </c>
      <c r="N355" s="20">
        <f>Table1[[#This Row],[Completion Date]]-Table1[[#This Row],[Date Logged]]</f>
        <v>3</v>
      </c>
      <c r="O355" s="13" t="s">
        <v>58</v>
      </c>
      <c r="P355" s="1" t="s">
        <v>161</v>
      </c>
      <c r="Q355" s="1" t="s">
        <v>130</v>
      </c>
      <c r="R355" s="2" t="s">
        <v>131</v>
      </c>
      <c r="S355" s="2" t="s">
        <v>131</v>
      </c>
      <c r="T355" s="15" t="s">
        <v>132</v>
      </c>
      <c r="U355" s="12"/>
    </row>
    <row r="356" spans="1:21" ht="78" x14ac:dyDescent="0.3">
      <c r="A356" s="1" t="s">
        <v>752</v>
      </c>
      <c r="B356" s="13">
        <v>46199</v>
      </c>
      <c r="C356" s="1" t="s">
        <v>23</v>
      </c>
      <c r="D356" s="8" t="s">
        <v>23</v>
      </c>
      <c r="E356" s="8" t="s">
        <v>24</v>
      </c>
      <c r="F356" s="24" t="s">
        <v>744</v>
      </c>
      <c r="G356" s="2" t="s">
        <v>746</v>
      </c>
      <c r="H356" s="2" t="s">
        <v>747</v>
      </c>
      <c r="I356" s="13" t="s">
        <v>38</v>
      </c>
      <c r="J356" s="9" t="s">
        <v>297</v>
      </c>
      <c r="K356" s="1" t="s">
        <v>23</v>
      </c>
      <c r="L356" s="7">
        <v>46229</v>
      </c>
      <c r="M356" s="13">
        <v>46202</v>
      </c>
      <c r="N356" s="20">
        <f>Table1[[#This Row],[Completion Date]]-Table1[[#This Row],[Date Logged]]</f>
        <v>3</v>
      </c>
      <c r="O356" s="13" t="s">
        <v>58</v>
      </c>
      <c r="P356" s="1" t="s">
        <v>161</v>
      </c>
      <c r="Q356" s="1" t="s">
        <v>130</v>
      </c>
      <c r="R356" s="2" t="s">
        <v>131</v>
      </c>
      <c r="S356" s="2" t="s">
        <v>131</v>
      </c>
      <c r="T356" s="15" t="s">
        <v>132</v>
      </c>
      <c r="U356" s="12"/>
    </row>
    <row r="357" spans="1:21" ht="78" x14ac:dyDescent="0.3">
      <c r="A357" s="1" t="s">
        <v>753</v>
      </c>
      <c r="B357" s="13">
        <v>46199</v>
      </c>
      <c r="C357" s="1" t="s">
        <v>23</v>
      </c>
      <c r="D357" s="8" t="s">
        <v>23</v>
      </c>
      <c r="E357" s="8" t="s">
        <v>24</v>
      </c>
      <c r="F357" s="24" t="s">
        <v>744</v>
      </c>
      <c r="G357" s="2" t="s">
        <v>746</v>
      </c>
      <c r="H357" s="2" t="s">
        <v>747</v>
      </c>
      <c r="I357" s="13" t="s">
        <v>38</v>
      </c>
      <c r="J357" s="9" t="s">
        <v>755</v>
      </c>
      <c r="K357" s="1" t="s">
        <v>42</v>
      </c>
      <c r="L357" s="7">
        <v>46229</v>
      </c>
      <c r="M357" s="13">
        <v>46202</v>
      </c>
      <c r="N357" s="20">
        <f>Table1[[#This Row],[Completion Date]]-Table1[[#This Row],[Date Logged]]</f>
        <v>3</v>
      </c>
      <c r="O357" s="13" t="s">
        <v>58</v>
      </c>
      <c r="P357" s="1" t="s">
        <v>161</v>
      </c>
      <c r="Q357" s="1" t="s">
        <v>130</v>
      </c>
      <c r="R357" s="2" t="s">
        <v>131</v>
      </c>
      <c r="S357" s="2" t="s">
        <v>131</v>
      </c>
      <c r="T357" s="15" t="s">
        <v>132</v>
      </c>
      <c r="U357" s="12"/>
    </row>
    <row r="358" spans="1:21" ht="78" x14ac:dyDescent="0.3">
      <c r="A358" s="1" t="s">
        <v>754</v>
      </c>
      <c r="B358" s="13">
        <v>46199</v>
      </c>
      <c r="C358" s="1" t="s">
        <v>23</v>
      </c>
      <c r="D358" s="8" t="s">
        <v>23</v>
      </c>
      <c r="E358" s="8" t="s">
        <v>24</v>
      </c>
      <c r="F358" s="24" t="s">
        <v>744</v>
      </c>
      <c r="G358" s="2" t="s">
        <v>746</v>
      </c>
      <c r="H358" s="2" t="s">
        <v>747</v>
      </c>
      <c r="I358" s="13" t="s">
        <v>38</v>
      </c>
      <c r="J358" s="9" t="s">
        <v>518</v>
      </c>
      <c r="K358" s="1" t="s">
        <v>42</v>
      </c>
      <c r="L358" s="7">
        <v>46229</v>
      </c>
      <c r="M358" s="13">
        <v>46202</v>
      </c>
      <c r="N358" s="20">
        <f>Table1[[#This Row],[Completion Date]]-Table1[[#This Row],[Date Logged]]</f>
        <v>3</v>
      </c>
      <c r="O358" s="13" t="s">
        <v>58</v>
      </c>
      <c r="P358" s="1" t="s">
        <v>161</v>
      </c>
      <c r="Q358" s="1" t="s">
        <v>130</v>
      </c>
      <c r="R358" s="2" t="s">
        <v>131</v>
      </c>
      <c r="S358" s="2" t="s">
        <v>131</v>
      </c>
      <c r="T358" s="15" t="s">
        <v>132</v>
      </c>
      <c r="U358" s="12"/>
    </row>
    <row r="359" spans="1:21" ht="78" x14ac:dyDescent="0.3">
      <c r="A359" s="1" t="s">
        <v>781</v>
      </c>
      <c r="B359" s="13">
        <v>46210</v>
      </c>
      <c r="C359" s="1" t="s">
        <v>135</v>
      </c>
      <c r="D359" s="8" t="s">
        <v>135</v>
      </c>
      <c r="E359" s="8" t="s">
        <v>24</v>
      </c>
      <c r="F359" s="24" t="s">
        <v>780</v>
      </c>
      <c r="G359" s="2" t="s">
        <v>778</v>
      </c>
      <c r="H359" s="2" t="s">
        <v>779</v>
      </c>
      <c r="I359" s="13" t="s">
        <v>38</v>
      </c>
      <c r="J359" s="9" t="s">
        <v>788</v>
      </c>
      <c r="K359" s="1" t="s">
        <v>135</v>
      </c>
      <c r="L359" s="7">
        <v>46210</v>
      </c>
      <c r="M359" s="7">
        <v>46210</v>
      </c>
      <c r="N359" s="20">
        <f>Table1[[#This Row],[Completion Date]]-Table1[[#This Row],[Date Logged]]</f>
        <v>0</v>
      </c>
      <c r="O359" s="13" t="s">
        <v>58</v>
      </c>
      <c r="P359" s="1" t="s">
        <v>161</v>
      </c>
      <c r="Q359" s="1" t="s">
        <v>130</v>
      </c>
      <c r="R359" s="2" t="s">
        <v>131</v>
      </c>
      <c r="S359" s="2" t="s">
        <v>131</v>
      </c>
      <c r="T359" s="15" t="s">
        <v>132</v>
      </c>
      <c r="U359" s="12"/>
    </row>
    <row r="360" spans="1:21" ht="78" x14ac:dyDescent="0.3">
      <c r="A360" s="1" t="s">
        <v>782</v>
      </c>
      <c r="B360" s="13">
        <v>46210</v>
      </c>
      <c r="C360" s="1" t="s">
        <v>135</v>
      </c>
      <c r="D360" s="8" t="s">
        <v>135</v>
      </c>
      <c r="E360" s="8" t="s">
        <v>24</v>
      </c>
      <c r="F360" s="24" t="s">
        <v>780</v>
      </c>
      <c r="G360" s="2" t="s">
        <v>778</v>
      </c>
      <c r="H360" s="2" t="s">
        <v>779</v>
      </c>
      <c r="I360" s="13" t="s">
        <v>38</v>
      </c>
      <c r="J360" s="9" t="s">
        <v>756</v>
      </c>
      <c r="K360" s="1" t="s">
        <v>41</v>
      </c>
      <c r="L360" s="7">
        <v>46241</v>
      </c>
      <c r="M360" s="13">
        <v>46211</v>
      </c>
      <c r="N360" s="20">
        <f>Table1[[#This Row],[Completion Date]]-Table1[[#This Row],[Date Logged]]</f>
        <v>1</v>
      </c>
      <c r="O360" s="13" t="s">
        <v>58</v>
      </c>
      <c r="P360" s="1" t="s">
        <v>161</v>
      </c>
      <c r="Q360" s="1" t="s">
        <v>130</v>
      </c>
      <c r="R360" s="2" t="s">
        <v>131</v>
      </c>
      <c r="S360" s="2" t="s">
        <v>131</v>
      </c>
      <c r="T360" s="15" t="s">
        <v>132</v>
      </c>
      <c r="U360" s="12"/>
    </row>
    <row r="361" spans="1:21" ht="78" x14ac:dyDescent="0.3">
      <c r="A361" s="1" t="s">
        <v>783</v>
      </c>
      <c r="B361" s="13">
        <v>46210</v>
      </c>
      <c r="C361" s="1" t="s">
        <v>135</v>
      </c>
      <c r="D361" s="8" t="s">
        <v>135</v>
      </c>
      <c r="E361" s="8" t="s">
        <v>24</v>
      </c>
      <c r="F361" s="24" t="s">
        <v>780</v>
      </c>
      <c r="G361" s="2" t="s">
        <v>778</v>
      </c>
      <c r="H361" s="2" t="s">
        <v>779</v>
      </c>
      <c r="I361" s="13" t="s">
        <v>38</v>
      </c>
      <c r="J361" s="9" t="s">
        <v>295</v>
      </c>
      <c r="K361" s="1" t="s">
        <v>42</v>
      </c>
      <c r="L361" s="7">
        <v>46241</v>
      </c>
      <c r="M361" s="13">
        <v>46211</v>
      </c>
      <c r="N361" s="20">
        <f>Table1[[#This Row],[Completion Date]]-Table1[[#This Row],[Date Logged]]</f>
        <v>1</v>
      </c>
      <c r="O361" s="13" t="s">
        <v>58</v>
      </c>
      <c r="P361" s="1" t="s">
        <v>161</v>
      </c>
      <c r="Q361" s="1" t="s">
        <v>130</v>
      </c>
      <c r="R361" s="2" t="s">
        <v>131</v>
      </c>
      <c r="S361" s="2" t="s">
        <v>131</v>
      </c>
      <c r="T361" s="15" t="s">
        <v>132</v>
      </c>
      <c r="U361" s="12"/>
    </row>
    <row r="362" spans="1:21" ht="78" x14ac:dyDescent="0.3">
      <c r="A362" s="1" t="s">
        <v>784</v>
      </c>
      <c r="B362" s="13">
        <v>46210</v>
      </c>
      <c r="C362" s="1" t="s">
        <v>135</v>
      </c>
      <c r="D362" s="8" t="s">
        <v>135</v>
      </c>
      <c r="E362" s="8" t="s">
        <v>24</v>
      </c>
      <c r="F362" s="24" t="s">
        <v>780</v>
      </c>
      <c r="G362" s="2" t="s">
        <v>778</v>
      </c>
      <c r="H362" s="2" t="s">
        <v>779</v>
      </c>
      <c r="I362" s="13" t="s">
        <v>38</v>
      </c>
      <c r="J362" s="9" t="s">
        <v>296</v>
      </c>
      <c r="K362" s="1" t="s">
        <v>42</v>
      </c>
      <c r="L362" s="7">
        <v>46241</v>
      </c>
      <c r="M362" s="13">
        <v>46211</v>
      </c>
      <c r="N362" s="20">
        <f>Table1[[#This Row],[Completion Date]]-Table1[[#This Row],[Date Logged]]</f>
        <v>1</v>
      </c>
      <c r="O362" s="13" t="s">
        <v>58</v>
      </c>
      <c r="P362" s="1" t="s">
        <v>161</v>
      </c>
      <c r="Q362" s="1" t="s">
        <v>130</v>
      </c>
      <c r="R362" s="2" t="s">
        <v>131</v>
      </c>
      <c r="S362" s="2" t="s">
        <v>131</v>
      </c>
      <c r="T362" s="15" t="s">
        <v>132</v>
      </c>
      <c r="U362" s="12"/>
    </row>
    <row r="363" spans="1:21" ht="78" x14ac:dyDescent="0.3">
      <c r="A363" s="1" t="s">
        <v>785</v>
      </c>
      <c r="B363" s="13">
        <v>46210</v>
      </c>
      <c r="C363" s="1" t="s">
        <v>135</v>
      </c>
      <c r="D363" s="8" t="s">
        <v>135</v>
      </c>
      <c r="E363" s="8" t="s">
        <v>24</v>
      </c>
      <c r="F363" s="24" t="s">
        <v>780</v>
      </c>
      <c r="G363" s="2" t="s">
        <v>778</v>
      </c>
      <c r="H363" s="2" t="s">
        <v>779</v>
      </c>
      <c r="I363" s="13" t="s">
        <v>38</v>
      </c>
      <c r="J363" s="9" t="s">
        <v>297</v>
      </c>
      <c r="K363" s="1" t="s">
        <v>42</v>
      </c>
      <c r="L363" s="7">
        <v>46241</v>
      </c>
      <c r="M363" s="13">
        <v>46211</v>
      </c>
      <c r="N363" s="20">
        <f>Table1[[#This Row],[Completion Date]]-Table1[[#This Row],[Date Logged]]</f>
        <v>1</v>
      </c>
      <c r="O363" s="13" t="s">
        <v>58</v>
      </c>
      <c r="P363" s="1" t="s">
        <v>161</v>
      </c>
      <c r="Q363" s="1" t="s">
        <v>130</v>
      </c>
      <c r="R363" s="2" t="s">
        <v>131</v>
      </c>
      <c r="S363" s="2" t="s">
        <v>131</v>
      </c>
      <c r="T363" s="15" t="s">
        <v>132</v>
      </c>
      <c r="U363" s="12"/>
    </row>
    <row r="364" spans="1:21" ht="78" x14ac:dyDescent="0.3">
      <c r="A364" s="1" t="s">
        <v>786</v>
      </c>
      <c r="B364" s="13">
        <v>46210</v>
      </c>
      <c r="C364" s="1" t="s">
        <v>135</v>
      </c>
      <c r="D364" s="8" t="s">
        <v>135</v>
      </c>
      <c r="E364" s="8" t="s">
        <v>24</v>
      </c>
      <c r="F364" s="24" t="s">
        <v>780</v>
      </c>
      <c r="G364" s="2" t="s">
        <v>778</v>
      </c>
      <c r="H364" s="2" t="s">
        <v>779</v>
      </c>
      <c r="I364" s="13" t="s">
        <v>38</v>
      </c>
      <c r="J364" s="9" t="s">
        <v>755</v>
      </c>
      <c r="K364" s="1" t="s">
        <v>42</v>
      </c>
      <c r="L364" s="7">
        <v>46241</v>
      </c>
      <c r="M364" s="13">
        <v>46211</v>
      </c>
      <c r="N364" s="20">
        <f>Table1[[#This Row],[Completion Date]]-Table1[[#This Row],[Date Logged]]</f>
        <v>1</v>
      </c>
      <c r="O364" s="13" t="s">
        <v>58</v>
      </c>
      <c r="P364" s="1" t="s">
        <v>161</v>
      </c>
      <c r="Q364" s="1" t="s">
        <v>130</v>
      </c>
      <c r="R364" s="2" t="s">
        <v>131</v>
      </c>
      <c r="S364" s="2" t="s">
        <v>131</v>
      </c>
      <c r="T364" s="15" t="s">
        <v>132</v>
      </c>
      <c r="U364" s="12"/>
    </row>
    <row r="365" spans="1:21" ht="78" x14ac:dyDescent="0.3">
      <c r="A365" s="1" t="s">
        <v>787</v>
      </c>
      <c r="B365" s="13">
        <v>46210</v>
      </c>
      <c r="C365" s="1" t="s">
        <v>135</v>
      </c>
      <c r="D365" s="8" t="s">
        <v>135</v>
      </c>
      <c r="E365" s="8" t="s">
        <v>24</v>
      </c>
      <c r="F365" s="24" t="s">
        <v>780</v>
      </c>
      <c r="G365" s="2" t="s">
        <v>778</v>
      </c>
      <c r="H365" s="2" t="s">
        <v>779</v>
      </c>
      <c r="I365" s="13" t="s">
        <v>38</v>
      </c>
      <c r="J365" s="9" t="s">
        <v>518</v>
      </c>
      <c r="K365" s="1" t="s">
        <v>42</v>
      </c>
      <c r="L365" s="7">
        <v>46241</v>
      </c>
      <c r="M365" s="13">
        <v>46211</v>
      </c>
      <c r="N365" s="20">
        <f>Table1[[#This Row],[Completion Date]]-Table1[[#This Row],[Date Logged]]</f>
        <v>1</v>
      </c>
      <c r="O365" s="13" t="s">
        <v>58</v>
      </c>
      <c r="P365" s="1" t="s">
        <v>161</v>
      </c>
      <c r="Q365" s="1" t="s">
        <v>130</v>
      </c>
      <c r="R365" s="2" t="s">
        <v>131</v>
      </c>
      <c r="S365" s="2" t="s">
        <v>131</v>
      </c>
      <c r="T365" s="15" t="s">
        <v>132</v>
      </c>
      <c r="U365" s="12"/>
    </row>
    <row r="366" spans="1:21" ht="78" x14ac:dyDescent="0.3">
      <c r="A366" s="1" t="s">
        <v>794</v>
      </c>
      <c r="B366" s="13">
        <v>46211</v>
      </c>
      <c r="C366" s="1" t="s">
        <v>135</v>
      </c>
      <c r="D366" s="8" t="s">
        <v>135</v>
      </c>
      <c r="E366" s="8" t="s">
        <v>24</v>
      </c>
      <c r="F366" s="24" t="s">
        <v>791</v>
      </c>
      <c r="G366" s="2" t="s">
        <v>790</v>
      </c>
      <c r="H366" s="2" t="s">
        <v>792</v>
      </c>
      <c r="I366" s="13" t="s">
        <v>38</v>
      </c>
      <c r="J366" s="9" t="s">
        <v>793</v>
      </c>
      <c r="K366" s="1" t="s">
        <v>135</v>
      </c>
      <c r="L366" s="7">
        <v>46211</v>
      </c>
      <c r="M366" s="7">
        <v>46211</v>
      </c>
      <c r="N366" s="20">
        <f>Table1[[#This Row],[Completion Date]]-Table1[[#This Row],[Date Logged]]</f>
        <v>0</v>
      </c>
      <c r="O366" s="13" t="s">
        <v>58</v>
      </c>
      <c r="P366" s="1" t="s">
        <v>161</v>
      </c>
      <c r="Q366" s="1" t="s">
        <v>130</v>
      </c>
      <c r="R366" s="2" t="s">
        <v>131</v>
      </c>
      <c r="S366" s="2" t="s">
        <v>131</v>
      </c>
      <c r="T366" s="15" t="s">
        <v>132</v>
      </c>
      <c r="U366" s="12"/>
    </row>
    <row r="367" spans="1:21" ht="78" x14ac:dyDescent="0.3">
      <c r="A367" s="1" t="s">
        <v>795</v>
      </c>
      <c r="B367" s="13">
        <v>46211</v>
      </c>
      <c r="C367" s="1" t="s">
        <v>135</v>
      </c>
      <c r="D367" s="8" t="s">
        <v>135</v>
      </c>
      <c r="E367" s="8" t="s">
        <v>24</v>
      </c>
      <c r="F367" s="24" t="s">
        <v>791</v>
      </c>
      <c r="G367" s="2" t="s">
        <v>790</v>
      </c>
      <c r="H367" s="2" t="s">
        <v>792</v>
      </c>
      <c r="I367" s="13" t="s">
        <v>38</v>
      </c>
      <c r="J367" s="9" t="s">
        <v>756</v>
      </c>
      <c r="K367" s="1" t="s">
        <v>41</v>
      </c>
      <c r="L367" s="7">
        <v>46242</v>
      </c>
      <c r="M367" s="13">
        <v>46213</v>
      </c>
      <c r="N367" s="20">
        <f>Table1[[#This Row],[Completion Date]]-Table1[[#This Row],[Date Logged]]</f>
        <v>2</v>
      </c>
      <c r="O367" s="13" t="s">
        <v>58</v>
      </c>
      <c r="P367" s="1" t="s">
        <v>161</v>
      </c>
      <c r="Q367" s="1" t="s">
        <v>130</v>
      </c>
      <c r="R367" s="2" t="s">
        <v>131</v>
      </c>
      <c r="S367" s="2" t="s">
        <v>131</v>
      </c>
      <c r="T367" s="15" t="s">
        <v>132</v>
      </c>
      <c r="U367" s="12"/>
    </row>
    <row r="368" spans="1:21" ht="78" x14ac:dyDescent="0.3">
      <c r="A368" s="1" t="s">
        <v>796</v>
      </c>
      <c r="B368" s="13">
        <v>46211</v>
      </c>
      <c r="C368" s="1" t="s">
        <v>135</v>
      </c>
      <c r="D368" s="8" t="s">
        <v>135</v>
      </c>
      <c r="E368" s="8" t="s">
        <v>24</v>
      </c>
      <c r="F368" s="24" t="s">
        <v>791</v>
      </c>
      <c r="G368" s="2" t="s">
        <v>790</v>
      </c>
      <c r="H368" s="2" t="s">
        <v>792</v>
      </c>
      <c r="I368" s="13" t="s">
        <v>38</v>
      </c>
      <c r="J368" s="9" t="s">
        <v>295</v>
      </c>
      <c r="K368" s="1" t="s">
        <v>42</v>
      </c>
      <c r="L368" s="7">
        <v>46242</v>
      </c>
      <c r="M368" s="13">
        <v>46213</v>
      </c>
      <c r="N368" s="20">
        <f>Table1[[#This Row],[Completion Date]]-Table1[[#This Row],[Date Logged]]</f>
        <v>2</v>
      </c>
      <c r="O368" s="13" t="s">
        <v>58</v>
      </c>
      <c r="P368" s="1" t="s">
        <v>161</v>
      </c>
      <c r="Q368" s="1" t="s">
        <v>130</v>
      </c>
      <c r="R368" s="2" t="s">
        <v>131</v>
      </c>
      <c r="S368" s="2" t="s">
        <v>131</v>
      </c>
      <c r="T368" s="15" t="s">
        <v>132</v>
      </c>
      <c r="U368" s="12"/>
    </row>
    <row r="369" spans="1:21" ht="78" x14ac:dyDescent="0.3">
      <c r="A369" s="1" t="s">
        <v>797</v>
      </c>
      <c r="B369" s="13">
        <v>46211</v>
      </c>
      <c r="C369" s="1" t="s">
        <v>135</v>
      </c>
      <c r="D369" s="8" t="s">
        <v>135</v>
      </c>
      <c r="E369" s="8" t="s">
        <v>24</v>
      </c>
      <c r="F369" s="24" t="s">
        <v>791</v>
      </c>
      <c r="G369" s="2" t="s">
        <v>790</v>
      </c>
      <c r="H369" s="2" t="s">
        <v>792</v>
      </c>
      <c r="I369" s="13" t="s">
        <v>38</v>
      </c>
      <c r="J369" s="9" t="s">
        <v>296</v>
      </c>
      <c r="K369" s="1" t="s">
        <v>42</v>
      </c>
      <c r="L369" s="7">
        <v>46242</v>
      </c>
      <c r="M369" s="13">
        <v>46213</v>
      </c>
      <c r="N369" s="20">
        <f>Table1[[#This Row],[Completion Date]]-Table1[[#This Row],[Date Logged]]</f>
        <v>2</v>
      </c>
      <c r="O369" s="13" t="s">
        <v>58</v>
      </c>
      <c r="P369" s="1" t="s">
        <v>161</v>
      </c>
      <c r="Q369" s="1" t="s">
        <v>130</v>
      </c>
      <c r="R369" s="2" t="s">
        <v>131</v>
      </c>
      <c r="S369" s="2" t="s">
        <v>131</v>
      </c>
      <c r="T369" s="15" t="s">
        <v>132</v>
      </c>
      <c r="U369" s="12"/>
    </row>
    <row r="370" spans="1:21" ht="78" x14ac:dyDescent="0.3">
      <c r="A370" s="1" t="s">
        <v>798</v>
      </c>
      <c r="B370" s="13">
        <v>46211</v>
      </c>
      <c r="C370" s="1" t="s">
        <v>135</v>
      </c>
      <c r="D370" s="8" t="s">
        <v>135</v>
      </c>
      <c r="E370" s="8" t="s">
        <v>24</v>
      </c>
      <c r="F370" s="24" t="s">
        <v>791</v>
      </c>
      <c r="G370" s="2" t="s">
        <v>790</v>
      </c>
      <c r="H370" s="2" t="s">
        <v>792</v>
      </c>
      <c r="I370" s="13" t="s">
        <v>38</v>
      </c>
      <c r="J370" s="9" t="s">
        <v>297</v>
      </c>
      <c r="K370" s="1" t="s">
        <v>42</v>
      </c>
      <c r="L370" s="7">
        <v>46242</v>
      </c>
      <c r="M370" s="13">
        <v>46213</v>
      </c>
      <c r="N370" s="20">
        <f>Table1[[#This Row],[Completion Date]]-Table1[[#This Row],[Date Logged]]</f>
        <v>2</v>
      </c>
      <c r="O370" s="13" t="s">
        <v>58</v>
      </c>
      <c r="P370" s="1" t="s">
        <v>161</v>
      </c>
      <c r="Q370" s="1" t="s">
        <v>130</v>
      </c>
      <c r="R370" s="2" t="s">
        <v>131</v>
      </c>
      <c r="S370" s="2" t="s">
        <v>131</v>
      </c>
      <c r="T370" s="15" t="s">
        <v>132</v>
      </c>
      <c r="U370" s="12"/>
    </row>
    <row r="371" spans="1:21" ht="78" x14ac:dyDescent="0.3">
      <c r="A371" s="1" t="s">
        <v>799</v>
      </c>
      <c r="B371" s="13">
        <v>46211</v>
      </c>
      <c r="C371" s="1" t="s">
        <v>135</v>
      </c>
      <c r="D371" s="8" t="s">
        <v>135</v>
      </c>
      <c r="E371" s="8" t="s">
        <v>24</v>
      </c>
      <c r="F371" s="24" t="s">
        <v>791</v>
      </c>
      <c r="G371" s="2" t="s">
        <v>790</v>
      </c>
      <c r="H371" s="2" t="s">
        <v>792</v>
      </c>
      <c r="I371" s="13" t="s">
        <v>38</v>
      </c>
      <c r="J371" s="9" t="s">
        <v>755</v>
      </c>
      <c r="K371" s="1" t="s">
        <v>42</v>
      </c>
      <c r="L371" s="7">
        <v>46242</v>
      </c>
      <c r="M371" s="13">
        <v>46213</v>
      </c>
      <c r="N371" s="20">
        <f>Table1[[#This Row],[Completion Date]]-Table1[[#This Row],[Date Logged]]</f>
        <v>2</v>
      </c>
      <c r="O371" s="13" t="s">
        <v>58</v>
      </c>
      <c r="P371" s="1" t="s">
        <v>161</v>
      </c>
      <c r="Q371" s="1" t="s">
        <v>130</v>
      </c>
      <c r="R371" s="2" t="s">
        <v>131</v>
      </c>
      <c r="S371" s="2" t="s">
        <v>131</v>
      </c>
      <c r="T371" s="15" t="s">
        <v>132</v>
      </c>
      <c r="U371" s="12"/>
    </row>
    <row r="372" spans="1:21" ht="78" x14ac:dyDescent="0.3">
      <c r="A372" s="1" t="s">
        <v>800</v>
      </c>
      <c r="B372" s="13">
        <v>46211</v>
      </c>
      <c r="C372" s="1" t="s">
        <v>135</v>
      </c>
      <c r="D372" s="8" t="s">
        <v>135</v>
      </c>
      <c r="E372" s="8" t="s">
        <v>24</v>
      </c>
      <c r="F372" s="24" t="s">
        <v>791</v>
      </c>
      <c r="G372" s="2" t="s">
        <v>790</v>
      </c>
      <c r="H372" s="2" t="s">
        <v>792</v>
      </c>
      <c r="I372" s="13" t="s">
        <v>38</v>
      </c>
      <c r="J372" s="9" t="s">
        <v>518</v>
      </c>
      <c r="K372" s="1" t="s">
        <v>42</v>
      </c>
      <c r="L372" s="7">
        <v>46242</v>
      </c>
      <c r="M372" s="13">
        <v>46213</v>
      </c>
      <c r="N372" s="20">
        <f>Table1[[#This Row],[Completion Date]]-Table1[[#This Row],[Date Logged]]</f>
        <v>2</v>
      </c>
      <c r="O372" s="13" t="s">
        <v>58</v>
      </c>
      <c r="P372" s="1" t="s">
        <v>161</v>
      </c>
      <c r="Q372" s="1" t="s">
        <v>130</v>
      </c>
      <c r="R372" s="2" t="s">
        <v>131</v>
      </c>
      <c r="S372" s="2" t="s">
        <v>131</v>
      </c>
      <c r="T372" s="15" t="s">
        <v>132</v>
      </c>
      <c r="U372" s="12"/>
    </row>
    <row r="373" spans="1:21" ht="93.6" x14ac:dyDescent="0.3">
      <c r="A373" s="1" t="s">
        <v>804</v>
      </c>
      <c r="B373" s="58">
        <v>46213</v>
      </c>
      <c r="C373" s="1" t="s">
        <v>135</v>
      </c>
      <c r="D373" s="8" t="s">
        <v>135</v>
      </c>
      <c r="E373" s="8" t="s">
        <v>24</v>
      </c>
      <c r="F373" s="24" t="s">
        <v>819</v>
      </c>
      <c r="G373" s="2" t="s">
        <v>820</v>
      </c>
      <c r="H373" s="55" t="s">
        <v>821</v>
      </c>
      <c r="I373" s="13" t="s">
        <v>38</v>
      </c>
      <c r="J373" s="9" t="s">
        <v>822</v>
      </c>
      <c r="K373" s="1" t="s">
        <v>135</v>
      </c>
      <c r="L373" s="58">
        <v>46213</v>
      </c>
      <c r="M373" s="58">
        <v>46213</v>
      </c>
      <c r="N373" s="60">
        <f>Table1[[#This Row],[Completion Date]]-Table1[[#This Row],[Date Logged]]</f>
        <v>0</v>
      </c>
      <c r="O373" s="13" t="s">
        <v>58</v>
      </c>
      <c r="P373" s="1" t="s">
        <v>161</v>
      </c>
      <c r="Q373" s="1" t="s">
        <v>130</v>
      </c>
      <c r="R373" s="2" t="s">
        <v>131</v>
      </c>
      <c r="S373" s="2" t="s">
        <v>131</v>
      </c>
      <c r="T373" s="15" t="s">
        <v>132</v>
      </c>
      <c r="U373" s="54"/>
    </row>
    <row r="374" spans="1:21" ht="93.6" x14ac:dyDescent="0.3">
      <c r="A374" s="1" t="s">
        <v>813</v>
      </c>
      <c r="B374" s="58">
        <v>46213</v>
      </c>
      <c r="C374" s="1" t="s">
        <v>135</v>
      </c>
      <c r="D374" s="8" t="s">
        <v>135</v>
      </c>
      <c r="E374" s="8" t="s">
        <v>24</v>
      </c>
      <c r="F374" s="24" t="s">
        <v>819</v>
      </c>
      <c r="G374" s="2" t="s">
        <v>820</v>
      </c>
      <c r="H374" s="55" t="s">
        <v>821</v>
      </c>
      <c r="I374" s="13" t="s">
        <v>38</v>
      </c>
      <c r="J374" s="9" t="s">
        <v>756</v>
      </c>
      <c r="K374" s="1" t="s">
        <v>41</v>
      </c>
      <c r="L374" s="58">
        <v>46244</v>
      </c>
      <c r="M374" s="58">
        <v>46213</v>
      </c>
      <c r="N374" s="60">
        <f>Table1[[#This Row],[Completion Date]]-Table1[[#This Row],[Date Logged]]</f>
        <v>0</v>
      </c>
      <c r="O374" s="13" t="s">
        <v>58</v>
      </c>
      <c r="P374" s="1" t="s">
        <v>161</v>
      </c>
      <c r="Q374" s="1" t="s">
        <v>130</v>
      </c>
      <c r="R374" s="2" t="s">
        <v>131</v>
      </c>
      <c r="S374" s="2" t="s">
        <v>131</v>
      </c>
      <c r="T374" s="15" t="s">
        <v>132</v>
      </c>
      <c r="U374" s="54"/>
    </row>
    <row r="375" spans="1:21" ht="93.6" x14ac:dyDescent="0.3">
      <c r="A375" s="1" t="s">
        <v>814</v>
      </c>
      <c r="B375" s="58">
        <v>46213</v>
      </c>
      <c r="C375" s="1" t="s">
        <v>135</v>
      </c>
      <c r="D375" s="8" t="s">
        <v>135</v>
      </c>
      <c r="E375" s="8" t="s">
        <v>24</v>
      </c>
      <c r="F375" s="24" t="s">
        <v>819</v>
      </c>
      <c r="G375" s="2" t="s">
        <v>820</v>
      </c>
      <c r="H375" s="55" t="s">
        <v>821</v>
      </c>
      <c r="I375" s="13" t="s">
        <v>38</v>
      </c>
      <c r="J375" s="9" t="s">
        <v>295</v>
      </c>
      <c r="K375" s="1" t="s">
        <v>42</v>
      </c>
      <c r="L375" s="58">
        <v>46244</v>
      </c>
      <c r="M375" s="58">
        <v>46217</v>
      </c>
      <c r="N375" s="60">
        <f>Table1[[#This Row],[Completion Date]]-Table1[[#This Row],[Date Logged]]</f>
        <v>4</v>
      </c>
      <c r="O375" s="13" t="s">
        <v>58</v>
      </c>
      <c r="P375" s="1" t="s">
        <v>161</v>
      </c>
      <c r="Q375" s="1" t="s">
        <v>130</v>
      </c>
      <c r="R375" s="2" t="s">
        <v>131</v>
      </c>
      <c r="S375" s="2" t="s">
        <v>131</v>
      </c>
      <c r="T375" s="15" t="s">
        <v>132</v>
      </c>
      <c r="U375" s="54"/>
    </row>
    <row r="376" spans="1:21" ht="93.6" x14ac:dyDescent="0.3">
      <c r="A376" s="1" t="s">
        <v>815</v>
      </c>
      <c r="B376" s="58">
        <v>46213</v>
      </c>
      <c r="C376" s="1" t="s">
        <v>135</v>
      </c>
      <c r="D376" s="8" t="s">
        <v>135</v>
      </c>
      <c r="E376" s="8" t="s">
        <v>24</v>
      </c>
      <c r="F376" s="24" t="s">
        <v>819</v>
      </c>
      <c r="G376" s="2" t="s">
        <v>820</v>
      </c>
      <c r="H376" s="55" t="s">
        <v>821</v>
      </c>
      <c r="I376" s="13" t="s">
        <v>38</v>
      </c>
      <c r="J376" s="9" t="s">
        <v>296</v>
      </c>
      <c r="K376" s="1" t="s">
        <v>42</v>
      </c>
      <c r="L376" s="58">
        <v>46244</v>
      </c>
      <c r="M376" s="58">
        <v>46217</v>
      </c>
      <c r="N376" s="60">
        <f>Table1[[#This Row],[Completion Date]]-Table1[[#This Row],[Date Logged]]</f>
        <v>4</v>
      </c>
      <c r="O376" s="13" t="s">
        <v>58</v>
      </c>
      <c r="P376" s="1" t="s">
        <v>161</v>
      </c>
      <c r="Q376" s="1" t="s">
        <v>130</v>
      </c>
      <c r="R376" s="2" t="s">
        <v>131</v>
      </c>
      <c r="S376" s="2" t="s">
        <v>131</v>
      </c>
      <c r="T376" s="15" t="s">
        <v>132</v>
      </c>
      <c r="U376" s="54"/>
    </row>
    <row r="377" spans="1:21" ht="93.6" x14ac:dyDescent="0.3">
      <c r="A377" s="1" t="s">
        <v>816</v>
      </c>
      <c r="B377" s="58">
        <v>46213</v>
      </c>
      <c r="C377" s="1" t="s">
        <v>135</v>
      </c>
      <c r="D377" s="8" t="s">
        <v>135</v>
      </c>
      <c r="E377" s="8" t="s">
        <v>24</v>
      </c>
      <c r="F377" s="24" t="s">
        <v>819</v>
      </c>
      <c r="G377" s="2" t="s">
        <v>820</v>
      </c>
      <c r="H377" s="55" t="s">
        <v>821</v>
      </c>
      <c r="I377" s="13" t="s">
        <v>38</v>
      </c>
      <c r="J377" s="9" t="s">
        <v>297</v>
      </c>
      <c r="K377" s="1" t="s">
        <v>42</v>
      </c>
      <c r="L377" s="58">
        <v>46244</v>
      </c>
      <c r="M377" s="58">
        <v>46217</v>
      </c>
      <c r="N377" s="60">
        <f>Table1[[#This Row],[Completion Date]]-Table1[[#This Row],[Date Logged]]</f>
        <v>4</v>
      </c>
      <c r="O377" s="13" t="s">
        <v>58</v>
      </c>
      <c r="P377" s="1" t="s">
        <v>161</v>
      </c>
      <c r="Q377" s="1" t="s">
        <v>130</v>
      </c>
      <c r="R377" s="2" t="s">
        <v>131</v>
      </c>
      <c r="S377" s="2" t="s">
        <v>131</v>
      </c>
      <c r="T377" s="15" t="s">
        <v>132</v>
      </c>
      <c r="U377" s="54"/>
    </row>
    <row r="378" spans="1:21" ht="93.6" x14ac:dyDescent="0.3">
      <c r="A378" s="1" t="s">
        <v>817</v>
      </c>
      <c r="B378" s="58">
        <v>46213</v>
      </c>
      <c r="C378" s="1" t="s">
        <v>135</v>
      </c>
      <c r="D378" s="8" t="s">
        <v>135</v>
      </c>
      <c r="E378" s="8" t="s">
        <v>24</v>
      </c>
      <c r="F378" s="24" t="s">
        <v>819</v>
      </c>
      <c r="G378" s="2" t="s">
        <v>820</v>
      </c>
      <c r="H378" s="55" t="s">
        <v>821</v>
      </c>
      <c r="I378" s="13" t="s">
        <v>38</v>
      </c>
      <c r="J378" s="9" t="s">
        <v>755</v>
      </c>
      <c r="K378" s="1" t="s">
        <v>42</v>
      </c>
      <c r="L378" s="58">
        <v>46244</v>
      </c>
      <c r="M378" s="58">
        <v>46217</v>
      </c>
      <c r="N378" s="60">
        <f>Table1[[#This Row],[Completion Date]]-Table1[[#This Row],[Date Logged]]</f>
        <v>4</v>
      </c>
      <c r="O378" s="13" t="s">
        <v>58</v>
      </c>
      <c r="P378" s="1" t="s">
        <v>161</v>
      </c>
      <c r="Q378" s="1" t="s">
        <v>130</v>
      </c>
      <c r="R378" s="2" t="s">
        <v>131</v>
      </c>
      <c r="S378" s="2" t="s">
        <v>131</v>
      </c>
      <c r="T378" s="15" t="s">
        <v>132</v>
      </c>
      <c r="U378" s="54"/>
    </row>
    <row r="379" spans="1:21" ht="93.6" x14ac:dyDescent="0.3">
      <c r="A379" s="1" t="s">
        <v>818</v>
      </c>
      <c r="B379" s="58">
        <v>46213</v>
      </c>
      <c r="C379" s="1" t="s">
        <v>135</v>
      </c>
      <c r="D379" s="8" t="s">
        <v>135</v>
      </c>
      <c r="E379" s="8" t="s">
        <v>24</v>
      </c>
      <c r="F379" s="24" t="s">
        <v>819</v>
      </c>
      <c r="G379" s="2" t="s">
        <v>820</v>
      </c>
      <c r="H379" s="55" t="s">
        <v>821</v>
      </c>
      <c r="I379" s="13" t="s">
        <v>38</v>
      </c>
      <c r="J379" s="9" t="s">
        <v>518</v>
      </c>
      <c r="K379" s="1" t="s">
        <v>42</v>
      </c>
      <c r="L379" s="58">
        <v>46244</v>
      </c>
      <c r="M379" s="58">
        <v>46217</v>
      </c>
      <c r="N379" s="60">
        <f>Table1[[#This Row],[Completion Date]]-Table1[[#This Row],[Date Logged]]</f>
        <v>4</v>
      </c>
      <c r="O379" s="13" t="s">
        <v>58</v>
      </c>
      <c r="P379" s="1" t="s">
        <v>161</v>
      </c>
      <c r="Q379" s="1" t="s">
        <v>130</v>
      </c>
      <c r="R379" s="2" t="s">
        <v>131</v>
      </c>
      <c r="S379" s="2" t="s">
        <v>131</v>
      </c>
      <c r="T379" s="15" t="s">
        <v>132</v>
      </c>
      <c r="U379" s="54"/>
    </row>
    <row r="380" spans="1:21" ht="78" x14ac:dyDescent="0.3">
      <c r="A380" s="54" t="s">
        <v>823</v>
      </c>
      <c r="B380" s="13">
        <v>46213</v>
      </c>
      <c r="C380" s="1" t="s">
        <v>89</v>
      </c>
      <c r="D380" s="8" t="s">
        <v>135</v>
      </c>
      <c r="E380" s="8" t="s">
        <v>24</v>
      </c>
      <c r="F380" s="24" t="s">
        <v>801</v>
      </c>
      <c r="G380" s="2" t="s">
        <v>802</v>
      </c>
      <c r="H380" s="2" t="s">
        <v>803</v>
      </c>
      <c r="I380" s="7" t="s">
        <v>78</v>
      </c>
      <c r="J380" s="9" t="s">
        <v>805</v>
      </c>
      <c r="K380" s="1" t="s">
        <v>80</v>
      </c>
      <c r="L380" s="7">
        <v>46219</v>
      </c>
      <c r="M380" s="13"/>
      <c r="N380" s="20">
        <f>Table1[[#This Row],[Completion Date]]-Table1[[#This Row],[Date Logged]]</f>
        <v>-46213</v>
      </c>
      <c r="O380" s="13" t="s">
        <v>59</v>
      </c>
      <c r="P380" s="12"/>
      <c r="Q380" s="12"/>
      <c r="R380" s="15"/>
      <c r="S380" s="15"/>
      <c r="T380" s="15" t="s">
        <v>70</v>
      </c>
      <c r="U380" s="12"/>
    </row>
    <row r="381" spans="1:21" ht="78" x14ac:dyDescent="0.3">
      <c r="A381" s="54" t="s">
        <v>824</v>
      </c>
      <c r="B381" s="13">
        <v>46213</v>
      </c>
      <c r="C381" s="1" t="s">
        <v>89</v>
      </c>
      <c r="D381" s="8" t="s">
        <v>135</v>
      </c>
      <c r="E381" s="8" t="s">
        <v>24</v>
      </c>
      <c r="F381" s="24" t="s">
        <v>801</v>
      </c>
      <c r="G381" s="2" t="s">
        <v>802</v>
      </c>
      <c r="H381" s="2" t="s">
        <v>803</v>
      </c>
      <c r="I381" s="7" t="s">
        <v>78</v>
      </c>
      <c r="J381" s="9" t="s">
        <v>806</v>
      </c>
      <c r="K381" s="1" t="s">
        <v>41</v>
      </c>
      <c r="L381" s="7">
        <v>46227</v>
      </c>
      <c r="M381" s="13"/>
      <c r="N381" s="20">
        <f>Table1[[#This Row],[Completion Date]]-Table1[[#This Row],[Date Logged]]</f>
        <v>-46213</v>
      </c>
      <c r="O381" s="13" t="s">
        <v>59</v>
      </c>
      <c r="P381" s="12"/>
      <c r="Q381" s="12"/>
      <c r="R381" s="15"/>
      <c r="S381" s="15"/>
      <c r="T381" s="15" t="s">
        <v>70</v>
      </c>
      <c r="U381" s="12"/>
    </row>
    <row r="382" spans="1:21" ht="78" x14ac:dyDescent="0.3">
      <c r="A382" s="54" t="s">
        <v>825</v>
      </c>
      <c r="B382" s="13">
        <v>46213</v>
      </c>
      <c r="C382" s="1" t="s">
        <v>89</v>
      </c>
      <c r="D382" s="8" t="s">
        <v>135</v>
      </c>
      <c r="E382" s="8" t="s">
        <v>24</v>
      </c>
      <c r="F382" s="24" t="s">
        <v>801</v>
      </c>
      <c r="G382" s="2" t="s">
        <v>802</v>
      </c>
      <c r="H382" s="2" t="s">
        <v>803</v>
      </c>
      <c r="I382" s="7" t="s">
        <v>78</v>
      </c>
      <c r="J382" s="9" t="s">
        <v>807</v>
      </c>
      <c r="K382" s="1" t="s">
        <v>41</v>
      </c>
      <c r="L382" s="7">
        <v>46233</v>
      </c>
      <c r="M382" s="13"/>
      <c r="N382" s="20">
        <f>Table1[[#This Row],[Completion Date]]-Table1[[#This Row],[Date Logged]]</f>
        <v>-46213</v>
      </c>
      <c r="O382" s="13" t="s">
        <v>59</v>
      </c>
      <c r="P382" s="12"/>
      <c r="Q382" s="12"/>
      <c r="R382" s="15"/>
      <c r="S382" s="15"/>
      <c r="T382" s="15" t="s">
        <v>70</v>
      </c>
      <c r="U382" s="12"/>
    </row>
    <row r="383" spans="1:21" ht="78" x14ac:dyDescent="0.3">
      <c r="A383" s="54" t="s">
        <v>826</v>
      </c>
      <c r="B383" s="13">
        <v>46213</v>
      </c>
      <c r="C383" s="1" t="s">
        <v>89</v>
      </c>
      <c r="D383" s="8" t="s">
        <v>135</v>
      </c>
      <c r="E383" s="8" t="s">
        <v>24</v>
      </c>
      <c r="F383" s="24" t="s">
        <v>801</v>
      </c>
      <c r="G383" s="2" t="s">
        <v>802</v>
      </c>
      <c r="H383" s="2" t="s">
        <v>803</v>
      </c>
      <c r="I383" s="7" t="s">
        <v>78</v>
      </c>
      <c r="J383" s="9" t="s">
        <v>808</v>
      </c>
      <c r="K383" s="1" t="s">
        <v>79</v>
      </c>
      <c r="L383" s="7">
        <v>46238</v>
      </c>
      <c r="M383" s="13"/>
      <c r="N383" s="20">
        <f>Table1[[#This Row],[Completion Date]]-Table1[[#This Row],[Date Logged]]</f>
        <v>-46213</v>
      </c>
      <c r="O383" s="13" t="s">
        <v>59</v>
      </c>
      <c r="P383" s="12"/>
      <c r="Q383" s="12"/>
      <c r="R383" s="15"/>
      <c r="S383" s="15"/>
      <c r="T383" s="15" t="s">
        <v>70</v>
      </c>
      <c r="U383" s="12"/>
    </row>
    <row r="384" spans="1:21" ht="78" x14ac:dyDescent="0.3">
      <c r="A384" s="54" t="s">
        <v>827</v>
      </c>
      <c r="B384" s="13">
        <v>46213</v>
      </c>
      <c r="C384" s="1" t="s">
        <v>89</v>
      </c>
      <c r="D384" s="8" t="s">
        <v>135</v>
      </c>
      <c r="E384" s="8" t="s">
        <v>24</v>
      </c>
      <c r="F384" s="24" t="s">
        <v>801</v>
      </c>
      <c r="G384" s="2" t="s">
        <v>802</v>
      </c>
      <c r="H384" s="2" t="s">
        <v>803</v>
      </c>
      <c r="I384" s="7" t="s">
        <v>78</v>
      </c>
      <c r="J384" s="9" t="s">
        <v>809</v>
      </c>
      <c r="K384" s="1" t="s">
        <v>42</v>
      </c>
      <c r="L384" s="7">
        <v>46239</v>
      </c>
      <c r="M384" s="13"/>
      <c r="N384" s="20">
        <f>Table1[[#This Row],[Completion Date]]-Table1[[#This Row],[Date Logged]]</f>
        <v>-46213</v>
      </c>
      <c r="O384" s="13" t="s">
        <v>59</v>
      </c>
      <c r="P384" s="12"/>
      <c r="Q384" s="12"/>
      <c r="R384" s="15"/>
      <c r="S384" s="15"/>
      <c r="T384" s="15" t="s">
        <v>70</v>
      </c>
      <c r="U384" s="12"/>
    </row>
    <row r="385" spans="1:21" ht="78" x14ac:dyDescent="0.3">
      <c r="A385" s="54" t="s">
        <v>828</v>
      </c>
      <c r="B385" s="13">
        <v>46213</v>
      </c>
      <c r="C385" s="1" t="s">
        <v>89</v>
      </c>
      <c r="D385" s="8" t="s">
        <v>135</v>
      </c>
      <c r="E385" s="8" t="s">
        <v>24</v>
      </c>
      <c r="F385" s="24" t="s">
        <v>801</v>
      </c>
      <c r="G385" s="2" t="s">
        <v>802</v>
      </c>
      <c r="H385" s="2" t="s">
        <v>803</v>
      </c>
      <c r="I385" s="7" t="s">
        <v>78</v>
      </c>
      <c r="J385" s="9" t="s">
        <v>810</v>
      </c>
      <c r="K385" s="1" t="s">
        <v>80</v>
      </c>
      <c r="L385" s="7">
        <v>46241</v>
      </c>
      <c r="M385" s="13"/>
      <c r="N385" s="20">
        <f>Table1[[#This Row],[Completion Date]]-Table1[[#This Row],[Date Logged]]</f>
        <v>-46213</v>
      </c>
      <c r="O385" s="13" t="s">
        <v>59</v>
      </c>
      <c r="P385" s="12"/>
      <c r="Q385" s="12"/>
      <c r="R385" s="15"/>
      <c r="S385" s="15"/>
      <c r="T385" s="15" t="s">
        <v>70</v>
      </c>
      <c r="U385" s="12"/>
    </row>
    <row r="386" spans="1:21" ht="78" x14ac:dyDescent="0.3">
      <c r="A386" s="54" t="s">
        <v>829</v>
      </c>
      <c r="B386" s="13">
        <v>46213</v>
      </c>
      <c r="C386" s="1" t="s">
        <v>89</v>
      </c>
      <c r="D386" s="8" t="s">
        <v>135</v>
      </c>
      <c r="E386" s="8" t="s">
        <v>24</v>
      </c>
      <c r="F386" s="24" t="s">
        <v>801</v>
      </c>
      <c r="G386" s="2" t="s">
        <v>802</v>
      </c>
      <c r="H386" s="2" t="s">
        <v>803</v>
      </c>
      <c r="I386" s="7" t="s">
        <v>78</v>
      </c>
      <c r="J386" s="9" t="s">
        <v>811</v>
      </c>
      <c r="K386" s="1" t="s">
        <v>208</v>
      </c>
      <c r="L386" s="7">
        <v>46241</v>
      </c>
      <c r="M386" s="13"/>
      <c r="N386" s="20">
        <f>Table1[[#This Row],[Completion Date]]-Table1[[#This Row],[Date Logged]]</f>
        <v>-46213</v>
      </c>
      <c r="O386" s="13" t="s">
        <v>59</v>
      </c>
      <c r="P386" s="12"/>
      <c r="Q386" s="12"/>
      <c r="R386" s="15"/>
      <c r="S386" s="15"/>
      <c r="T386" s="15" t="s">
        <v>70</v>
      </c>
      <c r="U386" s="12"/>
    </row>
    <row r="387" spans="1:21" ht="78" x14ac:dyDescent="0.3">
      <c r="A387" s="54" t="s">
        <v>830</v>
      </c>
      <c r="B387" s="13">
        <v>46213</v>
      </c>
      <c r="C387" s="1" t="s">
        <v>89</v>
      </c>
      <c r="D387" s="8" t="s">
        <v>135</v>
      </c>
      <c r="E387" s="8" t="s">
        <v>24</v>
      </c>
      <c r="F387" s="24" t="s">
        <v>801</v>
      </c>
      <c r="G387" s="2" t="s">
        <v>802</v>
      </c>
      <c r="H387" s="2" t="s">
        <v>803</v>
      </c>
      <c r="I387" s="7" t="s">
        <v>78</v>
      </c>
      <c r="J387" s="9" t="s">
        <v>812</v>
      </c>
      <c r="K387" s="1" t="s">
        <v>42</v>
      </c>
      <c r="L387" s="7">
        <v>46241</v>
      </c>
      <c r="M387" s="13"/>
      <c r="N387" s="20">
        <f>Table1[[#This Row],[Completion Date]]-Table1[[#This Row],[Date Logged]]</f>
        <v>-46213</v>
      </c>
      <c r="O387" s="13" t="s">
        <v>59</v>
      </c>
      <c r="P387" s="12"/>
      <c r="Q387" s="12"/>
      <c r="R387" s="15"/>
      <c r="S387" s="15"/>
      <c r="T387" s="15" t="s">
        <v>70</v>
      </c>
      <c r="U387" s="12"/>
    </row>
    <row r="388" spans="1:21" ht="78" x14ac:dyDescent="0.3">
      <c r="A388" s="54" t="s">
        <v>827</v>
      </c>
      <c r="B388" s="13">
        <v>46213</v>
      </c>
      <c r="C388" s="1" t="s">
        <v>89</v>
      </c>
      <c r="D388" s="8" t="s">
        <v>135</v>
      </c>
      <c r="E388" s="8" t="s">
        <v>24</v>
      </c>
      <c r="F388" s="24" t="s">
        <v>801</v>
      </c>
      <c r="G388" s="2" t="s">
        <v>802</v>
      </c>
      <c r="H388" s="2" t="s">
        <v>803</v>
      </c>
      <c r="I388" s="7" t="s">
        <v>78</v>
      </c>
      <c r="J388" s="9" t="s">
        <v>182</v>
      </c>
      <c r="K388" s="1" t="s">
        <v>42</v>
      </c>
      <c r="L388" s="7">
        <v>46241</v>
      </c>
      <c r="M388" s="13"/>
      <c r="N388" s="20">
        <f>Table1[[#This Row],[Completion Date]]-Table1[[#This Row],[Date Logged]]</f>
        <v>-46213</v>
      </c>
      <c r="O388" s="13" t="s">
        <v>59</v>
      </c>
      <c r="P388" s="12"/>
      <c r="Q388" s="12"/>
      <c r="R388" s="15"/>
      <c r="S388" s="15"/>
      <c r="T388" s="15" t="s">
        <v>70</v>
      </c>
      <c r="U388" s="12"/>
    </row>
    <row r="389" spans="1:21" ht="93.6" x14ac:dyDescent="0.3">
      <c r="A389" s="1" t="s">
        <v>876</v>
      </c>
      <c r="B389" s="13">
        <v>46218</v>
      </c>
      <c r="C389" s="1" t="s">
        <v>148</v>
      </c>
      <c r="D389" s="8" t="s">
        <v>148</v>
      </c>
      <c r="E389" s="8" t="s">
        <v>24</v>
      </c>
      <c r="F389" s="24" t="s">
        <v>831</v>
      </c>
      <c r="G389" s="2" t="s">
        <v>832</v>
      </c>
      <c r="H389" s="2" t="s">
        <v>833</v>
      </c>
      <c r="I389" s="13" t="s">
        <v>38</v>
      </c>
      <c r="J389" s="9" t="s">
        <v>883</v>
      </c>
      <c r="K389" s="1" t="s">
        <v>148</v>
      </c>
      <c r="L389" s="7">
        <v>46218</v>
      </c>
      <c r="M389" s="13">
        <v>46218</v>
      </c>
      <c r="N389" s="20">
        <f>Table1[[#This Row],[Completion Date]]-Table1[[#This Row],[Date Logged]]</f>
        <v>0</v>
      </c>
      <c r="O389" s="13" t="s">
        <v>58</v>
      </c>
      <c r="P389" s="1" t="s">
        <v>161</v>
      </c>
      <c r="Q389" s="1" t="s">
        <v>130</v>
      </c>
      <c r="R389" s="2" t="s">
        <v>131</v>
      </c>
      <c r="S389" s="2" t="s">
        <v>131</v>
      </c>
      <c r="T389" s="15" t="s">
        <v>132</v>
      </c>
      <c r="U389" s="12"/>
    </row>
    <row r="390" spans="1:21" ht="93.6" x14ac:dyDescent="0.3">
      <c r="A390" s="1" t="s">
        <v>877</v>
      </c>
      <c r="B390" s="13">
        <v>46218</v>
      </c>
      <c r="C390" s="1" t="s">
        <v>148</v>
      </c>
      <c r="D390" s="8" t="s">
        <v>148</v>
      </c>
      <c r="E390" s="62" t="s">
        <v>24</v>
      </c>
      <c r="F390" s="24" t="s">
        <v>831</v>
      </c>
      <c r="G390" s="2" t="s">
        <v>832</v>
      </c>
      <c r="H390" s="2" t="s">
        <v>833</v>
      </c>
      <c r="I390" s="58" t="s">
        <v>38</v>
      </c>
      <c r="J390" s="9" t="s">
        <v>32</v>
      </c>
      <c r="K390" s="1" t="s">
        <v>148</v>
      </c>
      <c r="L390" s="58">
        <v>46219</v>
      </c>
      <c r="M390" s="58">
        <v>46219</v>
      </c>
      <c r="N390" s="60">
        <f>Table1[[#This Row],[Completion Date]]-Table1[[#This Row],[Date Logged]]</f>
        <v>1</v>
      </c>
      <c r="O390" s="58" t="s">
        <v>58</v>
      </c>
      <c r="P390" s="1" t="s">
        <v>161</v>
      </c>
      <c r="Q390" s="1" t="s">
        <v>130</v>
      </c>
      <c r="R390" s="2" t="s">
        <v>131</v>
      </c>
      <c r="S390" s="2" t="s">
        <v>131</v>
      </c>
      <c r="T390" s="55" t="s">
        <v>132</v>
      </c>
      <c r="U390" s="54"/>
    </row>
    <row r="391" spans="1:21" ht="93.6" x14ac:dyDescent="0.3">
      <c r="A391" s="1" t="s">
        <v>878</v>
      </c>
      <c r="B391" s="13">
        <v>46218</v>
      </c>
      <c r="C391" s="1" t="s">
        <v>148</v>
      </c>
      <c r="D391" s="8" t="s">
        <v>148</v>
      </c>
      <c r="E391" s="62" t="s">
        <v>24</v>
      </c>
      <c r="F391" s="24" t="s">
        <v>831</v>
      </c>
      <c r="G391" s="2" t="s">
        <v>832</v>
      </c>
      <c r="H391" s="2" t="s">
        <v>833</v>
      </c>
      <c r="I391" s="58" t="s">
        <v>38</v>
      </c>
      <c r="J391" s="9" t="s">
        <v>158</v>
      </c>
      <c r="K391" s="1" t="s">
        <v>148</v>
      </c>
      <c r="L391" s="58">
        <v>46251</v>
      </c>
      <c r="M391" s="58">
        <v>46219</v>
      </c>
      <c r="N391" s="60">
        <f>Table1[[#This Row],[Completion Date]]-Table1[[#This Row],[Date Logged]]</f>
        <v>1</v>
      </c>
      <c r="O391" s="58" t="s">
        <v>58</v>
      </c>
      <c r="P391" s="1" t="s">
        <v>161</v>
      </c>
      <c r="Q391" s="1" t="s">
        <v>130</v>
      </c>
      <c r="R391" s="2" t="s">
        <v>131</v>
      </c>
      <c r="S391" s="2" t="s">
        <v>131</v>
      </c>
      <c r="T391" s="55" t="s">
        <v>132</v>
      </c>
      <c r="U391" s="54"/>
    </row>
    <row r="392" spans="1:21" ht="93.6" x14ac:dyDescent="0.3">
      <c r="A392" s="1" t="s">
        <v>879</v>
      </c>
      <c r="B392" s="13">
        <v>46218</v>
      </c>
      <c r="C392" s="1" t="s">
        <v>148</v>
      </c>
      <c r="D392" s="8" t="s">
        <v>148</v>
      </c>
      <c r="E392" s="62" t="s">
        <v>24</v>
      </c>
      <c r="F392" s="24" t="s">
        <v>831</v>
      </c>
      <c r="G392" s="2" t="s">
        <v>832</v>
      </c>
      <c r="H392" s="2" t="s">
        <v>833</v>
      </c>
      <c r="I392" s="58" t="s">
        <v>38</v>
      </c>
      <c r="J392" s="9" t="s">
        <v>34</v>
      </c>
      <c r="K392" s="1" t="s">
        <v>148</v>
      </c>
      <c r="L392" s="58">
        <v>46251</v>
      </c>
      <c r="M392" s="58">
        <v>46219</v>
      </c>
      <c r="N392" s="60">
        <f>Table1[[#This Row],[Completion Date]]-Table1[[#This Row],[Date Logged]]</f>
        <v>1</v>
      </c>
      <c r="O392" s="58" t="s">
        <v>58</v>
      </c>
      <c r="P392" s="1" t="s">
        <v>161</v>
      </c>
      <c r="Q392" s="1" t="s">
        <v>130</v>
      </c>
      <c r="R392" s="2" t="s">
        <v>131</v>
      </c>
      <c r="S392" s="2" t="s">
        <v>131</v>
      </c>
      <c r="T392" s="55" t="s">
        <v>132</v>
      </c>
      <c r="U392" s="54"/>
    </row>
    <row r="393" spans="1:21" ht="93.6" x14ac:dyDescent="0.3">
      <c r="A393" s="1" t="s">
        <v>880</v>
      </c>
      <c r="B393" s="13">
        <v>46218</v>
      </c>
      <c r="C393" s="1" t="s">
        <v>148</v>
      </c>
      <c r="D393" s="8" t="s">
        <v>148</v>
      </c>
      <c r="E393" s="62" t="s">
        <v>24</v>
      </c>
      <c r="F393" s="24" t="s">
        <v>831</v>
      </c>
      <c r="G393" s="2" t="s">
        <v>832</v>
      </c>
      <c r="H393" s="2" t="s">
        <v>833</v>
      </c>
      <c r="I393" s="58" t="s">
        <v>38</v>
      </c>
      <c r="J393" s="9" t="s">
        <v>35</v>
      </c>
      <c r="K393" s="1" t="s">
        <v>148</v>
      </c>
      <c r="L393" s="58">
        <v>46251</v>
      </c>
      <c r="M393" s="58">
        <v>46224</v>
      </c>
      <c r="N393" s="60">
        <f>Table1[[#This Row],[Completion Date]]-Table1[[#This Row],[Date Logged]]</f>
        <v>6</v>
      </c>
      <c r="O393" s="58" t="s">
        <v>58</v>
      </c>
      <c r="P393" s="1" t="s">
        <v>161</v>
      </c>
      <c r="Q393" s="1" t="s">
        <v>130</v>
      </c>
      <c r="R393" s="2" t="s">
        <v>131</v>
      </c>
      <c r="S393" s="2" t="s">
        <v>131</v>
      </c>
      <c r="T393" s="55" t="s">
        <v>132</v>
      </c>
      <c r="U393" s="54"/>
    </row>
    <row r="394" spans="1:21" ht="93.6" x14ac:dyDescent="0.3">
      <c r="A394" s="1" t="s">
        <v>881</v>
      </c>
      <c r="B394" s="13">
        <v>46218</v>
      </c>
      <c r="C394" s="1" t="s">
        <v>148</v>
      </c>
      <c r="D394" s="8" t="s">
        <v>148</v>
      </c>
      <c r="E394" s="62" t="s">
        <v>24</v>
      </c>
      <c r="F394" s="24" t="s">
        <v>831</v>
      </c>
      <c r="G394" s="2" t="s">
        <v>832</v>
      </c>
      <c r="H394" s="2" t="s">
        <v>833</v>
      </c>
      <c r="I394" s="58" t="s">
        <v>38</v>
      </c>
      <c r="J394" s="9" t="s">
        <v>399</v>
      </c>
      <c r="K394" s="1" t="s">
        <v>148</v>
      </c>
      <c r="L394" s="58">
        <v>46251</v>
      </c>
      <c r="M394" s="58">
        <v>46224</v>
      </c>
      <c r="N394" s="60">
        <f>Table1[[#This Row],[Completion Date]]-Table1[[#This Row],[Date Logged]]</f>
        <v>6</v>
      </c>
      <c r="O394" s="58" t="s">
        <v>58</v>
      </c>
      <c r="P394" s="1" t="s">
        <v>161</v>
      </c>
      <c r="Q394" s="1" t="s">
        <v>130</v>
      </c>
      <c r="R394" s="2" t="s">
        <v>131</v>
      </c>
      <c r="S394" s="2" t="s">
        <v>131</v>
      </c>
      <c r="T394" s="55" t="s">
        <v>132</v>
      </c>
      <c r="U394" s="54"/>
    </row>
    <row r="395" spans="1:21" ht="93.6" x14ac:dyDescent="0.3">
      <c r="A395" s="1" t="s">
        <v>882</v>
      </c>
      <c r="B395" s="13">
        <v>46218</v>
      </c>
      <c r="C395" s="1" t="s">
        <v>148</v>
      </c>
      <c r="D395" s="8" t="s">
        <v>148</v>
      </c>
      <c r="E395" s="62" t="s">
        <v>24</v>
      </c>
      <c r="F395" s="24" t="s">
        <v>831</v>
      </c>
      <c r="G395" s="2" t="s">
        <v>832</v>
      </c>
      <c r="H395" s="2" t="s">
        <v>833</v>
      </c>
      <c r="I395" s="58" t="s">
        <v>38</v>
      </c>
      <c r="J395" s="9" t="s">
        <v>159</v>
      </c>
      <c r="K395" s="1" t="s">
        <v>148</v>
      </c>
      <c r="L395" s="58">
        <v>46251</v>
      </c>
      <c r="M395" s="58">
        <v>46224</v>
      </c>
      <c r="N395" s="60">
        <f>Table1[[#This Row],[Completion Date]]-Table1[[#This Row],[Date Logged]]</f>
        <v>6</v>
      </c>
      <c r="O395" s="58" t="s">
        <v>58</v>
      </c>
      <c r="P395" s="1" t="s">
        <v>161</v>
      </c>
      <c r="Q395" s="1" t="s">
        <v>130</v>
      </c>
      <c r="R395" s="2" t="s">
        <v>131</v>
      </c>
      <c r="S395" s="2" t="s">
        <v>131</v>
      </c>
      <c r="T395" s="55" t="s">
        <v>132</v>
      </c>
      <c r="U395" s="54"/>
    </row>
    <row r="396" spans="1:21" ht="93.6" x14ac:dyDescent="0.3">
      <c r="A396" s="1" t="s">
        <v>869</v>
      </c>
      <c r="B396" s="13">
        <v>46223</v>
      </c>
      <c r="C396" s="1" t="s">
        <v>135</v>
      </c>
      <c r="D396" s="8" t="s">
        <v>135</v>
      </c>
      <c r="E396" s="8" t="s">
        <v>24</v>
      </c>
      <c r="F396" s="24" t="s">
        <v>866</v>
      </c>
      <c r="G396" s="2" t="s">
        <v>867</v>
      </c>
      <c r="H396" s="2" t="s">
        <v>868</v>
      </c>
      <c r="I396" s="13" t="s">
        <v>38</v>
      </c>
      <c r="J396" s="9" t="s">
        <v>822</v>
      </c>
      <c r="K396" s="1" t="s">
        <v>135</v>
      </c>
      <c r="L396" s="7">
        <v>46223</v>
      </c>
      <c r="M396" s="13">
        <v>46223</v>
      </c>
      <c r="N396" s="20">
        <f>Table1[[#This Row],[Completion Date]]-Table1[[#This Row],[Date Logged]]</f>
        <v>0</v>
      </c>
      <c r="O396" s="13" t="s">
        <v>59</v>
      </c>
      <c r="P396" s="12"/>
      <c r="Q396" s="12"/>
      <c r="R396" s="15"/>
      <c r="S396" s="15"/>
      <c r="T396" s="15" t="s">
        <v>70</v>
      </c>
      <c r="U396" s="12"/>
    </row>
    <row r="397" spans="1:21" ht="93.6" x14ac:dyDescent="0.3">
      <c r="A397" s="1" t="s">
        <v>870</v>
      </c>
      <c r="B397" s="13">
        <v>46223</v>
      </c>
      <c r="C397" s="1" t="s">
        <v>135</v>
      </c>
      <c r="D397" s="8" t="s">
        <v>135</v>
      </c>
      <c r="E397" s="8" t="s">
        <v>24</v>
      </c>
      <c r="F397" s="24" t="s">
        <v>866</v>
      </c>
      <c r="G397" s="2" t="s">
        <v>867</v>
      </c>
      <c r="H397" s="2" t="s">
        <v>868</v>
      </c>
      <c r="I397" s="13" t="s">
        <v>38</v>
      </c>
      <c r="J397" s="9" t="s">
        <v>756</v>
      </c>
      <c r="K397" s="1" t="s">
        <v>41</v>
      </c>
      <c r="L397" s="7">
        <v>46254</v>
      </c>
      <c r="M397" s="13"/>
      <c r="N397" s="20">
        <f>Table1[[#This Row],[Completion Date]]-Table1[[#This Row],[Date Logged]]</f>
        <v>-46223</v>
      </c>
      <c r="O397" s="13" t="s">
        <v>59</v>
      </c>
      <c r="P397" s="12"/>
      <c r="Q397" s="12"/>
      <c r="R397" s="15"/>
      <c r="S397" s="15"/>
      <c r="T397" s="15" t="s">
        <v>70</v>
      </c>
      <c r="U397" s="12"/>
    </row>
    <row r="398" spans="1:21" ht="93.6" x14ac:dyDescent="0.3">
      <c r="A398" s="1" t="s">
        <v>871</v>
      </c>
      <c r="B398" s="13">
        <v>46223</v>
      </c>
      <c r="C398" s="1" t="s">
        <v>135</v>
      </c>
      <c r="D398" s="8" t="s">
        <v>135</v>
      </c>
      <c r="E398" s="8" t="s">
        <v>24</v>
      </c>
      <c r="F398" s="24" t="s">
        <v>866</v>
      </c>
      <c r="G398" s="2" t="s">
        <v>867</v>
      </c>
      <c r="H398" s="2" t="s">
        <v>868</v>
      </c>
      <c r="I398" s="13" t="s">
        <v>38</v>
      </c>
      <c r="J398" s="9" t="s">
        <v>295</v>
      </c>
      <c r="K398" s="1" t="s">
        <v>42</v>
      </c>
      <c r="L398" s="7">
        <v>46254</v>
      </c>
      <c r="M398" s="13"/>
      <c r="N398" s="20">
        <f>Table1[[#This Row],[Completion Date]]-Table1[[#This Row],[Date Logged]]</f>
        <v>-46223</v>
      </c>
      <c r="O398" s="13" t="s">
        <v>59</v>
      </c>
      <c r="P398" s="12"/>
      <c r="Q398" s="12"/>
      <c r="R398" s="15"/>
      <c r="S398" s="15"/>
      <c r="T398" s="15" t="s">
        <v>70</v>
      </c>
      <c r="U398" s="12"/>
    </row>
    <row r="399" spans="1:21" ht="93.6" x14ac:dyDescent="0.3">
      <c r="A399" s="1" t="s">
        <v>872</v>
      </c>
      <c r="B399" s="13">
        <v>46223</v>
      </c>
      <c r="C399" s="1" t="s">
        <v>135</v>
      </c>
      <c r="D399" s="8" t="s">
        <v>135</v>
      </c>
      <c r="E399" s="8" t="s">
        <v>24</v>
      </c>
      <c r="F399" s="24" t="s">
        <v>866</v>
      </c>
      <c r="G399" s="2" t="s">
        <v>867</v>
      </c>
      <c r="H399" s="2" t="s">
        <v>868</v>
      </c>
      <c r="I399" s="13" t="s">
        <v>38</v>
      </c>
      <c r="J399" s="9" t="s">
        <v>296</v>
      </c>
      <c r="K399" s="1" t="s">
        <v>42</v>
      </c>
      <c r="L399" s="7">
        <v>46254</v>
      </c>
      <c r="M399" s="13"/>
      <c r="N399" s="20">
        <f>Table1[[#This Row],[Completion Date]]-Table1[[#This Row],[Date Logged]]</f>
        <v>-46223</v>
      </c>
      <c r="O399" s="13" t="s">
        <v>59</v>
      </c>
      <c r="P399" s="12"/>
      <c r="Q399" s="12"/>
      <c r="R399" s="15"/>
      <c r="S399" s="15"/>
      <c r="T399" s="15" t="s">
        <v>70</v>
      </c>
      <c r="U399" s="12"/>
    </row>
    <row r="400" spans="1:21" ht="93.6" x14ac:dyDescent="0.3">
      <c r="A400" s="1" t="s">
        <v>873</v>
      </c>
      <c r="B400" s="13">
        <v>46223</v>
      </c>
      <c r="C400" s="1" t="s">
        <v>135</v>
      </c>
      <c r="D400" s="8" t="s">
        <v>135</v>
      </c>
      <c r="E400" s="8" t="s">
        <v>24</v>
      </c>
      <c r="F400" s="24" t="s">
        <v>866</v>
      </c>
      <c r="G400" s="2" t="s">
        <v>867</v>
      </c>
      <c r="H400" s="2" t="s">
        <v>868</v>
      </c>
      <c r="I400" s="13" t="s">
        <v>38</v>
      </c>
      <c r="J400" s="9" t="s">
        <v>297</v>
      </c>
      <c r="K400" s="1" t="s">
        <v>42</v>
      </c>
      <c r="L400" s="7">
        <v>46254</v>
      </c>
      <c r="M400" s="13"/>
      <c r="N400" s="20">
        <f>Table1[[#This Row],[Completion Date]]-Table1[[#This Row],[Date Logged]]</f>
        <v>-46223</v>
      </c>
      <c r="O400" s="13" t="s">
        <v>59</v>
      </c>
      <c r="P400" s="12"/>
      <c r="Q400" s="12"/>
      <c r="R400" s="15"/>
      <c r="S400" s="15"/>
      <c r="T400" s="15" t="s">
        <v>70</v>
      </c>
      <c r="U400" s="12"/>
    </row>
    <row r="401" spans="1:21" ht="93.6" x14ac:dyDescent="0.3">
      <c r="A401" s="1" t="s">
        <v>874</v>
      </c>
      <c r="B401" s="13">
        <v>46223</v>
      </c>
      <c r="C401" s="1" t="s">
        <v>135</v>
      </c>
      <c r="D401" s="8" t="s">
        <v>135</v>
      </c>
      <c r="E401" s="8" t="s">
        <v>24</v>
      </c>
      <c r="F401" s="24" t="s">
        <v>866</v>
      </c>
      <c r="G401" s="2" t="s">
        <v>867</v>
      </c>
      <c r="H401" s="2" t="s">
        <v>868</v>
      </c>
      <c r="I401" s="13" t="s">
        <v>38</v>
      </c>
      <c r="J401" s="9" t="s">
        <v>755</v>
      </c>
      <c r="K401" s="1" t="s">
        <v>42</v>
      </c>
      <c r="L401" s="7">
        <v>46254</v>
      </c>
      <c r="M401" s="13"/>
      <c r="N401" s="20">
        <f>Table1[[#This Row],[Completion Date]]-Table1[[#This Row],[Date Logged]]</f>
        <v>-46223</v>
      </c>
      <c r="O401" s="13" t="s">
        <v>59</v>
      </c>
      <c r="P401" s="12"/>
      <c r="Q401" s="12"/>
      <c r="R401" s="15"/>
      <c r="S401" s="15"/>
      <c r="T401" s="15" t="s">
        <v>70</v>
      </c>
      <c r="U401" s="12"/>
    </row>
    <row r="402" spans="1:21" ht="93.6" x14ac:dyDescent="0.3">
      <c r="A402" s="1" t="s">
        <v>875</v>
      </c>
      <c r="B402" s="13">
        <v>46223</v>
      </c>
      <c r="C402" s="1" t="s">
        <v>135</v>
      </c>
      <c r="D402" s="8" t="s">
        <v>135</v>
      </c>
      <c r="E402" s="8" t="s">
        <v>24</v>
      </c>
      <c r="F402" s="24" t="s">
        <v>866</v>
      </c>
      <c r="G402" s="2" t="s">
        <v>867</v>
      </c>
      <c r="H402" s="2" t="s">
        <v>868</v>
      </c>
      <c r="I402" s="13" t="s">
        <v>38</v>
      </c>
      <c r="J402" s="9" t="s">
        <v>518</v>
      </c>
      <c r="K402" s="1" t="s">
        <v>42</v>
      </c>
      <c r="L402" s="7">
        <v>46254</v>
      </c>
      <c r="M402" s="13"/>
      <c r="N402" s="20">
        <f>Table1[[#This Row],[Completion Date]]-Table1[[#This Row],[Date Logged]]</f>
        <v>-46223</v>
      </c>
      <c r="O402" s="13" t="s">
        <v>59</v>
      </c>
      <c r="P402" s="12"/>
      <c r="Q402" s="12"/>
      <c r="R402" s="15"/>
      <c r="S402" s="15"/>
      <c r="T402" s="15" t="s">
        <v>70</v>
      </c>
      <c r="U402" s="12"/>
    </row>
    <row r="403" spans="1:21" ht="78" x14ac:dyDescent="0.3">
      <c r="A403" s="1" t="s">
        <v>899</v>
      </c>
      <c r="B403" s="13">
        <v>46230</v>
      </c>
      <c r="C403" s="1" t="s">
        <v>23</v>
      </c>
      <c r="D403" s="1" t="s">
        <v>148</v>
      </c>
      <c r="E403" s="8" t="s">
        <v>24</v>
      </c>
      <c r="F403" s="24" t="s">
        <v>906</v>
      </c>
      <c r="G403" s="2" t="s">
        <v>907</v>
      </c>
      <c r="H403" s="2" t="s">
        <v>908</v>
      </c>
      <c r="I403" s="13" t="s">
        <v>38</v>
      </c>
      <c r="J403" s="9" t="s">
        <v>909</v>
      </c>
      <c r="K403" s="1" t="s">
        <v>148</v>
      </c>
      <c r="L403" s="7">
        <v>46230</v>
      </c>
      <c r="M403" s="13">
        <v>46230</v>
      </c>
      <c r="N403" s="20">
        <f>Table1[[#This Row],[Completion Date]]-Table1[[#This Row],[Date Logged]]</f>
        <v>0</v>
      </c>
      <c r="O403" s="13" t="s">
        <v>58</v>
      </c>
      <c r="P403" s="1" t="s">
        <v>161</v>
      </c>
      <c r="Q403" s="1" t="s">
        <v>130</v>
      </c>
      <c r="R403" s="2" t="s">
        <v>131</v>
      </c>
      <c r="S403" s="2" t="s">
        <v>131</v>
      </c>
      <c r="T403" s="15" t="s">
        <v>132</v>
      </c>
      <c r="U403" s="12"/>
    </row>
    <row r="404" spans="1:21" ht="78" x14ac:dyDescent="0.3">
      <c r="A404" s="1" t="s">
        <v>900</v>
      </c>
      <c r="B404" s="13">
        <v>46230</v>
      </c>
      <c r="C404" s="1" t="s">
        <v>23</v>
      </c>
      <c r="D404" s="1" t="s">
        <v>148</v>
      </c>
      <c r="E404" s="62" t="s">
        <v>24</v>
      </c>
      <c r="F404" s="24" t="s">
        <v>906</v>
      </c>
      <c r="G404" s="2" t="s">
        <v>907</v>
      </c>
      <c r="H404" s="2" t="s">
        <v>908</v>
      </c>
      <c r="I404" s="58" t="s">
        <v>38</v>
      </c>
      <c r="J404" s="9" t="s">
        <v>32</v>
      </c>
      <c r="K404" s="1" t="s">
        <v>41</v>
      </c>
      <c r="L404" s="7">
        <v>46261</v>
      </c>
      <c r="M404" s="13">
        <v>46230</v>
      </c>
      <c r="N404" s="20">
        <f>Table1[[#This Row],[Completion Date]]-Table1[[#This Row],[Date Logged]]</f>
        <v>0</v>
      </c>
      <c r="O404" s="13" t="s">
        <v>58</v>
      </c>
      <c r="P404" s="1" t="s">
        <v>161</v>
      </c>
      <c r="Q404" s="1" t="s">
        <v>130</v>
      </c>
      <c r="R404" s="2" t="s">
        <v>131</v>
      </c>
      <c r="S404" s="2" t="s">
        <v>131</v>
      </c>
      <c r="T404" s="15" t="s">
        <v>132</v>
      </c>
      <c r="U404" s="12"/>
    </row>
    <row r="405" spans="1:21" ht="78" x14ac:dyDescent="0.3">
      <c r="A405" s="1" t="s">
        <v>901</v>
      </c>
      <c r="B405" s="13">
        <v>46230</v>
      </c>
      <c r="C405" s="1" t="s">
        <v>23</v>
      </c>
      <c r="D405" s="1" t="s">
        <v>148</v>
      </c>
      <c r="E405" s="62" t="s">
        <v>24</v>
      </c>
      <c r="F405" s="24" t="s">
        <v>906</v>
      </c>
      <c r="G405" s="2" t="s">
        <v>907</v>
      </c>
      <c r="H405" s="2" t="s">
        <v>908</v>
      </c>
      <c r="I405" s="58" t="s">
        <v>38</v>
      </c>
      <c r="J405" s="9" t="s">
        <v>158</v>
      </c>
      <c r="K405" s="1" t="s">
        <v>148</v>
      </c>
      <c r="L405" s="7">
        <v>46261</v>
      </c>
      <c r="M405" s="13">
        <v>46234</v>
      </c>
      <c r="N405" s="20">
        <f>Table1[[#This Row],[Completion Date]]-Table1[[#This Row],[Date Logged]]</f>
        <v>4</v>
      </c>
      <c r="O405" s="13" t="s">
        <v>58</v>
      </c>
      <c r="P405" s="1" t="s">
        <v>161</v>
      </c>
      <c r="Q405" s="1" t="s">
        <v>130</v>
      </c>
      <c r="R405" s="2" t="s">
        <v>131</v>
      </c>
      <c r="S405" s="2" t="s">
        <v>131</v>
      </c>
      <c r="T405" s="15" t="s">
        <v>132</v>
      </c>
      <c r="U405" s="12"/>
    </row>
    <row r="406" spans="1:21" ht="78" x14ac:dyDescent="0.3">
      <c r="A406" s="1" t="s">
        <v>902</v>
      </c>
      <c r="B406" s="13">
        <v>46230</v>
      </c>
      <c r="C406" s="1" t="s">
        <v>23</v>
      </c>
      <c r="D406" s="1" t="s">
        <v>148</v>
      </c>
      <c r="E406" s="62" t="s">
        <v>24</v>
      </c>
      <c r="F406" s="24" t="s">
        <v>906</v>
      </c>
      <c r="G406" s="2" t="s">
        <v>907</v>
      </c>
      <c r="H406" s="2" t="s">
        <v>908</v>
      </c>
      <c r="I406" s="58" t="s">
        <v>38</v>
      </c>
      <c r="J406" s="9" t="s">
        <v>34</v>
      </c>
      <c r="K406" s="1" t="s">
        <v>42</v>
      </c>
      <c r="L406" s="7">
        <v>46261</v>
      </c>
      <c r="M406" s="13">
        <v>46234</v>
      </c>
      <c r="N406" s="20">
        <f>Table1[[#This Row],[Completion Date]]-Table1[[#This Row],[Date Logged]]</f>
        <v>4</v>
      </c>
      <c r="O406" s="13" t="s">
        <v>58</v>
      </c>
      <c r="P406" s="1" t="s">
        <v>161</v>
      </c>
      <c r="Q406" s="1" t="s">
        <v>130</v>
      </c>
      <c r="R406" s="2" t="s">
        <v>131</v>
      </c>
      <c r="S406" s="2" t="s">
        <v>131</v>
      </c>
      <c r="T406" s="15" t="s">
        <v>132</v>
      </c>
      <c r="U406" s="12"/>
    </row>
    <row r="407" spans="1:21" ht="78" x14ac:dyDescent="0.3">
      <c r="A407" s="1" t="s">
        <v>903</v>
      </c>
      <c r="B407" s="13">
        <v>46230</v>
      </c>
      <c r="C407" s="1" t="s">
        <v>23</v>
      </c>
      <c r="D407" s="1" t="s">
        <v>148</v>
      </c>
      <c r="E407" s="62" t="s">
        <v>24</v>
      </c>
      <c r="F407" s="24" t="s">
        <v>906</v>
      </c>
      <c r="G407" s="2" t="s">
        <v>907</v>
      </c>
      <c r="H407" s="2" t="s">
        <v>908</v>
      </c>
      <c r="I407" s="58" t="s">
        <v>38</v>
      </c>
      <c r="J407" s="9" t="s">
        <v>35</v>
      </c>
      <c r="K407" s="1" t="s">
        <v>148</v>
      </c>
      <c r="L407" s="7">
        <v>46261</v>
      </c>
      <c r="M407" s="13">
        <v>46237</v>
      </c>
      <c r="N407" s="20">
        <f>Table1[[#This Row],[Completion Date]]-Table1[[#This Row],[Date Logged]]</f>
        <v>7</v>
      </c>
      <c r="O407" s="13" t="s">
        <v>58</v>
      </c>
      <c r="P407" s="1" t="s">
        <v>161</v>
      </c>
      <c r="Q407" s="1" t="s">
        <v>130</v>
      </c>
      <c r="R407" s="2" t="s">
        <v>131</v>
      </c>
      <c r="S407" s="2" t="s">
        <v>131</v>
      </c>
      <c r="T407" s="15" t="s">
        <v>132</v>
      </c>
      <c r="U407" s="12"/>
    </row>
    <row r="408" spans="1:21" ht="78" x14ac:dyDescent="0.3">
      <c r="A408" s="1" t="s">
        <v>904</v>
      </c>
      <c r="B408" s="13">
        <v>46230</v>
      </c>
      <c r="C408" s="1" t="s">
        <v>23</v>
      </c>
      <c r="D408" s="1" t="s">
        <v>148</v>
      </c>
      <c r="E408" s="62" t="s">
        <v>24</v>
      </c>
      <c r="F408" s="24" t="s">
        <v>906</v>
      </c>
      <c r="G408" s="2" t="s">
        <v>907</v>
      </c>
      <c r="H408" s="2" t="s">
        <v>908</v>
      </c>
      <c r="I408" s="58" t="s">
        <v>38</v>
      </c>
      <c r="J408" s="9" t="s">
        <v>399</v>
      </c>
      <c r="K408" s="1" t="s">
        <v>148</v>
      </c>
      <c r="L408" s="7">
        <v>46261</v>
      </c>
      <c r="M408" s="13">
        <v>46237</v>
      </c>
      <c r="N408" s="20">
        <f>Table1[[#This Row],[Completion Date]]-Table1[[#This Row],[Date Logged]]</f>
        <v>7</v>
      </c>
      <c r="O408" s="13" t="s">
        <v>58</v>
      </c>
      <c r="P408" s="1" t="s">
        <v>161</v>
      </c>
      <c r="Q408" s="1" t="s">
        <v>130</v>
      </c>
      <c r="R408" s="2" t="s">
        <v>131</v>
      </c>
      <c r="S408" s="2" t="s">
        <v>131</v>
      </c>
      <c r="T408" s="15" t="s">
        <v>132</v>
      </c>
      <c r="U408" s="12"/>
    </row>
    <row r="409" spans="1:21" ht="78" x14ac:dyDescent="0.3">
      <c r="A409" s="1" t="s">
        <v>905</v>
      </c>
      <c r="B409" s="13">
        <v>46230</v>
      </c>
      <c r="C409" s="1" t="s">
        <v>23</v>
      </c>
      <c r="D409" s="1" t="s">
        <v>148</v>
      </c>
      <c r="E409" s="62" t="s">
        <v>24</v>
      </c>
      <c r="F409" s="24" t="s">
        <v>906</v>
      </c>
      <c r="G409" s="2" t="s">
        <v>907</v>
      </c>
      <c r="H409" s="2" t="s">
        <v>908</v>
      </c>
      <c r="I409" s="58" t="s">
        <v>38</v>
      </c>
      <c r="J409" s="9" t="s">
        <v>159</v>
      </c>
      <c r="K409" s="1" t="s">
        <v>148</v>
      </c>
      <c r="L409" s="7">
        <v>46261</v>
      </c>
      <c r="M409" s="13">
        <v>46237</v>
      </c>
      <c r="N409" s="20">
        <f>Table1[[#This Row],[Completion Date]]-Table1[[#This Row],[Date Logged]]</f>
        <v>7</v>
      </c>
      <c r="O409" s="13" t="s">
        <v>58</v>
      </c>
      <c r="P409" s="1" t="s">
        <v>161</v>
      </c>
      <c r="Q409" s="1" t="s">
        <v>130</v>
      </c>
      <c r="R409" s="2" t="s">
        <v>131</v>
      </c>
      <c r="S409" s="2" t="s">
        <v>131</v>
      </c>
      <c r="T409" s="15" t="s">
        <v>132</v>
      </c>
      <c r="U409" s="12"/>
    </row>
    <row r="410" spans="1:21" ht="78" x14ac:dyDescent="0.3">
      <c r="A410" s="1" t="s">
        <v>918</v>
      </c>
      <c r="B410" s="13">
        <v>46237</v>
      </c>
      <c r="C410" s="1" t="s">
        <v>148</v>
      </c>
      <c r="D410" s="7" t="s">
        <v>148</v>
      </c>
      <c r="E410" s="8" t="s">
        <v>24</v>
      </c>
      <c r="F410" s="24" t="s">
        <v>912</v>
      </c>
      <c r="G410" s="2" t="s">
        <v>907</v>
      </c>
      <c r="H410" s="2" t="s">
        <v>403</v>
      </c>
      <c r="I410" s="13" t="s">
        <v>38</v>
      </c>
      <c r="J410" s="9" t="s">
        <v>925</v>
      </c>
      <c r="K410" s="1" t="s">
        <v>148</v>
      </c>
      <c r="L410" s="58">
        <v>46237</v>
      </c>
      <c r="M410" s="13">
        <v>46237</v>
      </c>
      <c r="N410" s="20">
        <f>Table1[[#This Row],[Completion Date]]-Table1[[#This Row],[Date Logged]]</f>
        <v>0</v>
      </c>
      <c r="O410" s="13" t="s">
        <v>58</v>
      </c>
      <c r="P410" s="1" t="s">
        <v>161</v>
      </c>
      <c r="Q410" s="1" t="s">
        <v>130</v>
      </c>
      <c r="R410" s="2" t="s">
        <v>131</v>
      </c>
      <c r="S410" s="2" t="s">
        <v>131</v>
      </c>
      <c r="T410" s="15" t="s">
        <v>132</v>
      </c>
      <c r="U410" s="12"/>
    </row>
    <row r="411" spans="1:21" ht="78" x14ac:dyDescent="0.3">
      <c r="A411" s="1" t="s">
        <v>919</v>
      </c>
      <c r="B411" s="13">
        <v>46237</v>
      </c>
      <c r="C411" s="1" t="s">
        <v>148</v>
      </c>
      <c r="D411" s="1" t="s">
        <v>148</v>
      </c>
      <c r="E411" s="8" t="s">
        <v>24</v>
      </c>
      <c r="F411" s="24" t="s">
        <v>912</v>
      </c>
      <c r="G411" s="2" t="s">
        <v>907</v>
      </c>
      <c r="H411" s="2" t="s">
        <v>403</v>
      </c>
      <c r="I411" s="13" t="s">
        <v>38</v>
      </c>
      <c r="J411" s="9" t="s">
        <v>32</v>
      </c>
      <c r="K411" s="1" t="s">
        <v>41</v>
      </c>
      <c r="L411" s="58">
        <v>46268</v>
      </c>
      <c r="M411" s="13">
        <v>46240</v>
      </c>
      <c r="N411" s="19">
        <f>Table1[[#This Row],[Completion Date]]-Table1[[#This Row],[Date Logged]]</f>
        <v>3</v>
      </c>
      <c r="O411" s="7" t="s">
        <v>58</v>
      </c>
      <c r="P411" s="1" t="s">
        <v>161</v>
      </c>
      <c r="Q411" s="1" t="s">
        <v>130</v>
      </c>
      <c r="R411" s="2" t="s">
        <v>131</v>
      </c>
      <c r="S411" s="2" t="s">
        <v>131</v>
      </c>
      <c r="T411" s="2" t="s">
        <v>132</v>
      </c>
      <c r="U411" s="1"/>
    </row>
    <row r="412" spans="1:21" ht="78" x14ac:dyDescent="0.3">
      <c r="A412" s="1" t="s">
        <v>920</v>
      </c>
      <c r="B412" s="13">
        <v>46237</v>
      </c>
      <c r="C412" s="1" t="s">
        <v>148</v>
      </c>
      <c r="D412" s="1" t="s">
        <v>148</v>
      </c>
      <c r="E412" s="8" t="s">
        <v>24</v>
      </c>
      <c r="F412" s="24" t="s">
        <v>912</v>
      </c>
      <c r="G412" s="2" t="s">
        <v>907</v>
      </c>
      <c r="H412" s="2" t="s">
        <v>403</v>
      </c>
      <c r="I412" s="13" t="s">
        <v>38</v>
      </c>
      <c r="J412" s="9" t="s">
        <v>158</v>
      </c>
      <c r="K412" s="1" t="s">
        <v>148</v>
      </c>
      <c r="L412" s="58">
        <v>46268</v>
      </c>
      <c r="M412" s="13">
        <v>46240</v>
      </c>
      <c r="N412" s="19">
        <f>Table1[[#This Row],[Completion Date]]-Table1[[#This Row],[Date Logged]]</f>
        <v>3</v>
      </c>
      <c r="O412" s="7" t="s">
        <v>58</v>
      </c>
      <c r="P412" s="1" t="s">
        <v>161</v>
      </c>
      <c r="Q412" s="1" t="s">
        <v>130</v>
      </c>
      <c r="R412" s="2" t="s">
        <v>131</v>
      </c>
      <c r="S412" s="2" t="s">
        <v>131</v>
      </c>
      <c r="T412" s="2" t="s">
        <v>132</v>
      </c>
      <c r="U412" s="1"/>
    </row>
    <row r="413" spans="1:21" ht="78" x14ac:dyDescent="0.3">
      <c r="A413" s="1" t="s">
        <v>921</v>
      </c>
      <c r="B413" s="13">
        <v>46237</v>
      </c>
      <c r="C413" s="1" t="s">
        <v>148</v>
      </c>
      <c r="D413" s="1" t="s">
        <v>148</v>
      </c>
      <c r="E413" s="8" t="s">
        <v>24</v>
      </c>
      <c r="F413" s="24" t="s">
        <v>912</v>
      </c>
      <c r="G413" s="2" t="s">
        <v>907</v>
      </c>
      <c r="H413" s="2" t="s">
        <v>403</v>
      </c>
      <c r="I413" s="13" t="s">
        <v>38</v>
      </c>
      <c r="J413" s="9" t="s">
        <v>34</v>
      </c>
      <c r="K413" s="1" t="s">
        <v>42</v>
      </c>
      <c r="L413" s="58">
        <v>46268</v>
      </c>
      <c r="M413" s="13">
        <v>46241</v>
      </c>
      <c r="N413" s="19">
        <f>Table1[[#This Row],[Completion Date]]-Table1[[#This Row],[Date Logged]]</f>
        <v>4</v>
      </c>
      <c r="O413" s="7" t="s">
        <v>58</v>
      </c>
      <c r="P413" s="1" t="s">
        <v>161</v>
      </c>
      <c r="Q413" s="1" t="s">
        <v>130</v>
      </c>
      <c r="R413" s="2" t="s">
        <v>131</v>
      </c>
      <c r="S413" s="2" t="s">
        <v>131</v>
      </c>
      <c r="T413" s="2" t="s">
        <v>132</v>
      </c>
      <c r="U413" s="1"/>
    </row>
    <row r="414" spans="1:21" ht="78" x14ac:dyDescent="0.3">
      <c r="A414" s="1" t="s">
        <v>922</v>
      </c>
      <c r="B414" s="13">
        <v>46237</v>
      </c>
      <c r="C414" s="1" t="s">
        <v>148</v>
      </c>
      <c r="D414" s="1" t="s">
        <v>148</v>
      </c>
      <c r="E414" s="8" t="s">
        <v>24</v>
      </c>
      <c r="F414" s="24" t="s">
        <v>912</v>
      </c>
      <c r="G414" s="2" t="s">
        <v>907</v>
      </c>
      <c r="H414" s="2" t="s">
        <v>403</v>
      </c>
      <c r="I414" s="13" t="s">
        <v>38</v>
      </c>
      <c r="J414" s="9" t="s">
        <v>35</v>
      </c>
      <c r="K414" s="1" t="s">
        <v>148</v>
      </c>
      <c r="L414" s="58">
        <v>46268</v>
      </c>
      <c r="M414" s="13">
        <v>46241</v>
      </c>
      <c r="N414" s="19">
        <f>Table1[[#This Row],[Completion Date]]-Table1[[#This Row],[Date Logged]]</f>
        <v>4</v>
      </c>
      <c r="O414" s="7" t="s">
        <v>58</v>
      </c>
      <c r="P414" s="1" t="s">
        <v>161</v>
      </c>
      <c r="Q414" s="1" t="s">
        <v>130</v>
      </c>
      <c r="R414" s="2" t="s">
        <v>131</v>
      </c>
      <c r="S414" s="2" t="s">
        <v>131</v>
      </c>
      <c r="T414" s="2" t="s">
        <v>132</v>
      </c>
      <c r="U414" s="1"/>
    </row>
    <row r="415" spans="1:21" ht="78" x14ac:dyDescent="0.3">
      <c r="A415" s="1" t="s">
        <v>923</v>
      </c>
      <c r="B415" s="13">
        <v>46237</v>
      </c>
      <c r="C415" s="1" t="s">
        <v>148</v>
      </c>
      <c r="D415" s="1" t="s">
        <v>148</v>
      </c>
      <c r="E415" s="8" t="s">
        <v>24</v>
      </c>
      <c r="F415" s="24" t="s">
        <v>912</v>
      </c>
      <c r="G415" s="2" t="s">
        <v>907</v>
      </c>
      <c r="H415" s="2" t="s">
        <v>403</v>
      </c>
      <c r="I415" s="13" t="s">
        <v>38</v>
      </c>
      <c r="J415" s="9" t="s">
        <v>460</v>
      </c>
      <c r="K415" s="1" t="s">
        <v>148</v>
      </c>
      <c r="L415" s="58">
        <v>46268</v>
      </c>
      <c r="M415" s="13">
        <v>46241</v>
      </c>
      <c r="N415" s="19">
        <f>Table1[[#This Row],[Completion Date]]-Table1[[#This Row],[Date Logged]]</f>
        <v>4</v>
      </c>
      <c r="O415" s="7" t="s">
        <v>58</v>
      </c>
      <c r="P415" s="1" t="s">
        <v>161</v>
      </c>
      <c r="Q415" s="1" t="s">
        <v>130</v>
      </c>
      <c r="R415" s="2" t="s">
        <v>131</v>
      </c>
      <c r="S415" s="2" t="s">
        <v>131</v>
      </c>
      <c r="T415" s="2" t="s">
        <v>132</v>
      </c>
      <c r="U415" s="1"/>
    </row>
    <row r="416" spans="1:21" ht="78" x14ac:dyDescent="0.3">
      <c r="A416" s="1" t="s">
        <v>924</v>
      </c>
      <c r="B416" s="13">
        <v>46237</v>
      </c>
      <c r="C416" s="1" t="s">
        <v>148</v>
      </c>
      <c r="D416" s="1" t="s">
        <v>148</v>
      </c>
      <c r="E416" s="8" t="s">
        <v>24</v>
      </c>
      <c r="F416" s="24" t="s">
        <v>912</v>
      </c>
      <c r="G416" s="2" t="s">
        <v>907</v>
      </c>
      <c r="H416" s="2" t="s">
        <v>403</v>
      </c>
      <c r="I416" s="13" t="s">
        <v>38</v>
      </c>
      <c r="J416" s="9" t="s">
        <v>159</v>
      </c>
      <c r="K416" s="1" t="s">
        <v>148</v>
      </c>
      <c r="L416" s="58">
        <v>46268</v>
      </c>
      <c r="M416" s="13">
        <v>46241</v>
      </c>
      <c r="N416" s="19">
        <f>Table1[[#This Row],[Completion Date]]-Table1[[#This Row],[Date Logged]]</f>
        <v>4</v>
      </c>
      <c r="O416" s="7" t="s">
        <v>58</v>
      </c>
      <c r="P416" s="1" t="s">
        <v>161</v>
      </c>
      <c r="Q416" s="1" t="s">
        <v>130</v>
      </c>
      <c r="R416" s="2" t="s">
        <v>131</v>
      </c>
      <c r="S416" s="2" t="s">
        <v>131</v>
      </c>
      <c r="T416" s="2" t="s">
        <v>132</v>
      </c>
      <c r="U416" s="1"/>
    </row>
    <row r="417" spans="1:21" ht="99" customHeight="1" x14ac:dyDescent="0.3">
      <c r="A417" s="1" t="s">
        <v>915</v>
      </c>
      <c r="B417" s="13">
        <v>46239</v>
      </c>
      <c r="C417" s="1" t="s">
        <v>148</v>
      </c>
      <c r="D417" s="7" t="s">
        <v>148</v>
      </c>
      <c r="E417" s="8" t="s">
        <v>24</v>
      </c>
      <c r="F417" s="24" t="s">
        <v>938</v>
      </c>
      <c r="G417" s="2" t="s">
        <v>916</v>
      </c>
      <c r="H417" s="2" t="s">
        <v>917</v>
      </c>
      <c r="I417" s="13" t="s">
        <v>38</v>
      </c>
      <c r="J417" s="9"/>
      <c r="K417" s="1" t="s">
        <v>148</v>
      </c>
      <c r="L417" s="7"/>
      <c r="M417" s="13"/>
      <c r="N417" s="20">
        <f>Table1[[#This Row],[Completion Date]]-Table1[[#This Row],[Date Logged]]</f>
        <v>-46239</v>
      </c>
      <c r="O417" s="13" t="s">
        <v>59</v>
      </c>
      <c r="P417" s="12"/>
      <c r="Q417" s="12"/>
      <c r="R417" s="15"/>
      <c r="S417" s="15"/>
      <c r="T417" s="15" t="s">
        <v>70</v>
      </c>
      <c r="U417" s="12"/>
    </row>
    <row r="418" spans="1:21" ht="19.5" customHeight="1" x14ac:dyDescent="0.3">
      <c r="A418" s="1" t="s">
        <v>926</v>
      </c>
      <c r="B418" s="13">
        <v>46248</v>
      </c>
      <c r="C418" s="1" t="s">
        <v>23</v>
      </c>
      <c r="D418" s="8" t="s">
        <v>23</v>
      </c>
      <c r="E418" s="8" t="s">
        <v>24</v>
      </c>
      <c r="F418" s="24" t="s">
        <v>927</v>
      </c>
      <c r="G418" s="2" t="s">
        <v>928</v>
      </c>
      <c r="H418" s="2" t="s">
        <v>929</v>
      </c>
      <c r="I418" s="13"/>
      <c r="J418" s="9"/>
      <c r="K418" s="1" t="s">
        <v>428</v>
      </c>
      <c r="L418" s="7"/>
      <c r="M418" s="13"/>
      <c r="N418" s="20">
        <f>Table1[[#This Row],[Completion Date]]-Table1[[#This Row],[Date Logged]]</f>
        <v>-46248</v>
      </c>
      <c r="O418" s="13" t="s">
        <v>59</v>
      </c>
      <c r="P418" s="12"/>
      <c r="Q418" s="12"/>
      <c r="R418" s="15"/>
      <c r="S418" s="15"/>
      <c r="T418" s="15" t="s">
        <v>70</v>
      </c>
      <c r="U418" s="12"/>
    </row>
    <row r="419" spans="1:21" ht="37.5" customHeight="1" x14ac:dyDescent="0.3">
      <c r="A419" s="1" t="s">
        <v>930</v>
      </c>
      <c r="B419" s="13">
        <v>46248</v>
      </c>
      <c r="C419" s="1" t="s">
        <v>23</v>
      </c>
      <c r="D419" s="8" t="s">
        <v>45</v>
      </c>
      <c r="E419" s="8" t="s">
        <v>48</v>
      </c>
      <c r="F419" s="24" t="s">
        <v>931</v>
      </c>
      <c r="G419" s="2"/>
      <c r="H419" s="2"/>
      <c r="I419" s="13"/>
      <c r="J419" s="9"/>
      <c r="K419" s="1" t="s">
        <v>45</v>
      </c>
      <c r="L419" s="7"/>
      <c r="M419" s="13"/>
      <c r="N419" s="20">
        <f>Table1[[#This Row],[Completion Date]]-Table1[[#This Row],[Date Logged]]</f>
        <v>-46248</v>
      </c>
      <c r="O419" s="13" t="s">
        <v>59</v>
      </c>
      <c r="P419" s="12"/>
      <c r="Q419" s="12"/>
      <c r="R419" s="15"/>
      <c r="S419" s="15"/>
      <c r="T419" s="15" t="s">
        <v>70</v>
      </c>
      <c r="U419" s="12"/>
    </row>
    <row r="420" spans="1:21" ht="57.75" customHeight="1" x14ac:dyDescent="0.3">
      <c r="A420" s="1" t="s">
        <v>940</v>
      </c>
      <c r="B420" s="13">
        <v>46251</v>
      </c>
      <c r="C420" s="1" t="s">
        <v>148</v>
      </c>
      <c r="D420" s="7" t="s">
        <v>148</v>
      </c>
      <c r="E420" s="8" t="s">
        <v>24</v>
      </c>
      <c r="F420" s="24" t="s">
        <v>933</v>
      </c>
      <c r="G420" s="2" t="s">
        <v>935</v>
      </c>
      <c r="H420" s="2" t="s">
        <v>932</v>
      </c>
      <c r="I420" s="13" t="s">
        <v>38</v>
      </c>
      <c r="J420" s="9" t="s">
        <v>947</v>
      </c>
      <c r="K420" s="1" t="s">
        <v>148</v>
      </c>
      <c r="L420" s="7">
        <v>46251</v>
      </c>
      <c r="M420" s="13">
        <v>46251</v>
      </c>
      <c r="N420" s="20">
        <f>Table1[[#This Row],[Completion Date]]-Table1[[#This Row],[Date Logged]]</f>
        <v>0</v>
      </c>
      <c r="O420" s="13" t="s">
        <v>58</v>
      </c>
      <c r="P420" s="1" t="s">
        <v>161</v>
      </c>
      <c r="Q420" s="1" t="s">
        <v>130</v>
      </c>
      <c r="R420" s="2" t="s">
        <v>131</v>
      </c>
      <c r="S420" s="2" t="s">
        <v>131</v>
      </c>
      <c r="T420" s="15" t="s">
        <v>132</v>
      </c>
      <c r="U420" s="12"/>
    </row>
    <row r="421" spans="1:21" ht="57.75" customHeight="1" x14ac:dyDescent="0.3">
      <c r="A421" s="1" t="s">
        <v>941</v>
      </c>
      <c r="B421" s="13">
        <v>46251</v>
      </c>
      <c r="C421" s="1" t="s">
        <v>148</v>
      </c>
      <c r="D421" s="7" t="s">
        <v>148</v>
      </c>
      <c r="E421" s="8" t="s">
        <v>24</v>
      </c>
      <c r="F421" s="24" t="s">
        <v>933</v>
      </c>
      <c r="G421" s="2" t="s">
        <v>935</v>
      </c>
      <c r="H421" s="2" t="s">
        <v>932</v>
      </c>
      <c r="I421" s="13" t="s">
        <v>38</v>
      </c>
      <c r="J421" s="9" t="s">
        <v>32</v>
      </c>
      <c r="K421" s="1" t="s">
        <v>41</v>
      </c>
      <c r="L421" s="7">
        <v>46282</v>
      </c>
      <c r="M421" s="13">
        <v>46252</v>
      </c>
      <c r="N421" s="66">
        <f>Table1[[#This Row],[Completion Date]]-Table1[[#This Row],[Date Logged]]</f>
        <v>1</v>
      </c>
      <c r="O421" s="64" t="s">
        <v>58</v>
      </c>
      <c r="P421" s="1" t="s">
        <v>161</v>
      </c>
      <c r="Q421" s="63" t="s">
        <v>130</v>
      </c>
      <c r="R421" s="65" t="s">
        <v>131</v>
      </c>
      <c r="S421" s="65" t="s">
        <v>131</v>
      </c>
      <c r="T421" s="65" t="s">
        <v>132</v>
      </c>
      <c r="U421" s="63"/>
    </row>
    <row r="422" spans="1:21" ht="57.75" customHeight="1" x14ac:dyDescent="0.3">
      <c r="A422" s="1" t="s">
        <v>942</v>
      </c>
      <c r="B422" s="13">
        <v>46251</v>
      </c>
      <c r="C422" s="1" t="s">
        <v>148</v>
      </c>
      <c r="D422" s="7" t="s">
        <v>148</v>
      </c>
      <c r="E422" s="8" t="s">
        <v>24</v>
      </c>
      <c r="F422" s="24" t="s">
        <v>933</v>
      </c>
      <c r="G422" s="2" t="s">
        <v>935</v>
      </c>
      <c r="H422" s="2" t="s">
        <v>932</v>
      </c>
      <c r="I422" s="13" t="s">
        <v>38</v>
      </c>
      <c r="J422" s="9" t="s">
        <v>158</v>
      </c>
      <c r="K422" s="1" t="s">
        <v>148</v>
      </c>
      <c r="L422" s="7">
        <v>46282</v>
      </c>
      <c r="M422" s="13">
        <v>46252</v>
      </c>
      <c r="N422" s="66">
        <f>Table1[[#This Row],[Completion Date]]-Table1[[#This Row],[Date Logged]]</f>
        <v>1</v>
      </c>
      <c r="O422" s="64" t="s">
        <v>58</v>
      </c>
      <c r="P422" s="1" t="s">
        <v>161</v>
      </c>
      <c r="Q422" s="63" t="s">
        <v>130</v>
      </c>
      <c r="R422" s="65" t="s">
        <v>131</v>
      </c>
      <c r="S422" s="65" t="s">
        <v>131</v>
      </c>
      <c r="T422" s="65" t="s">
        <v>132</v>
      </c>
      <c r="U422" s="63"/>
    </row>
    <row r="423" spans="1:21" ht="57.75" customHeight="1" x14ac:dyDescent="0.3">
      <c r="A423" s="1" t="s">
        <v>943</v>
      </c>
      <c r="B423" s="13">
        <v>46251</v>
      </c>
      <c r="C423" s="1" t="s">
        <v>148</v>
      </c>
      <c r="D423" s="7" t="s">
        <v>148</v>
      </c>
      <c r="E423" s="8" t="s">
        <v>24</v>
      </c>
      <c r="F423" s="24" t="s">
        <v>933</v>
      </c>
      <c r="G423" s="2" t="s">
        <v>935</v>
      </c>
      <c r="H423" s="2" t="s">
        <v>932</v>
      </c>
      <c r="I423" s="13" t="s">
        <v>38</v>
      </c>
      <c r="J423" s="9" t="s">
        <v>34</v>
      </c>
      <c r="K423" s="1" t="s">
        <v>42</v>
      </c>
      <c r="L423" s="7">
        <v>46282</v>
      </c>
      <c r="M423" s="13">
        <v>46253</v>
      </c>
      <c r="N423" s="66">
        <f>Table1[[#This Row],[Completion Date]]-Table1[[#This Row],[Date Logged]]</f>
        <v>2</v>
      </c>
      <c r="O423" s="64" t="s">
        <v>58</v>
      </c>
      <c r="P423" s="1" t="s">
        <v>161</v>
      </c>
      <c r="Q423" s="63" t="s">
        <v>130</v>
      </c>
      <c r="R423" s="65" t="s">
        <v>131</v>
      </c>
      <c r="S423" s="65" t="s">
        <v>131</v>
      </c>
      <c r="T423" s="65" t="s">
        <v>132</v>
      </c>
      <c r="U423" s="63"/>
    </row>
    <row r="424" spans="1:21" ht="57.75" customHeight="1" x14ac:dyDescent="0.3">
      <c r="A424" s="1" t="s">
        <v>944</v>
      </c>
      <c r="B424" s="13">
        <v>46251</v>
      </c>
      <c r="C424" s="1" t="s">
        <v>148</v>
      </c>
      <c r="D424" s="7" t="s">
        <v>148</v>
      </c>
      <c r="E424" s="8" t="s">
        <v>24</v>
      </c>
      <c r="F424" s="24" t="s">
        <v>933</v>
      </c>
      <c r="G424" s="2" t="s">
        <v>935</v>
      </c>
      <c r="H424" s="2" t="s">
        <v>932</v>
      </c>
      <c r="I424" s="13" t="s">
        <v>38</v>
      </c>
      <c r="J424" s="9" t="s">
        <v>35</v>
      </c>
      <c r="K424" s="1" t="s">
        <v>148</v>
      </c>
      <c r="L424" s="7">
        <v>46282</v>
      </c>
      <c r="M424" s="13">
        <v>46253</v>
      </c>
      <c r="N424" s="66">
        <f>Table1[[#This Row],[Completion Date]]-Table1[[#This Row],[Date Logged]]</f>
        <v>2</v>
      </c>
      <c r="O424" s="64" t="s">
        <v>58</v>
      </c>
      <c r="P424" s="1" t="s">
        <v>161</v>
      </c>
      <c r="Q424" s="63" t="s">
        <v>130</v>
      </c>
      <c r="R424" s="65" t="s">
        <v>131</v>
      </c>
      <c r="S424" s="65" t="s">
        <v>131</v>
      </c>
      <c r="T424" s="65" t="s">
        <v>132</v>
      </c>
      <c r="U424" s="63"/>
    </row>
    <row r="425" spans="1:21" ht="57.75" customHeight="1" x14ac:dyDescent="0.3">
      <c r="A425" s="1" t="s">
        <v>945</v>
      </c>
      <c r="B425" s="13">
        <v>46251</v>
      </c>
      <c r="C425" s="1" t="s">
        <v>148</v>
      </c>
      <c r="D425" s="7" t="s">
        <v>148</v>
      </c>
      <c r="E425" s="8" t="s">
        <v>24</v>
      </c>
      <c r="F425" s="24" t="s">
        <v>933</v>
      </c>
      <c r="G425" s="2" t="s">
        <v>935</v>
      </c>
      <c r="H425" s="2" t="s">
        <v>932</v>
      </c>
      <c r="I425" s="13" t="s">
        <v>38</v>
      </c>
      <c r="J425" s="9" t="s">
        <v>460</v>
      </c>
      <c r="K425" s="1" t="s">
        <v>148</v>
      </c>
      <c r="L425" s="7">
        <v>46282</v>
      </c>
      <c r="M425" s="13">
        <v>46253</v>
      </c>
      <c r="N425" s="66">
        <f>Table1[[#This Row],[Completion Date]]-Table1[[#This Row],[Date Logged]]</f>
        <v>2</v>
      </c>
      <c r="O425" s="64" t="s">
        <v>58</v>
      </c>
      <c r="P425" s="1" t="s">
        <v>161</v>
      </c>
      <c r="Q425" s="63" t="s">
        <v>130</v>
      </c>
      <c r="R425" s="63" t="s">
        <v>131</v>
      </c>
      <c r="S425" s="65" t="s">
        <v>131</v>
      </c>
      <c r="T425" s="65" t="s">
        <v>132</v>
      </c>
      <c r="U425" s="63"/>
    </row>
    <row r="426" spans="1:21" ht="57.75" customHeight="1" x14ac:dyDescent="0.3">
      <c r="A426" s="1" t="s">
        <v>946</v>
      </c>
      <c r="B426" s="13">
        <v>46251</v>
      </c>
      <c r="C426" s="1" t="s">
        <v>148</v>
      </c>
      <c r="D426" s="7" t="s">
        <v>148</v>
      </c>
      <c r="E426" s="8" t="s">
        <v>24</v>
      </c>
      <c r="F426" s="24" t="s">
        <v>933</v>
      </c>
      <c r="G426" s="2" t="s">
        <v>935</v>
      </c>
      <c r="H426" s="2" t="s">
        <v>932</v>
      </c>
      <c r="I426" s="13" t="s">
        <v>38</v>
      </c>
      <c r="J426" s="9" t="s">
        <v>159</v>
      </c>
      <c r="K426" s="1" t="s">
        <v>148</v>
      </c>
      <c r="L426" s="7">
        <v>46282</v>
      </c>
      <c r="M426" s="13">
        <v>46253</v>
      </c>
      <c r="N426" s="66">
        <f>Table1[[#This Row],[Completion Date]]-Table1[[#This Row],[Date Logged]]</f>
        <v>2</v>
      </c>
      <c r="O426" s="64" t="s">
        <v>58</v>
      </c>
      <c r="P426" s="1" t="s">
        <v>161</v>
      </c>
      <c r="Q426" s="63" t="s">
        <v>130</v>
      </c>
      <c r="R426" s="65" t="s">
        <v>131</v>
      </c>
      <c r="S426" s="65" t="s">
        <v>131</v>
      </c>
      <c r="T426" s="65" t="s">
        <v>132</v>
      </c>
      <c r="U426" s="63"/>
    </row>
    <row r="427" spans="1:21" ht="19.5" customHeight="1" x14ac:dyDescent="0.3">
      <c r="A427" s="1" t="s">
        <v>961</v>
      </c>
      <c r="B427" s="13">
        <v>46253</v>
      </c>
      <c r="C427" s="1" t="s">
        <v>148</v>
      </c>
      <c r="D427" s="7" t="s">
        <v>148</v>
      </c>
      <c r="E427" s="8" t="s">
        <v>24</v>
      </c>
      <c r="F427" s="24" t="s">
        <v>934</v>
      </c>
      <c r="G427" s="2" t="s">
        <v>936</v>
      </c>
      <c r="H427" s="2" t="s">
        <v>937</v>
      </c>
      <c r="I427" s="13" t="s">
        <v>38</v>
      </c>
      <c r="J427" s="9" t="s">
        <v>968</v>
      </c>
      <c r="K427" s="1" t="s">
        <v>148</v>
      </c>
      <c r="L427" s="7">
        <v>46253</v>
      </c>
      <c r="M427" s="25">
        <v>46253</v>
      </c>
      <c r="N427" s="20">
        <f>Table1[[#This Row],[Completion Date]]-Table1[[#This Row],[Date Logged]]</f>
        <v>0</v>
      </c>
      <c r="O427" s="13" t="s">
        <v>58</v>
      </c>
      <c r="P427" s="1" t="s">
        <v>161</v>
      </c>
      <c r="Q427" s="1" t="s">
        <v>130</v>
      </c>
      <c r="R427" s="2" t="s">
        <v>131</v>
      </c>
      <c r="S427" s="2" t="s">
        <v>131</v>
      </c>
      <c r="T427" s="15" t="s">
        <v>70</v>
      </c>
      <c r="U427" s="12"/>
    </row>
    <row r="428" spans="1:21" ht="33.75" customHeight="1" x14ac:dyDescent="0.3">
      <c r="A428" s="1" t="s">
        <v>962</v>
      </c>
      <c r="B428" s="13">
        <v>46253</v>
      </c>
      <c r="C428" s="1" t="s">
        <v>148</v>
      </c>
      <c r="D428" s="7" t="s">
        <v>148</v>
      </c>
      <c r="E428" s="70" t="s">
        <v>24</v>
      </c>
      <c r="F428" s="24" t="s">
        <v>934</v>
      </c>
      <c r="G428" s="2" t="s">
        <v>936</v>
      </c>
      <c r="H428" s="2" t="s">
        <v>937</v>
      </c>
      <c r="I428" s="13" t="s">
        <v>38</v>
      </c>
      <c r="J428" s="9" t="s">
        <v>32</v>
      </c>
      <c r="K428" s="1" t="s">
        <v>41</v>
      </c>
      <c r="L428" s="7">
        <v>46260</v>
      </c>
      <c r="M428" s="25">
        <v>46255</v>
      </c>
      <c r="N428" s="66">
        <f>Table1[[#This Row],[Completion Date]]-Table1[[#This Row],[Date Logged]]</f>
        <v>2</v>
      </c>
      <c r="O428" s="64" t="s">
        <v>58</v>
      </c>
      <c r="P428" s="1" t="s">
        <v>161</v>
      </c>
      <c r="Q428" s="1" t="s">
        <v>130</v>
      </c>
      <c r="R428" s="2" t="s">
        <v>131</v>
      </c>
      <c r="S428" s="2" t="s">
        <v>131</v>
      </c>
      <c r="T428" s="65" t="s">
        <v>70</v>
      </c>
      <c r="U428" s="63"/>
    </row>
    <row r="429" spans="1:21" ht="19.5" customHeight="1" x14ac:dyDescent="0.3">
      <c r="A429" s="1" t="s">
        <v>963</v>
      </c>
      <c r="B429" s="13">
        <v>46253</v>
      </c>
      <c r="C429" s="1" t="s">
        <v>148</v>
      </c>
      <c r="D429" s="7" t="s">
        <v>148</v>
      </c>
      <c r="E429" s="70" t="s">
        <v>24</v>
      </c>
      <c r="F429" s="24" t="s">
        <v>934</v>
      </c>
      <c r="G429" s="2" t="s">
        <v>936</v>
      </c>
      <c r="H429" s="2" t="s">
        <v>937</v>
      </c>
      <c r="I429" s="13" t="s">
        <v>38</v>
      </c>
      <c r="J429" s="9" t="s">
        <v>158</v>
      </c>
      <c r="K429" s="1" t="s">
        <v>148</v>
      </c>
      <c r="L429" s="7">
        <v>46290</v>
      </c>
      <c r="M429" s="25">
        <v>46255</v>
      </c>
      <c r="N429" s="66">
        <f>Table1[[#This Row],[Completion Date]]-Table1[[#This Row],[Date Logged]]</f>
        <v>2</v>
      </c>
      <c r="O429" s="64" t="s">
        <v>58</v>
      </c>
      <c r="P429" s="1" t="s">
        <v>161</v>
      </c>
      <c r="Q429" s="1" t="s">
        <v>130</v>
      </c>
      <c r="R429" s="2" t="s">
        <v>131</v>
      </c>
      <c r="S429" s="2" t="s">
        <v>131</v>
      </c>
      <c r="T429" s="65" t="s">
        <v>70</v>
      </c>
      <c r="U429" s="63"/>
    </row>
    <row r="430" spans="1:21" ht="19.5" customHeight="1" x14ac:dyDescent="0.3">
      <c r="A430" s="1" t="s">
        <v>964</v>
      </c>
      <c r="B430" s="13">
        <v>46253</v>
      </c>
      <c r="C430" s="1" t="s">
        <v>148</v>
      </c>
      <c r="D430" s="7" t="s">
        <v>148</v>
      </c>
      <c r="E430" s="70" t="s">
        <v>24</v>
      </c>
      <c r="F430" s="24" t="s">
        <v>934</v>
      </c>
      <c r="G430" s="2" t="s">
        <v>936</v>
      </c>
      <c r="H430" s="2" t="s">
        <v>937</v>
      </c>
      <c r="I430" s="13" t="s">
        <v>38</v>
      </c>
      <c r="J430" s="9" t="s">
        <v>34</v>
      </c>
      <c r="K430" s="1" t="s">
        <v>42</v>
      </c>
      <c r="L430" s="7">
        <v>46290</v>
      </c>
      <c r="M430" s="25">
        <v>46262</v>
      </c>
      <c r="N430" s="66">
        <f>Table1[[#This Row],[Completion Date]]-Table1[[#This Row],[Date Logged]]</f>
        <v>9</v>
      </c>
      <c r="O430" s="64" t="s">
        <v>58</v>
      </c>
      <c r="P430" s="1" t="s">
        <v>161</v>
      </c>
      <c r="Q430" s="1" t="s">
        <v>130</v>
      </c>
      <c r="R430" s="2" t="s">
        <v>131</v>
      </c>
      <c r="S430" s="2" t="s">
        <v>131</v>
      </c>
      <c r="T430" s="65" t="s">
        <v>70</v>
      </c>
      <c r="U430" s="63"/>
    </row>
    <row r="431" spans="1:21" ht="19.5" customHeight="1" x14ac:dyDescent="0.3">
      <c r="A431" s="1" t="s">
        <v>965</v>
      </c>
      <c r="B431" s="13">
        <v>46253</v>
      </c>
      <c r="C431" s="1" t="s">
        <v>148</v>
      </c>
      <c r="D431" s="7" t="s">
        <v>148</v>
      </c>
      <c r="E431" s="70" t="s">
        <v>24</v>
      </c>
      <c r="F431" s="24" t="s">
        <v>934</v>
      </c>
      <c r="G431" s="2" t="s">
        <v>936</v>
      </c>
      <c r="H431" s="2" t="s">
        <v>937</v>
      </c>
      <c r="I431" s="13" t="s">
        <v>38</v>
      </c>
      <c r="J431" s="9" t="s">
        <v>35</v>
      </c>
      <c r="K431" s="1" t="s">
        <v>148</v>
      </c>
      <c r="L431" s="7">
        <v>46290</v>
      </c>
      <c r="M431" s="25">
        <v>46262</v>
      </c>
      <c r="N431" s="66">
        <f>Table1[[#This Row],[Completion Date]]-Table1[[#This Row],[Date Logged]]</f>
        <v>9</v>
      </c>
      <c r="O431" s="64" t="s">
        <v>58</v>
      </c>
      <c r="P431" s="1" t="s">
        <v>161</v>
      </c>
      <c r="Q431" s="1" t="s">
        <v>130</v>
      </c>
      <c r="R431" s="2" t="s">
        <v>131</v>
      </c>
      <c r="S431" s="2" t="s">
        <v>131</v>
      </c>
      <c r="T431" s="65" t="s">
        <v>70</v>
      </c>
      <c r="U431" s="63"/>
    </row>
    <row r="432" spans="1:21" ht="36.75" customHeight="1" x14ac:dyDescent="0.3">
      <c r="A432" s="1" t="s">
        <v>966</v>
      </c>
      <c r="B432" s="13">
        <v>46253</v>
      </c>
      <c r="C432" s="1" t="s">
        <v>148</v>
      </c>
      <c r="D432" s="7" t="s">
        <v>148</v>
      </c>
      <c r="E432" s="70" t="s">
        <v>24</v>
      </c>
      <c r="F432" s="24" t="s">
        <v>934</v>
      </c>
      <c r="G432" s="2" t="s">
        <v>936</v>
      </c>
      <c r="H432" s="2" t="s">
        <v>937</v>
      </c>
      <c r="I432" s="13" t="s">
        <v>38</v>
      </c>
      <c r="J432" s="9" t="s">
        <v>460</v>
      </c>
      <c r="K432" s="1" t="s">
        <v>148</v>
      </c>
      <c r="L432" s="7">
        <v>46290</v>
      </c>
      <c r="M432" s="25">
        <v>46262</v>
      </c>
      <c r="N432" s="66">
        <f>Table1[[#This Row],[Completion Date]]-Table1[[#This Row],[Date Logged]]</f>
        <v>9</v>
      </c>
      <c r="O432" s="64" t="s">
        <v>58</v>
      </c>
      <c r="P432" s="1" t="s">
        <v>161</v>
      </c>
      <c r="Q432" s="1" t="s">
        <v>130</v>
      </c>
      <c r="R432" s="2" t="s">
        <v>131</v>
      </c>
      <c r="S432" s="2" t="s">
        <v>131</v>
      </c>
      <c r="T432" s="65" t="s">
        <v>70</v>
      </c>
      <c r="U432" s="63"/>
    </row>
    <row r="433" spans="1:21" ht="27.75" customHeight="1" x14ac:dyDescent="0.3">
      <c r="A433" s="1" t="s">
        <v>967</v>
      </c>
      <c r="B433" s="13">
        <v>46253</v>
      </c>
      <c r="C433" s="1" t="s">
        <v>148</v>
      </c>
      <c r="D433" s="7" t="s">
        <v>148</v>
      </c>
      <c r="E433" s="70" t="s">
        <v>24</v>
      </c>
      <c r="F433" s="24" t="s">
        <v>934</v>
      </c>
      <c r="G433" s="2" t="s">
        <v>936</v>
      </c>
      <c r="H433" s="2" t="s">
        <v>937</v>
      </c>
      <c r="I433" s="13" t="s">
        <v>38</v>
      </c>
      <c r="J433" s="9" t="s">
        <v>159</v>
      </c>
      <c r="K433" s="1" t="s">
        <v>148</v>
      </c>
      <c r="L433" s="7">
        <v>46290</v>
      </c>
      <c r="M433" s="25">
        <v>46262</v>
      </c>
      <c r="N433" s="66">
        <f>Table1[[#This Row],[Completion Date]]-Table1[[#This Row],[Date Logged]]</f>
        <v>9</v>
      </c>
      <c r="O433" s="64" t="s">
        <v>58</v>
      </c>
      <c r="P433" s="1" t="s">
        <v>161</v>
      </c>
      <c r="Q433" s="1" t="s">
        <v>130</v>
      </c>
      <c r="R433" s="2" t="s">
        <v>131</v>
      </c>
      <c r="S433" s="2" t="s">
        <v>131</v>
      </c>
      <c r="T433" s="65" t="s">
        <v>70</v>
      </c>
      <c r="U433" s="63"/>
    </row>
    <row r="434" spans="1:21" ht="19.5" customHeight="1" x14ac:dyDescent="0.3">
      <c r="A434" s="1" t="s">
        <v>957</v>
      </c>
      <c r="B434" s="13">
        <v>46258</v>
      </c>
      <c r="C434" s="1" t="s">
        <v>161</v>
      </c>
      <c r="D434" s="8" t="s">
        <v>161</v>
      </c>
      <c r="E434" s="8" t="s">
        <v>24</v>
      </c>
      <c r="F434" s="24" t="s">
        <v>958</v>
      </c>
      <c r="G434" s="2" t="s">
        <v>960</v>
      </c>
      <c r="H434" s="2" t="s">
        <v>959</v>
      </c>
      <c r="I434" s="13" t="s">
        <v>38</v>
      </c>
      <c r="J434" s="9" t="s">
        <v>1022</v>
      </c>
      <c r="K434" s="1" t="s">
        <v>161</v>
      </c>
      <c r="L434" s="7">
        <v>46356</v>
      </c>
      <c r="M434" s="13"/>
      <c r="N434" s="20">
        <f>Table1[[#This Row],[Completion Date]]-Table1[[#This Row],[Date Logged]]</f>
        <v>-46258</v>
      </c>
      <c r="O434" s="13" t="s">
        <v>59</v>
      </c>
      <c r="P434" s="12"/>
      <c r="Q434" s="12"/>
      <c r="R434" s="15"/>
      <c r="S434" s="15"/>
      <c r="T434" s="15" t="s">
        <v>133</v>
      </c>
      <c r="U434" s="12"/>
    </row>
    <row r="435" spans="1:21" ht="19.5" customHeight="1" x14ac:dyDescent="0.3">
      <c r="A435" s="1" t="s">
        <v>969</v>
      </c>
      <c r="B435" s="64">
        <v>46269</v>
      </c>
      <c r="C435" s="1" t="s">
        <v>148</v>
      </c>
      <c r="D435" s="8" t="s">
        <v>148</v>
      </c>
      <c r="E435" s="8" t="s">
        <v>24</v>
      </c>
      <c r="F435" s="24" t="s">
        <v>971</v>
      </c>
      <c r="G435" s="2" t="s">
        <v>975</v>
      </c>
      <c r="H435" s="2" t="s">
        <v>972</v>
      </c>
      <c r="I435" s="13" t="s">
        <v>78</v>
      </c>
      <c r="J435" s="68"/>
      <c r="K435" s="1" t="s">
        <v>148</v>
      </c>
      <c r="L435" s="7"/>
      <c r="M435" s="13"/>
      <c r="N435" s="20">
        <f>Table1[[#This Row],[Completion Date]]-Table1[[#This Row],[Date Logged]]</f>
        <v>-46269</v>
      </c>
      <c r="O435" s="13" t="s">
        <v>59</v>
      </c>
      <c r="P435" s="12"/>
      <c r="Q435" s="12"/>
      <c r="R435" s="15"/>
      <c r="S435" s="15"/>
      <c r="T435" s="15"/>
      <c r="U435" s="12"/>
    </row>
    <row r="436" spans="1:21" ht="19.5" customHeight="1" x14ac:dyDescent="0.3">
      <c r="A436" s="1" t="s">
        <v>970</v>
      </c>
      <c r="B436" s="13">
        <v>46269</v>
      </c>
      <c r="C436" s="1" t="s">
        <v>148</v>
      </c>
      <c r="D436" s="8" t="s">
        <v>148</v>
      </c>
      <c r="E436" s="8" t="s">
        <v>24</v>
      </c>
      <c r="F436" s="24" t="s">
        <v>973</v>
      </c>
      <c r="G436" s="2" t="s">
        <v>976</v>
      </c>
      <c r="H436" s="2" t="s">
        <v>974</v>
      </c>
      <c r="I436" s="13" t="s">
        <v>78</v>
      </c>
      <c r="J436" s="68"/>
      <c r="K436" s="1" t="s">
        <v>148</v>
      </c>
      <c r="L436" s="7"/>
      <c r="M436" s="13"/>
      <c r="N436" s="20">
        <f>Table1[[#This Row],[Completion Date]]-Table1[[#This Row],[Date Logged]]</f>
        <v>-46269</v>
      </c>
      <c r="O436" s="13" t="s">
        <v>59</v>
      </c>
      <c r="P436" s="12"/>
      <c r="Q436" s="12"/>
      <c r="R436" s="15"/>
      <c r="S436" s="15"/>
      <c r="T436" s="15"/>
      <c r="U436" s="12"/>
    </row>
    <row r="437" spans="1:21" ht="19.5" customHeight="1" x14ac:dyDescent="0.3">
      <c r="A437" s="1" t="s">
        <v>1006</v>
      </c>
      <c r="B437" s="13">
        <v>46272</v>
      </c>
      <c r="C437" s="1" t="s">
        <v>100</v>
      </c>
      <c r="D437" s="8" t="s">
        <v>23</v>
      </c>
      <c r="E437" s="8" t="s">
        <v>24</v>
      </c>
      <c r="F437" s="24" t="s">
        <v>989</v>
      </c>
      <c r="G437" s="2" t="s">
        <v>990</v>
      </c>
      <c r="H437" s="2" t="s">
        <v>991</v>
      </c>
      <c r="I437" s="13" t="s">
        <v>38</v>
      </c>
      <c r="J437" s="9" t="s">
        <v>992</v>
      </c>
      <c r="K437" s="1" t="s">
        <v>80</v>
      </c>
      <c r="L437" s="7">
        <v>46304</v>
      </c>
      <c r="M437" s="13"/>
      <c r="N437" s="20">
        <f>Table1[[#This Row],[Completion Date]]-Table1[[#This Row],[Date Logged]]</f>
        <v>-46272</v>
      </c>
      <c r="O437" s="13" t="s">
        <v>59</v>
      </c>
      <c r="P437" s="12"/>
      <c r="Q437" s="12"/>
      <c r="R437" s="15"/>
      <c r="S437" s="15"/>
      <c r="T437" s="15" t="s">
        <v>70</v>
      </c>
      <c r="U437" s="12"/>
    </row>
    <row r="438" spans="1:21" ht="19.5" customHeight="1" x14ac:dyDescent="0.3">
      <c r="A438" s="1" t="s">
        <v>1007</v>
      </c>
      <c r="B438" s="13">
        <v>46272</v>
      </c>
      <c r="C438" s="1" t="s">
        <v>100</v>
      </c>
      <c r="D438" s="8" t="s">
        <v>23</v>
      </c>
      <c r="E438" s="8" t="s">
        <v>24</v>
      </c>
      <c r="F438" s="24" t="s">
        <v>989</v>
      </c>
      <c r="G438" s="2" t="s">
        <v>990</v>
      </c>
      <c r="H438" s="2" t="s">
        <v>991</v>
      </c>
      <c r="I438" s="13" t="s">
        <v>38</v>
      </c>
      <c r="J438" s="9" t="s">
        <v>993</v>
      </c>
      <c r="K438" s="1" t="s">
        <v>41</v>
      </c>
      <c r="L438" s="7">
        <v>46318</v>
      </c>
      <c r="M438" s="13"/>
      <c r="N438" s="20">
        <f>Table1[[#This Row],[Completion Date]]-Table1[[#This Row],[Date Logged]]</f>
        <v>-46272</v>
      </c>
      <c r="O438" s="13" t="s">
        <v>59</v>
      </c>
      <c r="P438" s="12"/>
      <c r="Q438" s="12"/>
      <c r="R438" s="15"/>
      <c r="S438" s="15"/>
      <c r="T438" s="15" t="s">
        <v>70</v>
      </c>
      <c r="U438" s="12"/>
    </row>
    <row r="439" spans="1:21" ht="19.5" customHeight="1" x14ac:dyDescent="0.3">
      <c r="A439" s="1" t="s">
        <v>1008</v>
      </c>
      <c r="B439" s="13">
        <v>46272</v>
      </c>
      <c r="C439" s="1" t="s">
        <v>100</v>
      </c>
      <c r="D439" s="8" t="s">
        <v>23</v>
      </c>
      <c r="E439" s="8" t="s">
        <v>24</v>
      </c>
      <c r="F439" s="24" t="s">
        <v>989</v>
      </c>
      <c r="G439" s="2" t="s">
        <v>990</v>
      </c>
      <c r="H439" s="2" t="s">
        <v>991</v>
      </c>
      <c r="I439" s="13" t="s">
        <v>38</v>
      </c>
      <c r="J439" s="9" t="s">
        <v>994</v>
      </c>
      <c r="K439" s="1" t="s">
        <v>41</v>
      </c>
      <c r="L439" s="7">
        <v>46318</v>
      </c>
      <c r="M439" s="13"/>
      <c r="N439" s="20">
        <f>Table1[[#This Row],[Completion Date]]-Table1[[#This Row],[Date Logged]]</f>
        <v>-46272</v>
      </c>
      <c r="O439" s="13" t="s">
        <v>59</v>
      </c>
      <c r="P439" s="12"/>
      <c r="Q439" s="12"/>
      <c r="R439" s="15"/>
      <c r="S439" s="15"/>
      <c r="T439" s="15" t="s">
        <v>70</v>
      </c>
      <c r="U439" s="12"/>
    </row>
    <row r="440" spans="1:21" ht="19.5" customHeight="1" x14ac:dyDescent="0.3">
      <c r="A440" s="1" t="s">
        <v>1009</v>
      </c>
      <c r="B440" s="13">
        <v>46272</v>
      </c>
      <c r="C440" s="1" t="s">
        <v>100</v>
      </c>
      <c r="D440" s="8" t="s">
        <v>23</v>
      </c>
      <c r="E440" s="8" t="s">
        <v>24</v>
      </c>
      <c r="F440" s="24" t="s">
        <v>989</v>
      </c>
      <c r="G440" s="2" t="s">
        <v>990</v>
      </c>
      <c r="H440" s="2" t="s">
        <v>991</v>
      </c>
      <c r="I440" s="13" t="s">
        <v>38</v>
      </c>
      <c r="J440" s="9" t="s">
        <v>995</v>
      </c>
      <c r="K440" s="1" t="s">
        <v>692</v>
      </c>
      <c r="L440" s="7">
        <v>46325</v>
      </c>
      <c r="M440" s="13"/>
      <c r="N440" s="20">
        <f>Table1[[#This Row],[Completion Date]]-Table1[[#This Row],[Date Logged]]</f>
        <v>-46272</v>
      </c>
      <c r="O440" s="13" t="s">
        <v>59</v>
      </c>
      <c r="P440" s="12"/>
      <c r="Q440" s="12"/>
      <c r="R440" s="15"/>
      <c r="S440" s="15"/>
      <c r="T440" s="15" t="s">
        <v>70</v>
      </c>
      <c r="U440" s="12"/>
    </row>
    <row r="441" spans="1:21" ht="19.5" customHeight="1" x14ac:dyDescent="0.3">
      <c r="A441" s="1" t="s">
        <v>1010</v>
      </c>
      <c r="B441" s="13">
        <v>46272</v>
      </c>
      <c r="C441" s="1" t="s">
        <v>100</v>
      </c>
      <c r="D441" s="8" t="s">
        <v>23</v>
      </c>
      <c r="E441" s="8" t="s">
        <v>24</v>
      </c>
      <c r="F441" s="24" t="s">
        <v>989</v>
      </c>
      <c r="G441" s="2" t="s">
        <v>990</v>
      </c>
      <c r="H441" s="2" t="s">
        <v>991</v>
      </c>
      <c r="I441" s="13" t="s">
        <v>38</v>
      </c>
      <c r="J441" s="9" t="s">
        <v>84</v>
      </c>
      <c r="K441" s="1" t="s">
        <v>42</v>
      </c>
      <c r="L441" s="7" t="s">
        <v>997</v>
      </c>
      <c r="M441" s="13"/>
      <c r="N441" s="20">
        <f>Table1[[#This Row],[Completion Date]]-Table1[[#This Row],[Date Logged]]</f>
        <v>-46272</v>
      </c>
      <c r="O441" s="13" t="s">
        <v>59</v>
      </c>
      <c r="P441" s="12"/>
      <c r="Q441" s="12"/>
      <c r="R441" s="15"/>
      <c r="S441" s="15"/>
      <c r="T441" s="15" t="s">
        <v>70</v>
      </c>
      <c r="U441" s="12"/>
    </row>
    <row r="442" spans="1:21" ht="19.5" customHeight="1" x14ac:dyDescent="0.3">
      <c r="A442" s="1" t="s">
        <v>1011</v>
      </c>
      <c r="B442" s="13">
        <v>46272</v>
      </c>
      <c r="C442" s="1" t="s">
        <v>100</v>
      </c>
      <c r="D442" s="8" t="s">
        <v>23</v>
      </c>
      <c r="E442" s="8" t="s">
        <v>24</v>
      </c>
      <c r="F442" s="24" t="s">
        <v>989</v>
      </c>
      <c r="G442" s="2" t="s">
        <v>990</v>
      </c>
      <c r="H442" s="2" t="s">
        <v>991</v>
      </c>
      <c r="I442" s="13" t="s">
        <v>38</v>
      </c>
      <c r="J442" s="9" t="s">
        <v>996</v>
      </c>
      <c r="K442" s="1" t="s">
        <v>80</v>
      </c>
      <c r="L442" s="7">
        <v>46332</v>
      </c>
      <c r="M442" s="13"/>
      <c r="N442" s="20">
        <f>Table1[[#This Row],[Completion Date]]-Table1[[#This Row],[Date Logged]]</f>
        <v>-46272</v>
      </c>
      <c r="O442" s="13" t="s">
        <v>59</v>
      </c>
      <c r="P442" s="12"/>
      <c r="Q442" s="12"/>
      <c r="R442" s="15"/>
      <c r="S442" s="15"/>
      <c r="T442" s="15" t="s">
        <v>70</v>
      </c>
      <c r="U442" s="12"/>
    </row>
    <row r="443" spans="1:21" ht="19.5" customHeight="1" x14ac:dyDescent="0.3">
      <c r="A443" s="1" t="s">
        <v>1012</v>
      </c>
      <c r="B443" s="13">
        <v>46272</v>
      </c>
      <c r="C443" s="1" t="s">
        <v>100</v>
      </c>
      <c r="D443" s="8" t="s">
        <v>23</v>
      </c>
      <c r="E443" s="8" t="s">
        <v>24</v>
      </c>
      <c r="F443" s="24" t="s">
        <v>989</v>
      </c>
      <c r="G443" s="2" t="s">
        <v>990</v>
      </c>
      <c r="H443" s="2" t="s">
        <v>991</v>
      </c>
      <c r="I443" s="13" t="s">
        <v>38</v>
      </c>
      <c r="J443" s="9" t="s">
        <v>85</v>
      </c>
      <c r="K443" s="1" t="s">
        <v>208</v>
      </c>
      <c r="L443" s="7" t="s">
        <v>997</v>
      </c>
      <c r="M443" s="13"/>
      <c r="N443" s="20">
        <f>Table1[[#This Row],[Completion Date]]-Table1[[#This Row],[Date Logged]]</f>
        <v>-46272</v>
      </c>
      <c r="O443" s="13" t="s">
        <v>59</v>
      </c>
      <c r="P443" s="12"/>
      <c r="Q443" s="12"/>
      <c r="R443" s="15"/>
      <c r="S443" s="15"/>
      <c r="T443" s="15" t="s">
        <v>70</v>
      </c>
      <c r="U443" s="12"/>
    </row>
    <row r="444" spans="1:21" ht="19.5" customHeight="1" x14ac:dyDescent="0.3">
      <c r="A444" s="1" t="s">
        <v>1013</v>
      </c>
      <c r="B444" s="13">
        <v>46272</v>
      </c>
      <c r="C444" s="1" t="s">
        <v>100</v>
      </c>
      <c r="D444" s="8" t="s">
        <v>23</v>
      </c>
      <c r="E444" s="8" t="s">
        <v>24</v>
      </c>
      <c r="F444" s="24" t="s">
        <v>989</v>
      </c>
      <c r="G444" s="2" t="s">
        <v>990</v>
      </c>
      <c r="H444" s="2" t="s">
        <v>991</v>
      </c>
      <c r="I444" s="13" t="s">
        <v>38</v>
      </c>
      <c r="J444" s="9" t="s">
        <v>213</v>
      </c>
      <c r="K444" s="1" t="s">
        <v>42</v>
      </c>
      <c r="L444" s="7">
        <v>46325</v>
      </c>
      <c r="M444" s="13"/>
      <c r="N444" s="20">
        <f>Table1[[#This Row],[Completion Date]]-Table1[[#This Row],[Date Logged]]</f>
        <v>-46272</v>
      </c>
      <c r="O444" s="13" t="s">
        <v>59</v>
      </c>
      <c r="P444" s="12"/>
      <c r="Q444" s="12"/>
      <c r="R444" s="15"/>
      <c r="S444" s="15"/>
      <c r="T444" s="15" t="s">
        <v>70</v>
      </c>
      <c r="U444" s="12"/>
    </row>
    <row r="445" spans="1:21" ht="19.5" customHeight="1" x14ac:dyDescent="0.3">
      <c r="A445" s="1" t="s">
        <v>1010</v>
      </c>
      <c r="B445" s="13">
        <v>46272</v>
      </c>
      <c r="C445" s="1" t="s">
        <v>100</v>
      </c>
      <c r="D445" s="8" t="s">
        <v>23</v>
      </c>
      <c r="E445" s="8" t="s">
        <v>24</v>
      </c>
      <c r="F445" s="24" t="s">
        <v>989</v>
      </c>
      <c r="G445" s="2" t="s">
        <v>990</v>
      </c>
      <c r="H445" s="2" t="s">
        <v>991</v>
      </c>
      <c r="I445" s="13" t="s">
        <v>38</v>
      </c>
      <c r="J445" s="9" t="s">
        <v>182</v>
      </c>
      <c r="K445" s="1" t="s">
        <v>42</v>
      </c>
      <c r="L445" s="7">
        <v>46318</v>
      </c>
      <c r="M445" s="13"/>
      <c r="N445" s="20">
        <f>Table1[[#This Row],[Completion Date]]-Table1[[#This Row],[Date Logged]]</f>
        <v>-46272</v>
      </c>
      <c r="O445" s="13" t="s">
        <v>59</v>
      </c>
      <c r="P445" s="12"/>
      <c r="Q445" s="12"/>
      <c r="R445" s="15"/>
      <c r="S445" s="15"/>
      <c r="T445" s="15" t="s">
        <v>70</v>
      </c>
      <c r="U445" s="12"/>
    </row>
    <row r="446" spans="1:21" ht="19.5" customHeight="1" x14ac:dyDescent="0.3">
      <c r="A446" s="1" t="s">
        <v>1014</v>
      </c>
      <c r="B446" s="13">
        <v>46272</v>
      </c>
      <c r="C446" s="1" t="s">
        <v>100</v>
      </c>
      <c r="D446" s="8" t="s">
        <v>135</v>
      </c>
      <c r="E446" s="8" t="s">
        <v>24</v>
      </c>
      <c r="F446" s="24" t="s">
        <v>998</v>
      </c>
      <c r="G446" s="2" t="s">
        <v>999</v>
      </c>
      <c r="H446" s="2" t="s">
        <v>1000</v>
      </c>
      <c r="I446" s="13" t="s">
        <v>38</v>
      </c>
      <c r="J446" s="9" t="s">
        <v>1001</v>
      </c>
      <c r="K446" s="1" t="s">
        <v>80</v>
      </c>
      <c r="L446" s="7">
        <v>46304</v>
      </c>
      <c r="M446" s="13"/>
      <c r="N446" s="20">
        <f>Table1[[#This Row],[Completion Date]]-Table1[[#This Row],[Date Logged]]</f>
        <v>-46272</v>
      </c>
      <c r="O446" s="13" t="s">
        <v>59</v>
      </c>
      <c r="P446" s="12"/>
      <c r="Q446" s="12"/>
      <c r="R446" s="15"/>
      <c r="S446" s="15"/>
      <c r="T446" s="15" t="s">
        <v>70</v>
      </c>
      <c r="U446" s="12"/>
    </row>
    <row r="447" spans="1:21" ht="19.5" customHeight="1" x14ac:dyDescent="0.3">
      <c r="A447" s="1" t="s">
        <v>1015</v>
      </c>
      <c r="B447" s="13">
        <v>46272</v>
      </c>
      <c r="C447" s="1" t="s">
        <v>100</v>
      </c>
      <c r="D447" s="8" t="s">
        <v>135</v>
      </c>
      <c r="E447" s="8" t="s">
        <v>24</v>
      </c>
      <c r="F447" s="24" t="s">
        <v>998</v>
      </c>
      <c r="G447" s="2" t="s">
        <v>999</v>
      </c>
      <c r="H447" s="2" t="s">
        <v>1000</v>
      </c>
      <c r="I447" s="13" t="s">
        <v>38</v>
      </c>
      <c r="J447" s="9" t="s">
        <v>1002</v>
      </c>
      <c r="K447" s="1" t="s">
        <v>41</v>
      </c>
      <c r="L447" s="7">
        <v>46318</v>
      </c>
      <c r="M447" s="13"/>
      <c r="N447" s="20">
        <f>Table1[[#This Row],[Completion Date]]-Table1[[#This Row],[Date Logged]]</f>
        <v>-46272</v>
      </c>
      <c r="O447" s="13" t="s">
        <v>59</v>
      </c>
      <c r="P447" s="12"/>
      <c r="Q447" s="12"/>
      <c r="R447" s="15"/>
      <c r="S447" s="15"/>
      <c r="T447" s="15" t="s">
        <v>70</v>
      </c>
      <c r="U447" s="12"/>
    </row>
    <row r="448" spans="1:21" ht="19.5" customHeight="1" x14ac:dyDescent="0.3">
      <c r="A448" s="1" t="s">
        <v>1016</v>
      </c>
      <c r="B448" s="13">
        <v>46272</v>
      </c>
      <c r="C448" s="1" t="s">
        <v>100</v>
      </c>
      <c r="D448" s="8" t="s">
        <v>135</v>
      </c>
      <c r="E448" s="8" t="s">
        <v>24</v>
      </c>
      <c r="F448" s="24" t="s">
        <v>998</v>
      </c>
      <c r="G448" s="2" t="s">
        <v>999</v>
      </c>
      <c r="H448" s="2" t="s">
        <v>1000</v>
      </c>
      <c r="I448" s="13" t="s">
        <v>38</v>
      </c>
      <c r="J448" s="9" t="s">
        <v>1003</v>
      </c>
      <c r="K448" s="1" t="s">
        <v>41</v>
      </c>
      <c r="L448" s="7">
        <v>46318</v>
      </c>
      <c r="M448" s="13"/>
      <c r="N448" s="20">
        <f>Table1[[#This Row],[Completion Date]]-Table1[[#This Row],[Date Logged]]</f>
        <v>-46272</v>
      </c>
      <c r="O448" s="13" t="s">
        <v>59</v>
      </c>
      <c r="P448" s="12"/>
      <c r="Q448" s="12"/>
      <c r="R448" s="15"/>
      <c r="S448" s="15"/>
      <c r="T448" s="15" t="s">
        <v>70</v>
      </c>
      <c r="U448" s="12"/>
    </row>
    <row r="449" spans="1:21" ht="19.5" customHeight="1" x14ac:dyDescent="0.3">
      <c r="A449" s="1" t="s">
        <v>1017</v>
      </c>
      <c r="B449" s="13">
        <v>46272</v>
      </c>
      <c r="C449" s="1" t="s">
        <v>100</v>
      </c>
      <c r="D449" s="8" t="s">
        <v>135</v>
      </c>
      <c r="E449" s="8" t="s">
        <v>24</v>
      </c>
      <c r="F449" s="24" t="s">
        <v>998</v>
      </c>
      <c r="G449" s="2" t="s">
        <v>999</v>
      </c>
      <c r="H449" s="2" t="s">
        <v>1000</v>
      </c>
      <c r="I449" s="13" t="s">
        <v>38</v>
      </c>
      <c r="J449" s="9" t="s">
        <v>1004</v>
      </c>
      <c r="K449" s="1" t="s">
        <v>692</v>
      </c>
      <c r="L449" s="7">
        <v>46325</v>
      </c>
      <c r="M449" s="13"/>
      <c r="N449" s="20">
        <f>Table1[[#This Row],[Completion Date]]-Table1[[#This Row],[Date Logged]]</f>
        <v>-46272</v>
      </c>
      <c r="O449" s="13" t="s">
        <v>59</v>
      </c>
      <c r="P449" s="12"/>
      <c r="Q449" s="12"/>
      <c r="R449" s="15"/>
      <c r="S449" s="15"/>
      <c r="T449" s="15" t="s">
        <v>70</v>
      </c>
      <c r="U449" s="12"/>
    </row>
    <row r="450" spans="1:21" ht="19.5" customHeight="1" x14ac:dyDescent="0.3">
      <c r="A450" s="1" t="s">
        <v>1018</v>
      </c>
      <c r="B450" s="13">
        <v>46272</v>
      </c>
      <c r="C450" s="1" t="s">
        <v>100</v>
      </c>
      <c r="D450" s="8" t="s">
        <v>135</v>
      </c>
      <c r="E450" s="8" t="s">
        <v>24</v>
      </c>
      <c r="F450" s="24" t="s">
        <v>998</v>
      </c>
      <c r="G450" s="2" t="s">
        <v>999</v>
      </c>
      <c r="H450" s="2" t="s">
        <v>1000</v>
      </c>
      <c r="I450" s="13" t="s">
        <v>38</v>
      </c>
      <c r="J450" s="9" t="s">
        <v>84</v>
      </c>
      <c r="K450" s="1" t="s">
        <v>42</v>
      </c>
      <c r="L450" s="7" t="s">
        <v>997</v>
      </c>
      <c r="M450" s="13"/>
      <c r="N450" s="20">
        <f>Table1[[#This Row],[Completion Date]]-Table1[[#This Row],[Date Logged]]</f>
        <v>-46272</v>
      </c>
      <c r="O450" s="13" t="s">
        <v>59</v>
      </c>
      <c r="P450" s="12"/>
      <c r="Q450" s="12"/>
      <c r="R450" s="15"/>
      <c r="S450" s="15"/>
      <c r="T450" s="15" t="s">
        <v>70</v>
      </c>
      <c r="U450" s="12"/>
    </row>
    <row r="451" spans="1:21" ht="19.5" customHeight="1" x14ac:dyDescent="0.3">
      <c r="A451" s="1" t="s">
        <v>1019</v>
      </c>
      <c r="B451" s="13">
        <v>46272</v>
      </c>
      <c r="C451" s="1" t="s">
        <v>100</v>
      </c>
      <c r="D451" s="8" t="s">
        <v>135</v>
      </c>
      <c r="E451" s="8" t="s">
        <v>24</v>
      </c>
      <c r="F451" s="24" t="s">
        <v>998</v>
      </c>
      <c r="G451" s="2" t="s">
        <v>999</v>
      </c>
      <c r="H451" s="2" t="s">
        <v>1000</v>
      </c>
      <c r="I451" s="13" t="s">
        <v>38</v>
      </c>
      <c r="J451" s="9" t="s">
        <v>1005</v>
      </c>
      <c r="K451" s="1" t="s">
        <v>80</v>
      </c>
      <c r="L451" s="7">
        <v>46332</v>
      </c>
      <c r="M451" s="13"/>
      <c r="N451" s="20">
        <f>Table1[[#This Row],[Completion Date]]-Table1[[#This Row],[Date Logged]]</f>
        <v>-46272</v>
      </c>
      <c r="O451" s="13" t="s">
        <v>59</v>
      </c>
      <c r="P451" s="12"/>
      <c r="Q451" s="12"/>
      <c r="R451" s="15"/>
      <c r="S451" s="15"/>
      <c r="T451" s="15" t="s">
        <v>70</v>
      </c>
      <c r="U451" s="12"/>
    </row>
    <row r="452" spans="1:21" ht="19.5" customHeight="1" x14ac:dyDescent="0.3">
      <c r="A452" s="1" t="s">
        <v>1020</v>
      </c>
      <c r="B452" s="13">
        <v>46272</v>
      </c>
      <c r="C452" s="1" t="s">
        <v>100</v>
      </c>
      <c r="D452" s="8" t="s">
        <v>135</v>
      </c>
      <c r="E452" s="8" t="s">
        <v>24</v>
      </c>
      <c r="F452" s="24" t="s">
        <v>998</v>
      </c>
      <c r="G452" s="2" t="s">
        <v>999</v>
      </c>
      <c r="H452" s="2" t="s">
        <v>1000</v>
      </c>
      <c r="I452" s="13" t="s">
        <v>38</v>
      </c>
      <c r="J452" s="9" t="s">
        <v>85</v>
      </c>
      <c r="K452" s="1" t="s">
        <v>208</v>
      </c>
      <c r="L452" s="7" t="s">
        <v>997</v>
      </c>
      <c r="M452" s="13"/>
      <c r="N452" s="20">
        <f>Table1[[#This Row],[Completion Date]]-Table1[[#This Row],[Date Logged]]</f>
        <v>-46272</v>
      </c>
      <c r="O452" s="13" t="s">
        <v>59</v>
      </c>
      <c r="P452" s="12"/>
      <c r="Q452" s="12"/>
      <c r="R452" s="15"/>
      <c r="S452" s="15"/>
      <c r="T452" s="15" t="s">
        <v>70</v>
      </c>
      <c r="U452" s="12"/>
    </row>
    <row r="453" spans="1:21" ht="19.5" customHeight="1" x14ac:dyDescent="0.3">
      <c r="A453" s="1" t="s">
        <v>1021</v>
      </c>
      <c r="B453" s="13">
        <v>46272</v>
      </c>
      <c r="C453" s="1" t="s">
        <v>100</v>
      </c>
      <c r="D453" s="8" t="s">
        <v>135</v>
      </c>
      <c r="E453" s="8" t="s">
        <v>24</v>
      </c>
      <c r="F453" s="24" t="s">
        <v>998</v>
      </c>
      <c r="G453" s="2" t="s">
        <v>999</v>
      </c>
      <c r="H453" s="2" t="s">
        <v>1000</v>
      </c>
      <c r="I453" s="13" t="s">
        <v>38</v>
      </c>
      <c r="J453" s="9" t="s">
        <v>213</v>
      </c>
      <c r="K453" s="1" t="s">
        <v>42</v>
      </c>
      <c r="L453" s="7">
        <v>46325</v>
      </c>
      <c r="M453" s="13"/>
      <c r="N453" s="20">
        <f>Table1[[#This Row],[Completion Date]]-Table1[[#This Row],[Date Logged]]</f>
        <v>-46272</v>
      </c>
      <c r="O453" s="13" t="s">
        <v>59</v>
      </c>
      <c r="P453" s="12"/>
      <c r="Q453" s="12"/>
      <c r="R453" s="15"/>
      <c r="S453" s="15"/>
      <c r="T453" s="15" t="s">
        <v>70</v>
      </c>
      <c r="U453" s="12"/>
    </row>
    <row r="454" spans="1:21" ht="19.5" customHeight="1" x14ac:dyDescent="0.3">
      <c r="A454" s="1" t="s">
        <v>1018</v>
      </c>
      <c r="B454" s="13">
        <v>46272</v>
      </c>
      <c r="C454" s="1" t="s">
        <v>100</v>
      </c>
      <c r="D454" s="8" t="s">
        <v>135</v>
      </c>
      <c r="E454" s="8" t="s">
        <v>24</v>
      </c>
      <c r="F454" s="24" t="s">
        <v>998</v>
      </c>
      <c r="G454" s="2" t="s">
        <v>999</v>
      </c>
      <c r="H454" s="2" t="s">
        <v>1000</v>
      </c>
      <c r="I454" s="13" t="s">
        <v>38</v>
      </c>
      <c r="J454" s="9" t="s">
        <v>182</v>
      </c>
      <c r="K454" s="1" t="s">
        <v>42</v>
      </c>
      <c r="L454" s="7">
        <v>46318</v>
      </c>
      <c r="M454" s="13"/>
      <c r="N454" s="20">
        <f>Table1[[#This Row],[Completion Date]]-Table1[[#This Row],[Date Logged]]</f>
        <v>-46272</v>
      </c>
      <c r="O454" s="13" t="s">
        <v>59</v>
      </c>
      <c r="P454" s="12"/>
      <c r="Q454" s="12"/>
      <c r="R454" s="15"/>
      <c r="S454" s="15"/>
      <c r="T454" s="15" t="s">
        <v>70</v>
      </c>
      <c r="U454" s="12"/>
    </row>
    <row r="455" spans="1:21" ht="19.5" customHeight="1" x14ac:dyDescent="0.3">
      <c r="A455" s="12"/>
      <c r="B455" s="13"/>
      <c r="C455" s="12"/>
      <c r="F455" s="14"/>
      <c r="G455" s="15"/>
      <c r="H455" s="15"/>
      <c r="I455" s="13"/>
      <c r="J455" s="68"/>
      <c r="K455" s="12"/>
      <c r="L455" s="7"/>
      <c r="M455" s="13"/>
      <c r="N455" s="20">
        <f>Table1[[#This Row],[Completion Date]]-Table1[[#This Row],[Date Logged]]</f>
        <v>0</v>
      </c>
      <c r="O455" s="13"/>
      <c r="P455" s="12"/>
      <c r="Q455" s="12"/>
      <c r="R455" s="15"/>
      <c r="S455" s="15"/>
      <c r="T455" s="15"/>
      <c r="U455" s="12"/>
    </row>
    <row r="456" spans="1:21" ht="19.5" customHeight="1" x14ac:dyDescent="0.3">
      <c r="A456" s="12"/>
      <c r="B456" s="13"/>
      <c r="C456" s="12"/>
      <c r="F456" s="14"/>
      <c r="G456" s="15"/>
      <c r="H456" s="15"/>
      <c r="I456" s="13"/>
      <c r="J456" s="68"/>
      <c r="K456" s="12"/>
      <c r="L456" s="7"/>
      <c r="M456" s="13"/>
      <c r="N456" s="20">
        <f>Table1[[#This Row],[Completion Date]]-Table1[[#This Row],[Date Logged]]</f>
        <v>0</v>
      </c>
      <c r="O456" s="13"/>
      <c r="P456" s="12"/>
      <c r="Q456" s="12"/>
      <c r="R456" s="15"/>
      <c r="S456" s="15"/>
      <c r="T456" s="15"/>
      <c r="U456" s="12"/>
    </row>
    <row r="457" spans="1:21" ht="19.5" customHeight="1" x14ac:dyDescent="0.3">
      <c r="A457" s="12"/>
      <c r="B457" s="13"/>
      <c r="C457" s="12"/>
      <c r="F457" s="14"/>
      <c r="G457" s="15"/>
      <c r="H457" s="15"/>
      <c r="I457" s="13"/>
      <c r="J457" s="68"/>
      <c r="K457" s="12"/>
      <c r="L457" s="7"/>
      <c r="M457" s="13"/>
      <c r="N457" s="20">
        <f>Table1[[#This Row],[Completion Date]]-Table1[[#This Row],[Date Logged]]</f>
        <v>0</v>
      </c>
      <c r="O457" s="13"/>
      <c r="P457" s="12"/>
      <c r="Q457" s="12"/>
      <c r="R457" s="15"/>
      <c r="S457" s="15"/>
      <c r="T457" s="15"/>
      <c r="U457" s="12"/>
    </row>
    <row r="458" spans="1:21" ht="19.5" customHeight="1" x14ac:dyDescent="0.3">
      <c r="A458" s="12"/>
      <c r="B458" s="13"/>
      <c r="C458" s="12"/>
      <c r="F458" s="14"/>
      <c r="G458" s="15"/>
      <c r="H458" s="15"/>
      <c r="I458" s="13"/>
      <c r="J458" s="68"/>
      <c r="K458" s="12"/>
      <c r="L458" s="7"/>
      <c r="M458" s="13"/>
      <c r="N458" s="20">
        <f>Table1[[#This Row],[Completion Date]]-Table1[[#This Row],[Date Logged]]</f>
        <v>0</v>
      </c>
      <c r="O458" s="13"/>
      <c r="P458" s="12"/>
      <c r="Q458" s="12"/>
      <c r="R458" s="15"/>
      <c r="S458" s="15"/>
      <c r="T458" s="15"/>
      <c r="U458" s="12"/>
    </row>
    <row r="459" spans="1:21" ht="19.5" customHeight="1" x14ac:dyDescent="0.3">
      <c r="A459" s="12"/>
      <c r="B459" s="13"/>
      <c r="C459" s="12"/>
      <c r="F459" s="14"/>
      <c r="G459" s="15"/>
      <c r="H459" s="15"/>
      <c r="I459" s="13"/>
      <c r="J459" s="68"/>
      <c r="K459" s="12"/>
      <c r="L459" s="7"/>
      <c r="M459" s="13"/>
      <c r="N459" s="20">
        <f>Table1[[#This Row],[Completion Date]]-Table1[[#This Row],[Date Logged]]</f>
        <v>0</v>
      </c>
      <c r="O459" s="13"/>
      <c r="P459" s="12"/>
      <c r="Q459" s="12"/>
      <c r="R459" s="15"/>
      <c r="S459" s="15"/>
      <c r="T459" s="15"/>
      <c r="U459" s="12"/>
    </row>
    <row r="460" spans="1:21" ht="19.5" customHeight="1" x14ac:dyDescent="0.3">
      <c r="A460" s="12"/>
      <c r="B460" s="13"/>
      <c r="C460" s="12"/>
      <c r="F460" s="14"/>
      <c r="G460" s="15"/>
      <c r="H460" s="15"/>
      <c r="I460" s="13"/>
      <c r="J460" s="68"/>
      <c r="K460" s="12"/>
      <c r="L460" s="7"/>
      <c r="M460" s="13"/>
      <c r="N460" s="20">
        <f>Table1[[#This Row],[Completion Date]]-Table1[[#This Row],[Date Logged]]</f>
        <v>0</v>
      </c>
      <c r="O460" s="13"/>
      <c r="P460" s="12"/>
      <c r="Q460" s="12"/>
      <c r="R460" s="15"/>
      <c r="S460" s="15"/>
      <c r="T460" s="15"/>
      <c r="U460" s="12"/>
    </row>
    <row r="461" spans="1:21" ht="19.5" customHeight="1" x14ac:dyDescent="0.3">
      <c r="A461" s="12"/>
      <c r="B461" s="13"/>
      <c r="C461" s="12"/>
      <c r="F461" s="14"/>
      <c r="G461" s="15"/>
      <c r="H461" s="15"/>
      <c r="I461" s="13"/>
      <c r="J461" s="68"/>
      <c r="K461" s="12"/>
      <c r="L461" s="7"/>
      <c r="M461" s="13"/>
      <c r="N461" s="20">
        <f>Table1[[#This Row],[Completion Date]]-Table1[[#This Row],[Date Logged]]</f>
        <v>0</v>
      </c>
      <c r="O461" s="13"/>
      <c r="P461" s="12"/>
      <c r="Q461" s="12"/>
      <c r="R461" s="15"/>
      <c r="S461" s="15"/>
      <c r="T461" s="15"/>
      <c r="U461" s="12"/>
    </row>
    <row r="462" spans="1:21" ht="19.5" customHeight="1" x14ac:dyDescent="0.3">
      <c r="A462" s="12"/>
      <c r="B462" s="13"/>
      <c r="C462" s="12"/>
      <c r="F462" s="14"/>
      <c r="G462" s="15"/>
      <c r="H462" s="15"/>
      <c r="I462" s="13"/>
      <c r="J462" s="68"/>
      <c r="K462" s="12"/>
      <c r="L462" s="7"/>
      <c r="M462" s="13"/>
      <c r="N462" s="20">
        <f>Table1[[#This Row],[Completion Date]]-Table1[[#This Row],[Date Logged]]</f>
        <v>0</v>
      </c>
      <c r="O462" s="13"/>
      <c r="P462" s="12"/>
      <c r="Q462" s="12"/>
      <c r="R462" s="15"/>
      <c r="S462" s="15"/>
      <c r="T462" s="15"/>
      <c r="U462" s="12"/>
    </row>
    <row r="463" spans="1:21" ht="19.5" customHeight="1" x14ac:dyDescent="0.3">
      <c r="A463" s="12"/>
      <c r="B463" s="13"/>
      <c r="C463" s="12"/>
      <c r="F463" s="14"/>
      <c r="G463" s="15"/>
      <c r="H463" s="15"/>
      <c r="I463" s="13"/>
      <c r="J463" s="68"/>
      <c r="K463" s="12"/>
      <c r="L463" s="7"/>
      <c r="M463" s="13"/>
      <c r="N463" s="20">
        <f>Table1[[#This Row],[Completion Date]]-Table1[[#This Row],[Date Logged]]</f>
        <v>0</v>
      </c>
      <c r="O463" s="13"/>
      <c r="P463" s="12"/>
      <c r="Q463" s="12"/>
      <c r="R463" s="15"/>
      <c r="S463" s="15"/>
      <c r="T463" s="15"/>
      <c r="U463" s="12"/>
    </row>
    <row r="464" spans="1:21" ht="19.5" customHeight="1" x14ac:dyDescent="0.3">
      <c r="A464" s="12"/>
      <c r="B464" s="13"/>
      <c r="C464" s="12"/>
      <c r="F464" s="14"/>
      <c r="G464" s="15"/>
      <c r="H464" s="15"/>
      <c r="I464" s="13"/>
      <c r="J464" s="68"/>
      <c r="K464" s="12"/>
      <c r="L464" s="7"/>
      <c r="M464" s="13"/>
      <c r="N464" s="20">
        <f>Table1[[#This Row],[Completion Date]]-Table1[[#This Row],[Date Logged]]</f>
        <v>0</v>
      </c>
      <c r="O464" s="13"/>
      <c r="P464" s="12"/>
      <c r="Q464" s="12"/>
      <c r="R464" s="15"/>
      <c r="S464" s="15"/>
      <c r="T464" s="15"/>
      <c r="U464" s="12"/>
    </row>
    <row r="465" spans="1:21" ht="19.5" customHeight="1" x14ac:dyDescent="0.3">
      <c r="A465" s="12"/>
      <c r="B465" s="13"/>
      <c r="C465" s="12"/>
      <c r="F465" s="14"/>
      <c r="G465" s="15"/>
      <c r="H465" s="15"/>
      <c r="I465" s="13"/>
      <c r="J465" s="68"/>
      <c r="K465" s="12"/>
      <c r="L465" s="7"/>
      <c r="M465" s="13"/>
      <c r="N465" s="20">
        <f>Table1[[#This Row],[Completion Date]]-Table1[[#This Row],[Date Logged]]</f>
        <v>0</v>
      </c>
      <c r="O465" s="13"/>
      <c r="P465" s="12"/>
      <c r="Q465" s="12"/>
      <c r="R465" s="15"/>
      <c r="S465" s="15"/>
      <c r="T465" s="15"/>
      <c r="U465" s="12"/>
    </row>
    <row r="466" spans="1:21" ht="19.5" customHeight="1" x14ac:dyDescent="0.3">
      <c r="A466" s="12"/>
      <c r="B466" s="13"/>
      <c r="C466" s="12"/>
      <c r="F466" s="14"/>
      <c r="G466" s="15"/>
      <c r="H466" s="15"/>
      <c r="I466" s="13"/>
      <c r="J466" s="68"/>
      <c r="K466" s="12"/>
      <c r="L466" s="7"/>
      <c r="M466" s="13"/>
      <c r="N466" s="20">
        <f>Table1[[#This Row],[Completion Date]]-Table1[[#This Row],[Date Logged]]</f>
        <v>0</v>
      </c>
      <c r="O466" s="13"/>
      <c r="P466" s="12"/>
      <c r="Q466" s="12"/>
      <c r="R466" s="15"/>
      <c r="S466" s="15"/>
      <c r="T466" s="15"/>
      <c r="U466" s="12"/>
    </row>
    <row r="467" spans="1:21" ht="19.5" customHeight="1" x14ac:dyDescent="0.3">
      <c r="A467" s="12"/>
      <c r="B467" s="13"/>
      <c r="C467" s="12"/>
      <c r="F467" s="14"/>
      <c r="G467" s="15"/>
      <c r="H467" s="15"/>
      <c r="I467" s="13"/>
      <c r="J467" s="68"/>
      <c r="K467" s="12"/>
      <c r="L467" s="7"/>
      <c r="M467" s="13"/>
      <c r="N467" s="20">
        <f>Table1[[#This Row],[Completion Date]]-Table1[[#This Row],[Date Logged]]</f>
        <v>0</v>
      </c>
      <c r="O467" s="13"/>
      <c r="P467" s="12"/>
      <c r="Q467" s="12"/>
      <c r="R467" s="15"/>
      <c r="S467" s="15"/>
      <c r="T467" s="15"/>
      <c r="U467" s="12"/>
    </row>
    <row r="468" spans="1:21" ht="19.5" customHeight="1" x14ac:dyDescent="0.3">
      <c r="A468" s="12"/>
      <c r="B468" s="13"/>
      <c r="C468" s="12"/>
      <c r="F468" s="14"/>
      <c r="G468" s="15"/>
      <c r="H468" s="15"/>
      <c r="I468" s="13"/>
      <c r="J468" s="68"/>
      <c r="K468" s="12"/>
      <c r="L468" s="7"/>
      <c r="M468" s="13"/>
      <c r="N468" s="20">
        <f>Table1[[#This Row],[Completion Date]]-Table1[[#This Row],[Date Logged]]</f>
        <v>0</v>
      </c>
      <c r="O468" s="13"/>
      <c r="P468" s="12"/>
      <c r="Q468" s="12"/>
      <c r="R468" s="15"/>
      <c r="S468" s="15"/>
      <c r="T468" s="15"/>
      <c r="U468" s="12"/>
    </row>
    <row r="469" spans="1:21" ht="19.5" customHeight="1" x14ac:dyDescent="0.3">
      <c r="A469" s="12"/>
      <c r="B469" s="13"/>
      <c r="C469" s="12"/>
      <c r="F469" s="14"/>
      <c r="G469" s="15"/>
      <c r="H469" s="15"/>
      <c r="I469" s="13"/>
      <c r="J469" s="68"/>
      <c r="K469" s="12"/>
      <c r="L469" s="7"/>
      <c r="M469" s="13"/>
      <c r="N469" s="20">
        <f>Table1[[#This Row],[Completion Date]]-Table1[[#This Row],[Date Logged]]</f>
        <v>0</v>
      </c>
      <c r="O469" s="13"/>
      <c r="P469" s="12"/>
      <c r="Q469" s="12"/>
      <c r="R469" s="15"/>
      <c r="S469" s="15"/>
      <c r="T469" s="15"/>
      <c r="U469" s="12"/>
    </row>
    <row r="470" spans="1:21" ht="19.5" customHeight="1" x14ac:dyDescent="0.3">
      <c r="A470" s="12"/>
      <c r="B470" s="13"/>
      <c r="C470" s="12"/>
      <c r="F470" s="14"/>
      <c r="G470" s="15"/>
      <c r="H470" s="15"/>
      <c r="I470" s="13"/>
      <c r="J470" s="68"/>
      <c r="K470" s="12"/>
      <c r="L470" s="7"/>
      <c r="M470" s="13"/>
      <c r="N470" s="20">
        <f>Table1[[#This Row],[Completion Date]]-Table1[[#This Row],[Date Logged]]</f>
        <v>0</v>
      </c>
      <c r="O470" s="13"/>
      <c r="P470" s="12"/>
      <c r="Q470" s="12"/>
      <c r="R470" s="15"/>
      <c r="S470" s="15"/>
      <c r="T470" s="15"/>
      <c r="U470" s="12"/>
    </row>
    <row r="471" spans="1:21" ht="19.5" customHeight="1" x14ac:dyDescent="0.3">
      <c r="A471" s="12"/>
      <c r="B471" s="13"/>
      <c r="C471" s="12"/>
      <c r="F471" s="14"/>
      <c r="G471" s="15"/>
      <c r="H471" s="15"/>
      <c r="I471" s="13"/>
      <c r="J471" s="68"/>
      <c r="K471" s="12"/>
      <c r="L471" s="7"/>
      <c r="M471" s="13"/>
      <c r="N471" s="20">
        <f>Table1[[#This Row],[Completion Date]]-Table1[[#This Row],[Date Logged]]</f>
        <v>0</v>
      </c>
      <c r="O471" s="13"/>
      <c r="P471" s="12"/>
      <c r="Q471" s="12"/>
      <c r="R471" s="15"/>
      <c r="S471" s="15"/>
      <c r="T471" s="15"/>
      <c r="U471" s="12"/>
    </row>
    <row r="472" spans="1:21" ht="19.5" customHeight="1" x14ac:dyDescent="0.3">
      <c r="A472" s="12"/>
      <c r="B472" s="13"/>
      <c r="C472" s="12"/>
      <c r="F472" s="14"/>
      <c r="G472" s="15"/>
      <c r="H472" s="15"/>
      <c r="I472" s="13"/>
      <c r="J472" s="68"/>
      <c r="K472" s="12"/>
      <c r="L472" s="7"/>
      <c r="M472" s="13"/>
      <c r="N472" s="20">
        <f>Table1[[#This Row],[Completion Date]]-Table1[[#This Row],[Date Logged]]</f>
        <v>0</v>
      </c>
      <c r="O472" s="13"/>
      <c r="P472" s="12"/>
      <c r="Q472" s="12"/>
      <c r="R472" s="15"/>
      <c r="S472" s="15"/>
      <c r="T472" s="15"/>
      <c r="U472" s="12"/>
    </row>
    <row r="473" spans="1:21" ht="19.5" customHeight="1" x14ac:dyDescent="0.3">
      <c r="A473" s="12"/>
      <c r="B473" s="13"/>
      <c r="C473" s="12"/>
      <c r="F473" s="14"/>
      <c r="G473" s="15"/>
      <c r="H473" s="15"/>
      <c r="I473" s="13"/>
      <c r="J473" s="68"/>
      <c r="K473" s="12"/>
      <c r="L473" s="7"/>
      <c r="M473" s="13"/>
      <c r="N473" s="20">
        <f>Table1[[#This Row],[Completion Date]]-Table1[[#This Row],[Date Logged]]</f>
        <v>0</v>
      </c>
      <c r="O473" s="13"/>
      <c r="P473" s="12"/>
      <c r="Q473" s="12"/>
      <c r="R473" s="15"/>
      <c r="S473" s="15"/>
      <c r="T473" s="15"/>
      <c r="U473" s="12"/>
    </row>
    <row r="474" spans="1:21" ht="19.5" customHeight="1" x14ac:dyDescent="0.3">
      <c r="A474" s="12"/>
      <c r="B474" s="13"/>
      <c r="C474" s="12"/>
      <c r="F474" s="14"/>
      <c r="G474" s="15"/>
      <c r="H474" s="15"/>
      <c r="I474" s="13"/>
      <c r="J474" s="68"/>
      <c r="K474" s="12"/>
      <c r="L474" s="7"/>
      <c r="M474" s="13"/>
      <c r="N474" s="20">
        <f>Table1[[#This Row],[Completion Date]]-Table1[[#This Row],[Date Logged]]</f>
        <v>0</v>
      </c>
      <c r="O474" s="13"/>
      <c r="P474" s="12"/>
      <c r="Q474" s="12"/>
      <c r="R474" s="15"/>
      <c r="S474" s="15"/>
      <c r="T474" s="15"/>
      <c r="U474" s="12"/>
    </row>
    <row r="475" spans="1:21" ht="19.5" customHeight="1" x14ac:dyDescent="0.3">
      <c r="A475" s="12"/>
      <c r="B475" s="13"/>
      <c r="C475" s="12"/>
      <c r="F475" s="14"/>
      <c r="G475" s="15"/>
      <c r="H475" s="15"/>
      <c r="I475" s="13"/>
      <c r="J475" s="68"/>
      <c r="K475" s="12"/>
      <c r="L475" s="7"/>
      <c r="M475" s="13"/>
      <c r="N475" s="20">
        <f>Table1[[#This Row],[Completion Date]]-Table1[[#This Row],[Date Logged]]</f>
        <v>0</v>
      </c>
      <c r="O475" s="13"/>
      <c r="P475" s="12"/>
      <c r="Q475" s="12"/>
      <c r="R475" s="15"/>
      <c r="S475" s="15"/>
      <c r="T475" s="15"/>
      <c r="U475" s="12"/>
    </row>
    <row r="476" spans="1:21" ht="19.5" customHeight="1" x14ac:dyDescent="0.3">
      <c r="A476" s="12"/>
      <c r="B476" s="13"/>
      <c r="C476" s="12"/>
      <c r="F476" s="14"/>
      <c r="G476" s="15"/>
      <c r="H476" s="15"/>
      <c r="I476" s="13"/>
      <c r="J476" s="68"/>
      <c r="K476" s="12"/>
      <c r="L476" s="7"/>
      <c r="M476" s="13"/>
      <c r="N476" s="20">
        <f>Table1[[#This Row],[Completion Date]]-Table1[[#This Row],[Date Logged]]</f>
        <v>0</v>
      </c>
      <c r="O476" s="13"/>
      <c r="P476" s="12"/>
      <c r="Q476" s="12"/>
      <c r="R476" s="15"/>
      <c r="S476" s="15"/>
      <c r="T476" s="15"/>
      <c r="U476" s="12"/>
    </row>
    <row r="477" spans="1:21" ht="19.5" customHeight="1" x14ac:dyDescent="0.3">
      <c r="A477" s="12"/>
      <c r="B477" s="13"/>
      <c r="C477" s="12"/>
      <c r="F477" s="14"/>
      <c r="G477" s="15"/>
      <c r="H477" s="15"/>
      <c r="I477" s="13"/>
      <c r="J477" s="68"/>
      <c r="K477" s="12"/>
      <c r="L477" s="7"/>
      <c r="M477" s="13"/>
      <c r="N477" s="20">
        <f>Table1[[#This Row],[Completion Date]]-Table1[[#This Row],[Date Logged]]</f>
        <v>0</v>
      </c>
      <c r="O477" s="13"/>
      <c r="P477" s="12"/>
      <c r="Q477" s="12"/>
      <c r="R477" s="15"/>
      <c r="S477" s="15"/>
      <c r="T477" s="15"/>
      <c r="U477" s="12"/>
    </row>
    <row r="478" spans="1:21" ht="19.5" customHeight="1" x14ac:dyDescent="0.3">
      <c r="A478" s="12"/>
      <c r="B478" s="13"/>
      <c r="C478" s="12"/>
      <c r="F478" s="14"/>
      <c r="G478" s="15"/>
      <c r="H478" s="15"/>
      <c r="I478" s="13"/>
      <c r="J478" s="68"/>
      <c r="K478" s="12"/>
      <c r="L478" s="7"/>
      <c r="M478" s="13"/>
      <c r="N478" s="20">
        <f>Table1[[#This Row],[Completion Date]]-Table1[[#This Row],[Date Logged]]</f>
        <v>0</v>
      </c>
      <c r="O478" s="13"/>
      <c r="P478" s="12"/>
      <c r="Q478" s="12"/>
      <c r="R478" s="15"/>
      <c r="S478" s="15"/>
      <c r="T478" s="15"/>
      <c r="U478" s="12"/>
    </row>
    <row r="479" spans="1:21" ht="19.5" customHeight="1" x14ac:dyDescent="0.3">
      <c r="A479" s="12"/>
      <c r="B479" s="13"/>
      <c r="C479" s="12"/>
      <c r="F479" s="14"/>
      <c r="G479" s="15"/>
      <c r="H479" s="15"/>
      <c r="I479" s="13"/>
      <c r="J479" s="68"/>
      <c r="K479" s="12"/>
      <c r="L479" s="7"/>
      <c r="M479" s="13"/>
      <c r="N479" s="20">
        <f>Table1[[#This Row],[Completion Date]]-Table1[[#This Row],[Date Logged]]</f>
        <v>0</v>
      </c>
      <c r="O479" s="13"/>
      <c r="P479" s="12"/>
      <c r="Q479" s="12"/>
      <c r="R479" s="15"/>
      <c r="S479" s="15"/>
      <c r="T479" s="15"/>
      <c r="U479" s="12"/>
    </row>
    <row r="480" spans="1:21" ht="19.5" customHeight="1" x14ac:dyDescent="0.3">
      <c r="A480" s="12"/>
      <c r="B480" s="13"/>
      <c r="C480" s="12"/>
      <c r="F480" s="14"/>
      <c r="G480" s="15"/>
      <c r="H480" s="15"/>
      <c r="I480" s="13"/>
      <c r="J480" s="68"/>
      <c r="K480" s="12"/>
      <c r="L480" s="7"/>
      <c r="M480" s="13"/>
      <c r="N480" s="20">
        <f>Table1[[#This Row],[Completion Date]]-Table1[[#This Row],[Date Logged]]</f>
        <v>0</v>
      </c>
      <c r="O480" s="13"/>
      <c r="P480" s="12"/>
      <c r="Q480" s="12"/>
      <c r="R480" s="15"/>
      <c r="S480" s="15"/>
      <c r="T480" s="15"/>
      <c r="U480" s="12"/>
    </row>
    <row r="481" spans="1:21" ht="19.5" customHeight="1" x14ac:dyDescent="0.3">
      <c r="A481" s="12"/>
      <c r="B481" s="13"/>
      <c r="C481" s="12"/>
      <c r="F481" s="14"/>
      <c r="G481" s="15"/>
      <c r="H481" s="15"/>
      <c r="I481" s="13"/>
      <c r="J481" s="68"/>
      <c r="K481" s="12"/>
      <c r="L481" s="7"/>
      <c r="M481" s="13"/>
      <c r="N481" s="20">
        <f>Table1[[#This Row],[Completion Date]]-Table1[[#This Row],[Date Logged]]</f>
        <v>0</v>
      </c>
      <c r="O481" s="13"/>
      <c r="P481" s="12"/>
      <c r="Q481" s="12"/>
      <c r="R481" s="15"/>
      <c r="S481" s="15"/>
      <c r="T481" s="15"/>
      <c r="U481" s="12"/>
    </row>
    <row r="482" spans="1:21" ht="19.5" customHeight="1" x14ac:dyDescent="0.3">
      <c r="A482" s="12"/>
      <c r="B482" s="13"/>
      <c r="C482" s="12"/>
      <c r="F482" s="14"/>
      <c r="G482" s="15"/>
      <c r="H482" s="15"/>
      <c r="I482" s="13"/>
      <c r="J482" s="68"/>
      <c r="K482" s="12"/>
      <c r="L482" s="7"/>
      <c r="M482" s="13"/>
      <c r="N482" s="20">
        <f>Table1[[#This Row],[Completion Date]]-Table1[[#This Row],[Date Logged]]</f>
        <v>0</v>
      </c>
      <c r="O482" s="13"/>
      <c r="P482" s="12"/>
      <c r="Q482" s="12"/>
      <c r="R482" s="15"/>
      <c r="S482" s="15"/>
      <c r="T482" s="15"/>
      <c r="U482" s="12"/>
    </row>
    <row r="483" spans="1:21" ht="19.5" customHeight="1" x14ac:dyDescent="0.3">
      <c r="A483" s="12"/>
      <c r="B483" s="13"/>
      <c r="C483" s="12"/>
      <c r="F483" s="14"/>
      <c r="G483" s="15"/>
      <c r="H483" s="15"/>
      <c r="I483" s="13"/>
      <c r="J483" s="68"/>
      <c r="K483" s="12"/>
      <c r="L483" s="7"/>
      <c r="M483" s="13"/>
      <c r="N483" s="20">
        <f>Table1[[#This Row],[Completion Date]]-Table1[[#This Row],[Date Logged]]</f>
        <v>0</v>
      </c>
      <c r="O483" s="13"/>
      <c r="P483" s="12"/>
      <c r="Q483" s="12"/>
      <c r="R483" s="15"/>
      <c r="S483" s="15"/>
      <c r="T483" s="15"/>
      <c r="U483" s="12"/>
    </row>
    <row r="484" spans="1:21" ht="19.5" customHeight="1" x14ac:dyDescent="0.3">
      <c r="A484" s="12"/>
      <c r="B484" s="13"/>
      <c r="C484" s="12"/>
      <c r="F484" s="14"/>
      <c r="G484" s="15"/>
      <c r="H484" s="15"/>
      <c r="I484" s="13"/>
      <c r="J484" s="68"/>
      <c r="K484" s="12"/>
      <c r="L484" s="7"/>
      <c r="M484" s="13"/>
      <c r="N484" s="20">
        <f>Table1[[#This Row],[Completion Date]]-Table1[[#This Row],[Date Logged]]</f>
        <v>0</v>
      </c>
      <c r="O484" s="13"/>
      <c r="P484" s="12"/>
      <c r="Q484" s="12"/>
      <c r="R484" s="15"/>
      <c r="S484" s="15"/>
      <c r="T484" s="15"/>
      <c r="U484" s="12"/>
    </row>
    <row r="485" spans="1:21" ht="19.5" customHeight="1" x14ac:dyDescent="0.3">
      <c r="A485" s="12"/>
      <c r="B485" s="13"/>
      <c r="C485" s="12"/>
      <c r="F485" s="14"/>
      <c r="G485" s="15"/>
      <c r="H485" s="15"/>
      <c r="I485" s="13"/>
      <c r="J485" s="68"/>
      <c r="K485" s="12"/>
      <c r="L485" s="7"/>
      <c r="M485" s="13"/>
      <c r="N485" s="20">
        <f>Table1[[#This Row],[Completion Date]]-Table1[[#This Row],[Date Logged]]</f>
        <v>0</v>
      </c>
      <c r="O485" s="13"/>
      <c r="P485" s="12"/>
      <c r="Q485" s="12"/>
      <c r="R485" s="15"/>
      <c r="S485" s="15"/>
      <c r="T485" s="15"/>
      <c r="U485" s="12"/>
    </row>
    <row r="486" spans="1:21" ht="19.5" customHeight="1" x14ac:dyDescent="0.3">
      <c r="A486" s="12"/>
      <c r="B486" s="13"/>
      <c r="C486" s="12"/>
      <c r="F486" s="14"/>
      <c r="G486" s="15"/>
      <c r="H486" s="15"/>
      <c r="I486" s="13"/>
      <c r="J486" s="68"/>
      <c r="K486" s="12"/>
      <c r="L486" s="7"/>
      <c r="M486" s="13"/>
      <c r="N486" s="20">
        <f>Table1[[#This Row],[Completion Date]]-Table1[[#This Row],[Date Logged]]</f>
        <v>0</v>
      </c>
      <c r="O486" s="13"/>
      <c r="P486" s="12"/>
      <c r="Q486" s="12"/>
      <c r="R486" s="15"/>
      <c r="S486" s="15"/>
      <c r="T486" s="15"/>
      <c r="U486" s="12"/>
    </row>
    <row r="487" spans="1:21" ht="19.5" customHeight="1" x14ac:dyDescent="0.3">
      <c r="A487" s="12"/>
      <c r="B487" s="13"/>
      <c r="C487" s="12"/>
      <c r="F487" s="14"/>
      <c r="G487" s="15"/>
      <c r="H487" s="15"/>
      <c r="I487" s="13"/>
      <c r="J487" s="68"/>
      <c r="K487" s="12"/>
      <c r="L487" s="7"/>
      <c r="M487" s="13"/>
      <c r="N487" s="20">
        <f>Table1[[#This Row],[Completion Date]]-Table1[[#This Row],[Date Logged]]</f>
        <v>0</v>
      </c>
      <c r="O487" s="13"/>
      <c r="P487" s="12"/>
      <c r="Q487" s="12"/>
      <c r="R487" s="15"/>
      <c r="S487" s="15"/>
      <c r="T487" s="15"/>
      <c r="U487" s="12"/>
    </row>
    <row r="488" spans="1:21" ht="19.5" customHeight="1" x14ac:dyDescent="0.3">
      <c r="A488" s="12"/>
      <c r="B488" s="13"/>
      <c r="C488" s="12"/>
      <c r="F488" s="14"/>
      <c r="G488" s="15"/>
      <c r="H488" s="15"/>
      <c r="I488" s="13"/>
      <c r="J488" s="68"/>
      <c r="K488" s="12"/>
      <c r="L488" s="7"/>
      <c r="M488" s="13"/>
      <c r="N488" s="20">
        <f>Table1[[#This Row],[Completion Date]]-Table1[[#This Row],[Date Logged]]</f>
        <v>0</v>
      </c>
      <c r="O488" s="13"/>
      <c r="P488" s="12"/>
      <c r="Q488" s="12"/>
      <c r="R488" s="15"/>
      <c r="S488" s="15"/>
      <c r="T488" s="15"/>
      <c r="U488" s="12"/>
    </row>
    <row r="489" spans="1:21" ht="19.5" customHeight="1" x14ac:dyDescent="0.3">
      <c r="A489" s="12"/>
      <c r="B489" s="13"/>
      <c r="C489" s="12"/>
      <c r="F489" s="14"/>
      <c r="G489" s="15"/>
      <c r="H489" s="15"/>
      <c r="I489" s="13"/>
      <c r="J489" s="68"/>
      <c r="K489" s="12"/>
      <c r="L489" s="7"/>
      <c r="M489" s="13"/>
      <c r="N489" s="20">
        <f>Table1[[#This Row],[Completion Date]]-Table1[[#This Row],[Date Logged]]</f>
        <v>0</v>
      </c>
      <c r="O489" s="13"/>
      <c r="P489" s="12"/>
      <c r="Q489" s="12"/>
      <c r="R489" s="15"/>
      <c r="S489" s="15"/>
      <c r="T489" s="15"/>
      <c r="U489" s="12"/>
    </row>
    <row r="490" spans="1:21" ht="19.5" customHeight="1" x14ac:dyDescent="0.3">
      <c r="A490" s="12"/>
      <c r="B490" s="13"/>
      <c r="C490" s="12"/>
      <c r="F490" s="14"/>
      <c r="G490" s="15"/>
      <c r="H490" s="15"/>
      <c r="I490" s="13"/>
      <c r="J490" s="68"/>
      <c r="K490" s="12"/>
      <c r="L490" s="7"/>
      <c r="M490" s="13"/>
      <c r="N490" s="20">
        <f>Table1[[#This Row],[Completion Date]]-Table1[[#This Row],[Date Logged]]</f>
        <v>0</v>
      </c>
      <c r="O490" s="13"/>
      <c r="P490" s="12"/>
      <c r="Q490" s="12"/>
      <c r="R490" s="15"/>
      <c r="S490" s="15"/>
      <c r="T490" s="15"/>
      <c r="U490" s="12"/>
    </row>
    <row r="491" spans="1:21" ht="19.5" customHeight="1" x14ac:dyDescent="0.3">
      <c r="A491" s="12"/>
      <c r="B491" s="13"/>
      <c r="C491" s="12"/>
      <c r="F491" s="14"/>
      <c r="G491" s="15"/>
      <c r="H491" s="15"/>
      <c r="I491" s="13"/>
      <c r="J491" s="68"/>
      <c r="K491" s="12"/>
      <c r="L491" s="7"/>
      <c r="M491" s="13"/>
      <c r="N491" s="20">
        <f>Table1[[#This Row],[Completion Date]]-Table1[[#This Row],[Date Logged]]</f>
        <v>0</v>
      </c>
      <c r="O491" s="13"/>
      <c r="P491" s="12"/>
      <c r="Q491" s="12"/>
      <c r="R491" s="15"/>
      <c r="S491" s="15"/>
      <c r="T491" s="15"/>
      <c r="U491" s="12"/>
    </row>
    <row r="492" spans="1:21" ht="19.5" customHeight="1" x14ac:dyDescent="0.3">
      <c r="A492" s="12"/>
      <c r="B492" s="13"/>
      <c r="C492" s="12"/>
      <c r="F492" s="14"/>
      <c r="G492" s="15"/>
      <c r="H492" s="15"/>
      <c r="I492" s="13"/>
      <c r="J492" s="68"/>
      <c r="K492" s="12"/>
      <c r="L492" s="7"/>
      <c r="M492" s="13"/>
      <c r="N492" s="20">
        <f>Table1[[#This Row],[Completion Date]]-Table1[[#This Row],[Date Logged]]</f>
        <v>0</v>
      </c>
      <c r="O492" s="13"/>
      <c r="P492" s="12"/>
      <c r="Q492" s="12"/>
      <c r="R492" s="15"/>
      <c r="S492" s="15"/>
      <c r="T492" s="15"/>
      <c r="U492" s="12"/>
    </row>
    <row r="493" spans="1:21" ht="19.5" customHeight="1" x14ac:dyDescent="0.3">
      <c r="A493" s="12"/>
      <c r="B493" s="13"/>
      <c r="C493" s="12"/>
      <c r="F493" s="14"/>
      <c r="G493" s="15"/>
      <c r="H493" s="15"/>
      <c r="I493" s="13"/>
      <c r="J493" s="68"/>
      <c r="K493" s="12"/>
      <c r="L493" s="7"/>
      <c r="M493" s="13"/>
      <c r="N493" s="20">
        <f>Table1[[#This Row],[Completion Date]]-Table1[[#This Row],[Date Logged]]</f>
        <v>0</v>
      </c>
      <c r="O493" s="13"/>
      <c r="P493" s="12"/>
      <c r="Q493" s="12"/>
      <c r="R493" s="15"/>
      <c r="S493" s="15"/>
      <c r="T493" s="15"/>
      <c r="U493" s="12"/>
    </row>
    <row r="494" spans="1:21" ht="19.5" customHeight="1" x14ac:dyDescent="0.3">
      <c r="A494" s="12"/>
      <c r="B494" s="13"/>
      <c r="C494" s="12"/>
      <c r="F494" s="14"/>
      <c r="G494" s="15"/>
      <c r="H494" s="15"/>
      <c r="I494" s="13"/>
      <c r="J494" s="68"/>
      <c r="K494" s="12"/>
      <c r="L494" s="7"/>
      <c r="M494" s="13"/>
      <c r="N494" s="20">
        <f>Table1[[#This Row],[Completion Date]]-Table1[[#This Row],[Date Logged]]</f>
        <v>0</v>
      </c>
      <c r="O494" s="13"/>
      <c r="P494" s="12"/>
      <c r="Q494" s="12"/>
      <c r="R494" s="15"/>
      <c r="S494" s="15"/>
      <c r="T494" s="15"/>
      <c r="U494" s="12"/>
    </row>
    <row r="495" spans="1:21" ht="19.5" customHeight="1" x14ac:dyDescent="0.3">
      <c r="A495" s="12"/>
      <c r="B495" s="13"/>
      <c r="C495" s="12"/>
      <c r="F495" s="14"/>
      <c r="G495" s="15"/>
      <c r="H495" s="15"/>
      <c r="I495" s="13"/>
      <c r="J495" s="68"/>
      <c r="K495" s="12"/>
      <c r="L495" s="7"/>
      <c r="M495" s="13"/>
      <c r="N495" s="20">
        <f>Table1[[#This Row],[Completion Date]]-Table1[[#This Row],[Date Logged]]</f>
        <v>0</v>
      </c>
      <c r="O495" s="13"/>
      <c r="P495" s="12"/>
      <c r="Q495" s="12"/>
      <c r="R495" s="15"/>
      <c r="S495" s="15"/>
      <c r="T495" s="15"/>
      <c r="U495" s="12"/>
    </row>
    <row r="496" spans="1:21" ht="19.5" customHeight="1" x14ac:dyDescent="0.3">
      <c r="A496" s="12"/>
      <c r="B496" s="13"/>
      <c r="C496" s="12"/>
      <c r="F496" s="14"/>
      <c r="G496" s="15"/>
      <c r="H496" s="15"/>
      <c r="I496" s="13"/>
      <c r="J496" s="68"/>
      <c r="K496" s="12"/>
      <c r="L496" s="7"/>
      <c r="M496" s="13"/>
      <c r="N496" s="20">
        <f>Table1[[#This Row],[Completion Date]]-Table1[[#This Row],[Date Logged]]</f>
        <v>0</v>
      </c>
      <c r="O496" s="13"/>
      <c r="P496" s="12"/>
      <c r="Q496" s="12"/>
      <c r="R496" s="15"/>
      <c r="S496" s="15"/>
      <c r="T496" s="15"/>
      <c r="U496" s="12"/>
    </row>
    <row r="497" spans="1:21" ht="19.5" customHeight="1" x14ac:dyDescent="0.3">
      <c r="A497" s="12"/>
      <c r="B497" s="13"/>
      <c r="C497" s="12"/>
      <c r="F497" s="14"/>
      <c r="G497" s="15"/>
      <c r="H497" s="15"/>
      <c r="I497" s="13"/>
      <c r="J497" s="68"/>
      <c r="K497" s="12"/>
      <c r="L497" s="7"/>
      <c r="M497" s="13"/>
      <c r="N497" s="20">
        <f>Table1[[#This Row],[Completion Date]]-Table1[[#This Row],[Date Logged]]</f>
        <v>0</v>
      </c>
      <c r="O497" s="13"/>
      <c r="P497" s="12"/>
      <c r="Q497" s="12"/>
      <c r="R497" s="15"/>
      <c r="S497" s="15"/>
      <c r="T497" s="15"/>
      <c r="U497" s="12"/>
    </row>
    <row r="498" spans="1:21" ht="19.5" customHeight="1" x14ac:dyDescent="0.3">
      <c r="A498" s="12"/>
      <c r="B498" s="13"/>
      <c r="C498" s="12"/>
      <c r="F498" s="14"/>
      <c r="G498" s="15"/>
      <c r="H498" s="15"/>
      <c r="I498" s="13"/>
      <c r="J498" s="68"/>
      <c r="K498" s="12"/>
      <c r="L498" s="7"/>
      <c r="M498" s="13"/>
      <c r="N498" s="20">
        <f>Table1[[#This Row],[Completion Date]]-Table1[[#This Row],[Date Logged]]</f>
        <v>0</v>
      </c>
      <c r="O498" s="13"/>
      <c r="P498" s="12"/>
      <c r="Q498" s="12"/>
      <c r="R498" s="15"/>
      <c r="S498" s="15"/>
      <c r="T498" s="15"/>
      <c r="U498" s="12"/>
    </row>
    <row r="499" spans="1:21" ht="19.5" customHeight="1" x14ac:dyDescent="0.3">
      <c r="A499" s="12"/>
      <c r="B499" s="13"/>
      <c r="C499" s="12"/>
      <c r="F499" s="14"/>
      <c r="G499" s="15"/>
      <c r="H499" s="15"/>
      <c r="I499" s="13"/>
      <c r="J499" s="68"/>
      <c r="K499" s="12"/>
      <c r="L499" s="7"/>
      <c r="M499" s="13"/>
      <c r="N499" s="20">
        <f>Table1[[#This Row],[Completion Date]]-Table1[[#This Row],[Date Logged]]</f>
        <v>0</v>
      </c>
      <c r="O499" s="13"/>
      <c r="P499" s="12"/>
      <c r="Q499" s="12"/>
      <c r="R499" s="15"/>
      <c r="S499" s="15"/>
      <c r="T499" s="15"/>
      <c r="U499" s="12"/>
    </row>
    <row r="500" spans="1:21" ht="19.5" customHeight="1" x14ac:dyDescent="0.3">
      <c r="A500" s="12"/>
      <c r="B500" s="13"/>
      <c r="C500" s="12"/>
      <c r="F500" s="14"/>
      <c r="G500" s="15"/>
      <c r="H500" s="15"/>
      <c r="I500" s="13"/>
      <c r="J500" s="68"/>
      <c r="K500" s="12"/>
      <c r="L500" s="7"/>
      <c r="M500" s="13"/>
      <c r="N500" s="20">
        <f>Table1[[#This Row],[Completion Date]]-Table1[[#This Row],[Date Logged]]</f>
        <v>0</v>
      </c>
      <c r="O500" s="13"/>
      <c r="P500" s="12"/>
      <c r="Q500" s="12"/>
      <c r="R500" s="15"/>
      <c r="S500" s="15"/>
      <c r="T500" s="15"/>
      <c r="U500" s="12"/>
    </row>
    <row r="501" spans="1:21" ht="19.5" customHeight="1" x14ac:dyDescent="0.3">
      <c r="A501" s="12"/>
      <c r="B501" s="13"/>
      <c r="C501" s="12"/>
      <c r="F501" s="14"/>
      <c r="G501" s="15"/>
      <c r="H501" s="15"/>
      <c r="I501" s="13"/>
      <c r="J501" s="68"/>
      <c r="K501" s="12"/>
      <c r="L501" s="7"/>
      <c r="M501" s="13"/>
      <c r="N501" s="20">
        <f>Table1[[#This Row],[Completion Date]]-Table1[[#This Row],[Date Logged]]</f>
        <v>0</v>
      </c>
      <c r="O501" s="13"/>
      <c r="P501" s="12"/>
      <c r="Q501" s="12"/>
      <c r="R501" s="15"/>
      <c r="S501" s="15"/>
      <c r="T501" s="15"/>
      <c r="U501" s="12"/>
    </row>
    <row r="502" spans="1:21" ht="19.5" customHeight="1" x14ac:dyDescent="0.3">
      <c r="A502" s="12"/>
      <c r="B502" s="13"/>
      <c r="C502" s="12"/>
      <c r="F502" s="14"/>
      <c r="G502" s="15"/>
      <c r="H502" s="15"/>
      <c r="I502" s="13"/>
      <c r="J502" s="68"/>
      <c r="K502" s="12"/>
      <c r="L502" s="7"/>
      <c r="M502" s="13"/>
      <c r="N502" s="20">
        <f>Table1[[#This Row],[Completion Date]]-Table1[[#This Row],[Date Logged]]</f>
        <v>0</v>
      </c>
      <c r="O502" s="13"/>
      <c r="P502" s="12"/>
      <c r="Q502" s="12"/>
      <c r="R502" s="15"/>
      <c r="S502" s="15"/>
      <c r="T502" s="15"/>
      <c r="U502" s="12"/>
    </row>
    <row r="503" spans="1:21" ht="19.5" customHeight="1" x14ac:dyDescent="0.3">
      <c r="A503" s="12"/>
      <c r="B503" s="13"/>
      <c r="C503" s="12"/>
      <c r="F503" s="14"/>
      <c r="G503" s="15"/>
      <c r="H503" s="15"/>
      <c r="I503" s="13"/>
      <c r="J503" s="68"/>
      <c r="K503" s="12"/>
      <c r="L503" s="7"/>
      <c r="M503" s="13"/>
      <c r="N503" s="20">
        <f>Table1[[#This Row],[Completion Date]]-Table1[[#This Row],[Date Logged]]</f>
        <v>0</v>
      </c>
      <c r="O503" s="13"/>
      <c r="P503" s="12"/>
      <c r="Q503" s="12"/>
      <c r="R503" s="15"/>
      <c r="S503" s="15"/>
      <c r="T503" s="15"/>
      <c r="U503" s="12"/>
    </row>
    <row r="504" spans="1:21" ht="19.5" customHeight="1" x14ac:dyDescent="0.3">
      <c r="A504" s="12"/>
      <c r="B504" s="13"/>
      <c r="C504" s="12"/>
      <c r="F504" s="14"/>
      <c r="G504" s="15"/>
      <c r="H504" s="15"/>
      <c r="I504" s="13"/>
      <c r="J504" s="68"/>
      <c r="K504" s="12"/>
      <c r="L504" s="7"/>
      <c r="M504" s="13"/>
      <c r="N504" s="20">
        <f>Table1[[#This Row],[Completion Date]]-Table1[[#This Row],[Date Logged]]</f>
        <v>0</v>
      </c>
      <c r="O504" s="13"/>
      <c r="P504" s="12"/>
      <c r="Q504" s="12"/>
      <c r="R504" s="15"/>
      <c r="S504" s="15"/>
      <c r="T504" s="15"/>
      <c r="U504" s="12"/>
    </row>
    <row r="505" spans="1:21" ht="19.5" customHeight="1" x14ac:dyDescent="0.3">
      <c r="A505" s="12"/>
      <c r="B505" s="13"/>
      <c r="C505" s="12"/>
      <c r="F505" s="14"/>
      <c r="G505" s="15"/>
      <c r="H505" s="15"/>
      <c r="I505" s="13"/>
      <c r="J505" s="68"/>
      <c r="K505" s="12"/>
      <c r="L505" s="7"/>
      <c r="M505" s="13"/>
      <c r="N505" s="20">
        <f>Table1[[#This Row],[Completion Date]]-Table1[[#This Row],[Date Logged]]</f>
        <v>0</v>
      </c>
      <c r="O505" s="13"/>
      <c r="P505" s="12"/>
      <c r="Q505" s="12"/>
      <c r="R505" s="15"/>
      <c r="S505" s="15"/>
      <c r="T505" s="15"/>
      <c r="U505" s="12"/>
    </row>
    <row r="506" spans="1:21" ht="19.5" customHeight="1" x14ac:dyDescent="0.3">
      <c r="A506" s="12"/>
      <c r="B506" s="13"/>
      <c r="C506" s="12"/>
      <c r="F506" s="14"/>
      <c r="G506" s="15"/>
      <c r="H506" s="15"/>
      <c r="I506" s="13"/>
      <c r="J506" s="68"/>
      <c r="K506" s="12"/>
      <c r="L506" s="7"/>
      <c r="M506" s="13"/>
      <c r="N506" s="20">
        <f>Table1[[#This Row],[Completion Date]]-Table1[[#This Row],[Date Logged]]</f>
        <v>0</v>
      </c>
      <c r="O506" s="13"/>
      <c r="P506" s="12"/>
      <c r="Q506" s="12"/>
      <c r="R506" s="15"/>
      <c r="S506" s="15"/>
      <c r="T506" s="15"/>
      <c r="U506" s="12"/>
    </row>
    <row r="507" spans="1:21" ht="19.5" customHeight="1" x14ac:dyDescent="0.3">
      <c r="A507" s="12"/>
      <c r="B507" s="13"/>
      <c r="C507" s="12"/>
      <c r="F507" s="14"/>
      <c r="G507" s="15"/>
      <c r="H507" s="15"/>
      <c r="I507" s="13"/>
      <c r="J507" s="68"/>
      <c r="K507" s="12"/>
      <c r="L507" s="7"/>
      <c r="M507" s="13"/>
      <c r="N507" s="20">
        <f>Table1[[#This Row],[Completion Date]]-Table1[[#This Row],[Date Logged]]</f>
        <v>0</v>
      </c>
      <c r="O507" s="13"/>
      <c r="P507" s="12"/>
      <c r="Q507" s="12"/>
      <c r="R507" s="15"/>
      <c r="S507" s="15"/>
      <c r="T507" s="15"/>
      <c r="U507" s="12"/>
    </row>
    <row r="508" spans="1:21" ht="19.5" customHeight="1" x14ac:dyDescent="0.3">
      <c r="A508" s="12"/>
      <c r="B508" s="13"/>
      <c r="C508" s="12"/>
      <c r="F508" s="14"/>
      <c r="G508" s="15"/>
      <c r="H508" s="15"/>
      <c r="I508" s="13"/>
      <c r="J508" s="68"/>
      <c r="K508" s="12"/>
      <c r="L508" s="7"/>
      <c r="M508" s="13"/>
      <c r="N508" s="20">
        <f>Table1[[#This Row],[Completion Date]]-Table1[[#This Row],[Date Logged]]</f>
        <v>0</v>
      </c>
      <c r="O508" s="13"/>
      <c r="P508" s="12"/>
      <c r="Q508" s="12"/>
      <c r="R508" s="15"/>
      <c r="S508" s="15"/>
      <c r="T508" s="15"/>
      <c r="U508" s="12"/>
    </row>
    <row r="509" spans="1:21" ht="19.5" customHeight="1" x14ac:dyDescent="0.3">
      <c r="A509" s="12"/>
      <c r="B509" s="13"/>
      <c r="C509" s="12"/>
      <c r="F509" s="14"/>
      <c r="G509" s="15"/>
      <c r="H509" s="15"/>
      <c r="I509" s="13"/>
      <c r="J509" s="68"/>
      <c r="K509" s="12"/>
      <c r="L509" s="7"/>
      <c r="M509" s="13"/>
      <c r="N509" s="20">
        <f>Table1[[#This Row],[Completion Date]]-Table1[[#This Row],[Date Logged]]</f>
        <v>0</v>
      </c>
      <c r="O509" s="13"/>
      <c r="P509" s="12"/>
      <c r="Q509" s="12"/>
      <c r="R509" s="15"/>
      <c r="S509" s="15"/>
      <c r="T509" s="15"/>
      <c r="U509" s="12"/>
    </row>
    <row r="510" spans="1:21" ht="19.5" customHeight="1" x14ac:dyDescent="0.3">
      <c r="A510" s="12"/>
      <c r="B510" s="13"/>
      <c r="C510" s="12"/>
      <c r="F510" s="14"/>
      <c r="G510" s="15"/>
      <c r="H510" s="15"/>
      <c r="I510" s="13"/>
      <c r="J510" s="68"/>
      <c r="K510" s="12"/>
      <c r="L510" s="7"/>
      <c r="M510" s="13"/>
      <c r="N510" s="20">
        <f>Table1[[#This Row],[Completion Date]]-Table1[[#This Row],[Date Logged]]</f>
        <v>0</v>
      </c>
      <c r="O510" s="13"/>
      <c r="P510" s="12"/>
      <c r="Q510" s="12"/>
      <c r="R510" s="15"/>
      <c r="S510" s="15"/>
      <c r="T510" s="15"/>
      <c r="U510" s="12"/>
    </row>
    <row r="511" spans="1:21" ht="19.5" customHeight="1" x14ac:dyDescent="0.3">
      <c r="A511" s="12"/>
      <c r="B511" s="13"/>
      <c r="C511" s="12"/>
      <c r="F511" s="14"/>
      <c r="G511" s="15"/>
      <c r="H511" s="15"/>
      <c r="I511" s="13"/>
      <c r="J511" s="68"/>
      <c r="K511" s="12"/>
      <c r="L511" s="7"/>
      <c r="M511" s="13"/>
      <c r="N511" s="20">
        <f>Table1[[#This Row],[Completion Date]]-Table1[[#This Row],[Date Logged]]</f>
        <v>0</v>
      </c>
      <c r="O511" s="13"/>
      <c r="P511" s="12"/>
      <c r="Q511" s="12"/>
      <c r="R511" s="15"/>
      <c r="S511" s="15"/>
      <c r="T511" s="15"/>
      <c r="U511" s="12"/>
    </row>
    <row r="512" spans="1:21" ht="19.5" customHeight="1" x14ac:dyDescent="0.3">
      <c r="A512" s="12"/>
      <c r="B512" s="13"/>
      <c r="C512" s="12"/>
      <c r="F512" s="14"/>
      <c r="G512" s="15"/>
      <c r="H512" s="15"/>
      <c r="I512" s="13"/>
      <c r="J512" s="68"/>
      <c r="K512" s="12"/>
      <c r="L512" s="7"/>
      <c r="M512" s="13"/>
      <c r="N512" s="20">
        <f>Table1[[#This Row],[Completion Date]]-Table1[[#This Row],[Date Logged]]</f>
        <v>0</v>
      </c>
      <c r="O512" s="13"/>
      <c r="P512" s="12"/>
      <c r="Q512" s="12"/>
      <c r="R512" s="15"/>
      <c r="S512" s="15"/>
      <c r="T512" s="15"/>
      <c r="U512" s="12"/>
    </row>
    <row r="513" spans="1:21" ht="19.5" customHeight="1" x14ac:dyDescent="0.3">
      <c r="A513" s="12"/>
      <c r="B513" s="13"/>
      <c r="C513" s="12"/>
      <c r="F513" s="14"/>
      <c r="G513" s="15"/>
      <c r="H513" s="15"/>
      <c r="I513" s="13"/>
      <c r="J513" s="68"/>
      <c r="K513" s="12"/>
      <c r="L513" s="7"/>
      <c r="M513" s="13"/>
      <c r="N513" s="20">
        <f>Table1[[#This Row],[Completion Date]]-Table1[[#This Row],[Date Logged]]</f>
        <v>0</v>
      </c>
      <c r="O513" s="13"/>
      <c r="P513" s="12"/>
      <c r="Q513" s="12"/>
      <c r="R513" s="15"/>
      <c r="S513" s="15"/>
      <c r="T513" s="15"/>
      <c r="U513" s="12"/>
    </row>
    <row r="514" spans="1:21" ht="19.5" customHeight="1" x14ac:dyDescent="0.3">
      <c r="A514" s="12"/>
      <c r="B514" s="13"/>
      <c r="C514" s="12"/>
      <c r="F514" s="14"/>
      <c r="G514" s="15"/>
      <c r="H514" s="15"/>
      <c r="I514" s="13"/>
      <c r="J514" s="68"/>
      <c r="K514" s="12"/>
      <c r="L514" s="7"/>
      <c r="M514" s="13"/>
      <c r="N514" s="20">
        <f>Table1[[#This Row],[Completion Date]]-Table1[[#This Row],[Date Logged]]</f>
        <v>0</v>
      </c>
      <c r="O514" s="13"/>
      <c r="P514" s="12"/>
      <c r="Q514" s="12"/>
      <c r="R514" s="15"/>
      <c r="S514" s="15"/>
      <c r="T514" s="15"/>
      <c r="U514" s="12"/>
    </row>
    <row r="515" spans="1:21" ht="19.5" customHeight="1" x14ac:dyDescent="0.3">
      <c r="A515" s="12"/>
      <c r="B515" s="13"/>
      <c r="C515" s="12"/>
      <c r="F515" s="14"/>
      <c r="G515" s="15"/>
      <c r="H515" s="15"/>
      <c r="I515" s="13"/>
      <c r="J515" s="68"/>
      <c r="K515" s="12"/>
      <c r="L515" s="7"/>
      <c r="M515" s="13"/>
      <c r="N515" s="20">
        <f>Table1[[#This Row],[Completion Date]]-Table1[[#This Row],[Date Logged]]</f>
        <v>0</v>
      </c>
      <c r="O515" s="13"/>
      <c r="P515" s="12"/>
      <c r="Q515" s="12"/>
      <c r="R515" s="15"/>
      <c r="S515" s="15"/>
      <c r="T515" s="15"/>
      <c r="U515" s="12"/>
    </row>
    <row r="516" spans="1:21" ht="19.5" customHeight="1" x14ac:dyDescent="0.3">
      <c r="A516" s="12"/>
      <c r="B516" s="13"/>
      <c r="C516" s="12"/>
      <c r="F516" s="14"/>
      <c r="G516" s="15"/>
      <c r="H516" s="15"/>
      <c r="I516" s="13"/>
      <c r="J516" s="68"/>
      <c r="K516" s="12"/>
      <c r="L516" s="7"/>
      <c r="M516" s="13"/>
      <c r="N516" s="20">
        <f>Table1[[#This Row],[Completion Date]]-Table1[[#This Row],[Date Logged]]</f>
        <v>0</v>
      </c>
      <c r="O516" s="13"/>
      <c r="P516" s="12"/>
      <c r="Q516" s="12"/>
      <c r="R516" s="15"/>
      <c r="S516" s="15"/>
      <c r="T516" s="15"/>
      <c r="U516" s="12"/>
    </row>
    <row r="517" spans="1:21" ht="19.5" customHeight="1" x14ac:dyDescent="0.3">
      <c r="A517" s="12"/>
      <c r="B517" s="13"/>
      <c r="C517" s="12"/>
      <c r="F517" s="14"/>
      <c r="G517" s="15"/>
      <c r="H517" s="15"/>
      <c r="I517" s="13"/>
      <c r="J517" s="68"/>
      <c r="K517" s="12"/>
      <c r="L517" s="7"/>
      <c r="M517" s="13"/>
      <c r="N517" s="20">
        <f>Table1[[#This Row],[Completion Date]]-Table1[[#This Row],[Date Logged]]</f>
        <v>0</v>
      </c>
      <c r="O517" s="13"/>
      <c r="P517" s="12"/>
      <c r="Q517" s="12"/>
      <c r="R517" s="15"/>
      <c r="S517" s="15"/>
      <c r="T517" s="15"/>
      <c r="U517" s="12"/>
    </row>
    <row r="518" spans="1:21" ht="19.5" customHeight="1" x14ac:dyDescent="0.3">
      <c r="A518" s="12"/>
      <c r="B518" s="13"/>
      <c r="C518" s="12"/>
      <c r="F518" s="14"/>
      <c r="G518" s="15"/>
      <c r="H518" s="15"/>
      <c r="I518" s="13"/>
      <c r="J518" s="68"/>
      <c r="K518" s="12"/>
      <c r="L518" s="7"/>
      <c r="M518" s="13"/>
      <c r="N518" s="20">
        <f>Table1[[#This Row],[Completion Date]]-Table1[[#This Row],[Date Logged]]</f>
        <v>0</v>
      </c>
      <c r="O518" s="13"/>
      <c r="P518" s="12"/>
      <c r="Q518" s="12"/>
      <c r="R518" s="15"/>
      <c r="S518" s="15"/>
      <c r="T518" s="15"/>
      <c r="U518" s="12"/>
    </row>
    <row r="519" spans="1:21" ht="19.5" customHeight="1" x14ac:dyDescent="0.3">
      <c r="A519" s="12"/>
      <c r="B519" s="13"/>
      <c r="C519" s="12"/>
      <c r="F519" s="14"/>
      <c r="G519" s="15"/>
      <c r="H519" s="15"/>
      <c r="I519" s="13"/>
      <c r="J519" s="68"/>
      <c r="K519" s="12"/>
      <c r="L519" s="7"/>
      <c r="M519" s="13"/>
      <c r="N519" s="20">
        <f>Table1[[#This Row],[Completion Date]]-Table1[[#This Row],[Date Logged]]</f>
        <v>0</v>
      </c>
      <c r="O519" s="13"/>
      <c r="P519" s="12"/>
      <c r="Q519" s="12"/>
      <c r="R519" s="15"/>
      <c r="S519" s="15"/>
      <c r="T519" s="15"/>
      <c r="U519" s="12"/>
    </row>
    <row r="520" spans="1:21" ht="19.5" customHeight="1" x14ac:dyDescent="0.3">
      <c r="A520" s="12"/>
      <c r="B520" s="13"/>
      <c r="C520" s="12"/>
      <c r="F520" s="14"/>
      <c r="G520" s="15"/>
      <c r="H520" s="15"/>
      <c r="I520" s="13"/>
      <c r="J520" s="68"/>
      <c r="K520" s="12"/>
      <c r="L520" s="7"/>
      <c r="M520" s="13"/>
      <c r="N520" s="20">
        <f>Table1[[#This Row],[Completion Date]]-Table1[[#This Row],[Date Logged]]</f>
        <v>0</v>
      </c>
      <c r="O520" s="13"/>
      <c r="P520" s="12"/>
      <c r="Q520" s="12"/>
      <c r="R520" s="15"/>
      <c r="S520" s="15"/>
      <c r="T520" s="15"/>
      <c r="U520" s="12"/>
    </row>
    <row r="521" spans="1:21" ht="19.5" customHeight="1" x14ac:dyDescent="0.3">
      <c r="A521" s="12"/>
      <c r="B521" s="13"/>
      <c r="C521" s="12"/>
      <c r="F521" s="14"/>
      <c r="G521" s="15"/>
      <c r="H521" s="15"/>
      <c r="I521" s="13"/>
      <c r="J521" s="68"/>
      <c r="K521" s="12"/>
      <c r="L521" s="7"/>
      <c r="M521" s="13"/>
      <c r="N521" s="20">
        <f>Table1[[#This Row],[Completion Date]]-Table1[[#This Row],[Date Logged]]</f>
        <v>0</v>
      </c>
      <c r="O521" s="13"/>
      <c r="P521" s="12"/>
      <c r="Q521" s="12"/>
      <c r="R521" s="15"/>
      <c r="S521" s="15"/>
      <c r="T521" s="15"/>
      <c r="U521" s="12"/>
    </row>
    <row r="522" spans="1:21" ht="19.5" customHeight="1" x14ac:dyDescent="0.3">
      <c r="A522" s="12"/>
      <c r="B522" s="13"/>
      <c r="C522" s="12"/>
      <c r="F522" s="14"/>
      <c r="G522" s="15"/>
      <c r="H522" s="15"/>
      <c r="I522" s="13"/>
      <c r="J522" s="68"/>
      <c r="K522" s="12"/>
      <c r="L522" s="7"/>
      <c r="M522" s="13"/>
      <c r="N522" s="20">
        <f>Table1[[#This Row],[Completion Date]]-Table1[[#This Row],[Date Logged]]</f>
        <v>0</v>
      </c>
      <c r="O522" s="13"/>
      <c r="P522" s="12"/>
      <c r="Q522" s="12"/>
      <c r="R522" s="15"/>
      <c r="S522" s="15"/>
      <c r="T522" s="15"/>
      <c r="U522" s="12"/>
    </row>
    <row r="523" spans="1:21" ht="19.5" customHeight="1" x14ac:dyDescent="0.3">
      <c r="A523" s="12"/>
      <c r="B523" s="13"/>
      <c r="C523" s="12"/>
      <c r="F523" s="14"/>
      <c r="G523" s="15"/>
      <c r="H523" s="15"/>
      <c r="I523" s="13"/>
      <c r="J523" s="68"/>
      <c r="K523" s="12"/>
      <c r="L523" s="7"/>
      <c r="M523" s="13"/>
      <c r="N523" s="20">
        <f>Table1[[#This Row],[Completion Date]]-Table1[[#This Row],[Date Logged]]</f>
        <v>0</v>
      </c>
      <c r="O523" s="13"/>
      <c r="P523" s="12"/>
      <c r="Q523" s="12"/>
      <c r="R523" s="15"/>
      <c r="S523" s="15"/>
      <c r="T523" s="15"/>
      <c r="U523" s="12"/>
    </row>
    <row r="524" spans="1:21" ht="19.5" customHeight="1" x14ac:dyDescent="0.3">
      <c r="A524" s="12"/>
      <c r="B524" s="13"/>
      <c r="C524" s="12"/>
      <c r="F524" s="14"/>
      <c r="G524" s="15"/>
      <c r="H524" s="15"/>
      <c r="I524" s="13"/>
      <c r="J524" s="68"/>
      <c r="K524" s="12"/>
      <c r="L524" s="7"/>
      <c r="M524" s="13"/>
      <c r="N524" s="20">
        <f>Table1[[#This Row],[Completion Date]]-Table1[[#This Row],[Date Logged]]</f>
        <v>0</v>
      </c>
      <c r="O524" s="13"/>
      <c r="P524" s="12"/>
      <c r="Q524" s="12"/>
      <c r="R524" s="15"/>
      <c r="S524" s="15"/>
      <c r="T524" s="15"/>
      <c r="U524" s="12"/>
    </row>
    <row r="525" spans="1:21" ht="19.5" customHeight="1" x14ac:dyDescent="0.3">
      <c r="L525" s="7"/>
    </row>
    <row r="526" spans="1:21" ht="19.5" customHeight="1" x14ac:dyDescent="0.3">
      <c r="L526" s="7"/>
    </row>
  </sheetData>
  <sheetProtection insertRows="0" autoFilter="0"/>
  <mergeCells count="3">
    <mergeCell ref="A1:G1"/>
    <mergeCell ref="H1:N1"/>
    <mergeCell ref="O1:U1"/>
  </mergeCells>
  <phoneticPr fontId="2" type="noConversion"/>
  <conditionalFormatting sqref="L2:L91 L97:L103 L111:L1048576">
    <cfRule type="cellIs" dxfId="17" priority="19" operator="between">
      <formula>TODAY()+8</formula>
      <formula>TODAY()+14</formula>
    </cfRule>
  </conditionalFormatting>
  <conditionalFormatting sqref="L3:L91 L97:L103 L111:L1048576">
    <cfRule type="cellIs" dxfId="16" priority="27" operator="between">
      <formula>TODAY()</formula>
      <formula>TODAY()+7</formula>
    </cfRule>
    <cfRule type="cellIs" dxfId="15" priority="28" operator="lessThan">
      <formula>TODAY()</formula>
    </cfRule>
  </conditionalFormatting>
  <conditionalFormatting sqref="M359">
    <cfRule type="cellIs" dxfId="14" priority="16" operator="between">
      <formula>TODAY()+8</formula>
      <formula>TODAY()+14</formula>
    </cfRule>
    <cfRule type="cellIs" dxfId="13" priority="17" operator="between">
      <formula>TODAY()</formula>
      <formula>TODAY()+7</formula>
    </cfRule>
    <cfRule type="cellIs" dxfId="12" priority="18" operator="lessThan">
      <formula>TODAY()</formula>
    </cfRule>
  </conditionalFormatting>
  <conditionalFormatting sqref="M366">
    <cfRule type="cellIs" dxfId="11" priority="13" operator="between">
      <formula>TODAY()+8</formula>
      <formula>TODAY()+14</formula>
    </cfRule>
    <cfRule type="cellIs" dxfId="10" priority="14" operator="between">
      <formula>TODAY()</formula>
      <formula>TODAY()+7</formula>
    </cfRule>
    <cfRule type="cellIs" dxfId="9" priority="15" operator="lessThan">
      <formula>TODAY()</formula>
    </cfRule>
  </conditionalFormatting>
  <conditionalFormatting sqref="M373">
    <cfRule type="cellIs" dxfId="8" priority="10" operator="between">
      <formula>TODAY()+8</formula>
      <formula>TODAY()+14</formula>
    </cfRule>
    <cfRule type="cellIs" dxfId="7" priority="11" operator="between">
      <formula>TODAY()</formula>
      <formula>TODAY()+7</formula>
    </cfRule>
    <cfRule type="cellIs" dxfId="6" priority="12" operator="lessThan">
      <formula>TODAY()</formula>
    </cfRule>
  </conditionalFormatting>
  <conditionalFormatting sqref="O3:O1048576">
    <cfRule type="containsText" dxfId="5" priority="20" operator="containsText" text="In-Progress">
      <formula>NOT(ISERROR(SEARCH("In-Progress",O3)))</formula>
    </cfRule>
    <cfRule type="containsText" dxfId="4" priority="26" operator="containsText" text="Completed">
      <formula>NOT(ISERROR(SEARCH("Completed",O3)))</formula>
    </cfRule>
  </conditionalFormatting>
  <conditionalFormatting sqref="T3:T1048576">
    <cfRule type="containsText" dxfId="3" priority="21" operator="containsText" text="E-Copy">
      <formula>NOT(ISERROR(SEARCH("E-Copy",T3)))</formula>
    </cfRule>
    <cfRule type="containsText" dxfId="2" priority="22" operator="containsText" text="Effectiveness Check File">
      <formula>NOT(ISERROR(SEARCH("Effectiveness Check File",T3)))</formula>
    </cfRule>
    <cfRule type="containsText" dxfId="1" priority="23" operator="containsText" text="Closed CC File">
      <formula>NOT(ISERROR(SEARCH("Closed CC File",T3)))</formula>
    </cfRule>
    <cfRule type="containsText" dxfId="0" priority="24" operator="containsText" text="Open CC File">
      <formula>NOT(ISERROR(SEARCH("Open CC File",T3)))</formula>
    </cfRule>
  </conditionalFormatting>
  <dataValidations count="5">
    <dataValidation type="list" allowBlank="1" showInputMessage="1" showErrorMessage="1" sqref="E97:E103 E108:E118 E122:E124 E126:E142 E3:E90 E145:E1048576" xr:uid="{00000000-0002-0000-0000-000001000000}">
      <formula1>"Temporary, Permanent"</formula1>
    </dataValidation>
    <dataValidation type="list" allowBlank="1" showInputMessage="1" showErrorMessage="1" sqref="I97:I103 I108:I118 I122:I124 I126:I142 I3:I90 I145:I1048576" xr:uid="{00000000-0002-0000-0000-000002000000}">
      <formula1>"Critical, Major, Minor"</formula1>
    </dataValidation>
    <dataValidation type="list" allowBlank="1" showInputMessage="1" showErrorMessage="1" sqref="AF124:AF1048576" xr:uid="{00000000-0002-0000-0000-000000000000}">
      <formula1>"Open CC File, Closed CC File, Effectiveness Check File, E-Copy"</formula1>
    </dataValidation>
    <dataValidation type="list" allowBlank="1" showInputMessage="1" showErrorMessage="1" sqref="O3:O1048576" xr:uid="{00000000-0002-0000-0000-000003000000}">
      <formula1>"Completed, In-Progress"</formula1>
    </dataValidation>
    <dataValidation type="list" allowBlank="1" showInputMessage="1" showErrorMessage="1" sqref="T3:T1048576" xr:uid="{00000000-0002-0000-0000-000004000000}">
      <formula1>"Open CC File, Closed CC File, E-Copy, Effectiveness Check File"</formula1>
    </dataValidation>
  </dataValidations>
  <pageMargins left="0.70866141732283472" right="0.70866141732283472" top="0.74803149606299213" bottom="0.74803149606299213" header="0.31496062992125984" footer="0.31496062992125984"/>
  <pageSetup paperSize="9" scale="26" fitToHeight="0" orientation="landscape" cellComments="asDisplayed" r:id="rId1"/>
  <headerFooter>
    <oddFooter>&amp;LPrinted By (Print &amp; Sign):________________________________________________________
Reviewed By (Print &amp; Sign):______________________________________________________&amp;RPage no: &amp;P of &amp;N
&amp;D &amp; &amp;T</oddFoot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97D0584C65D54BA5094F13A0FC7D85" ma:contentTypeVersion="16" ma:contentTypeDescription="Create a new document." ma:contentTypeScope="" ma:versionID="e3cb76a1a49c7f3335bb1ec3b4c13603">
  <xsd:schema xmlns:xsd="http://www.w3.org/2001/XMLSchema" xmlns:xs="http://www.w3.org/2001/XMLSchema" xmlns:p="http://schemas.microsoft.com/office/2006/metadata/properties" xmlns:ns2="f569dac8-a9d9-40be-8f23-bfd88c56db6f" xmlns:ns3="1238d261-19dc-4c10-a5e2-efd717162ffa" xmlns:ns4="07df983f-8b2f-4cc8-9f06-5b87614c9598" targetNamespace="http://schemas.microsoft.com/office/2006/metadata/properties" ma:root="true" ma:fieldsID="1fa28a92aa75f35dea2d022687465406" ns2:_="" ns3:_="" ns4:_="">
    <xsd:import namespace="f569dac8-a9d9-40be-8f23-bfd88c56db6f"/>
    <xsd:import namespace="1238d261-19dc-4c10-a5e2-efd717162ffa"/>
    <xsd:import namespace="07df983f-8b2f-4cc8-9f06-5b87614c95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69dac8-a9d9-40be-8f23-bfd88c56db6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38d261-19dc-4c10-a5e2-efd717162ff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2621de-c763-4c71-a8ab-90f0fd303da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7df983f-8b2f-4cc8-9f06-5b87614c9598"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f2a5fd70-d5d9-4adf-adee-5da4fcb19b3b}" ma:internalName="TaxCatchAll" ma:showField="CatchAllData" ma:web="07df983f-8b2f-4cc8-9f06-5b87614c9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80C304-FFBC-4FA4-937B-0041493E26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69dac8-a9d9-40be-8f23-bfd88c56db6f"/>
    <ds:schemaRef ds:uri="1238d261-19dc-4c10-a5e2-efd717162ffa"/>
    <ds:schemaRef ds:uri="07df983f-8b2f-4cc8-9f06-5b87614c9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31D761-F725-4D29-A8FC-F49A377D94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Change Control</vt:lpstr>
      <vt:lpstr>'Change Control'!Print_Titles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Minhaz Raja</cp:lastModifiedBy>
  <cp:revision/>
  <cp:lastPrinted>2026-02-23T11:14:02Z</cp:lastPrinted>
  <dcterms:created xsi:type="dcterms:W3CDTF">2018-01-02T11:40:51Z</dcterms:created>
  <dcterms:modified xsi:type="dcterms:W3CDTF">2026-09-08T11:42:49Z</dcterms:modified>
  <cp:category/>
  <cp:contentStatus/>
</cp:coreProperties>
</file>