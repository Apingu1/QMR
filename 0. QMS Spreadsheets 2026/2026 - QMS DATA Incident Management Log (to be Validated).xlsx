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Quality\QA\QMS DATABASE\QMS 2026\0. QMS Spreadsheets 2026\"/>
    </mc:Choice>
  </mc:AlternateContent>
  <xr:revisionPtr revIDLastSave="0" documentId="13_ncr:1_{89180BD5-C39E-4E47-A38D-1F03847C841B}" xr6:coauthVersionLast="47" xr6:coauthVersionMax="47" xr10:uidLastSave="{00000000-0000-0000-0000-000000000000}"/>
  <bookViews>
    <workbookView xWindow="-120" yWindow="-120" windowWidth="29040" windowHeight="15720" xr2:uid="{B92B8EB6-6694-41E7-9371-85E1DD012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</calcChain>
</file>

<file path=xl/sharedStrings.xml><?xml version="1.0" encoding="utf-8"?>
<sst xmlns="http://schemas.openxmlformats.org/spreadsheetml/2006/main" count="59" uniqueCount="32">
  <si>
    <t>Date Logged</t>
  </si>
  <si>
    <t>Logged by</t>
  </si>
  <si>
    <t>QA RP</t>
  </si>
  <si>
    <t>Action Taken</t>
  </si>
  <si>
    <t>Status</t>
  </si>
  <si>
    <t>Wet ink copy filed away? (Y/N)</t>
  </si>
  <si>
    <t>Location</t>
  </si>
  <si>
    <t>Comments</t>
  </si>
  <si>
    <t>Incident Reference</t>
  </si>
  <si>
    <t>Details of Incident</t>
  </si>
  <si>
    <t>Criticality of Incident (Critical/ Major)</t>
  </si>
  <si>
    <t>Incident report Due Date</t>
  </si>
  <si>
    <t>Incident report Completion Date</t>
  </si>
  <si>
    <t>Days Taken to do Incident Report</t>
  </si>
  <si>
    <t>CAPA Raised?</t>
  </si>
  <si>
    <t>MR</t>
  </si>
  <si>
    <t>AHA</t>
  </si>
  <si>
    <t xml:space="preserve">Double strength of Quetiapine product supplied to customers </t>
  </si>
  <si>
    <t>Critical</t>
  </si>
  <si>
    <t>INC-2026-001/A</t>
  </si>
  <si>
    <t>INC-2026-001/B</t>
  </si>
  <si>
    <t>INC-2026-001/C</t>
  </si>
  <si>
    <t>INC-2026-001/D</t>
  </si>
  <si>
    <t>Contact the DMRC of the product defect.</t>
  </si>
  <si>
    <t>Assess identified risks and relay them to all affected customers, prescribers and the DMRC</t>
  </si>
  <si>
    <t>Inform all affected patients / customers of our initial findings</t>
  </si>
  <si>
    <t>Begin recall process</t>
  </si>
  <si>
    <t>Completed</t>
  </si>
  <si>
    <t>Y</t>
  </si>
  <si>
    <t>Closed Incidents File</t>
  </si>
  <si>
    <t>CAPA.2026.007</t>
  </si>
  <si>
    <t>REC.2026.001/
DEV.2026.004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</si>
</sst>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15" fontId="0" fillId="0" borderId="0" xfId="0" applyNumberFormat="1" applyAlignment="1" applyProtection="1">
      <alignment horizontal="center" vertic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15" fontId="1" fillId="0" borderId="0" xfId="0" applyNumberFormat="1" applyFont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29"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\-mmm\-yy"/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DF98D-40F7-475C-9DF6-F88A8E2346FF}" name="Table1" displayName="Table1" ref="A1:O180" totalsRowShown="0" headerRowDxfId="28" dataDxfId="26" headerRowBorderDxfId="27" tableBorderDxfId="25">
  <autoFilter ref="A1:O180" xr:uid="{025DF98D-40F7-475C-9DF6-F88A8E2346FF}"/>
  <tableColumns count="15">
    <tableColumn id="1" xr3:uid="{0034F855-CE30-428B-8BA1-DA57BD1158D4}" name="Incident Reference" dataDxfId="24"/>
    <tableColumn id="2" xr3:uid="{BDFF5385-8B91-4572-970A-E4503B882FA5}" name="Date Logged" dataDxfId="23"/>
    <tableColumn id="3" xr3:uid="{287443ED-FDA8-49B8-A40F-DB1269BFB5FB}" name="Logged by" dataDxfId="22"/>
    <tableColumn id="4" xr3:uid="{E7491A5A-B7A9-42CD-88D8-A4F214667C76}" name="QA RP" dataDxfId="21"/>
    <tableColumn id="6" xr3:uid="{40E43824-4A07-422E-B7F1-DF53EE197ECC}" name="Details of Incident" dataDxfId="20"/>
    <tableColumn id="7" xr3:uid="{0CBE6274-2DC4-4CE8-908D-A7D02306B9CE}" name="Criticality of Incident (Critical/ Major)" dataDxfId="19"/>
    <tableColumn id="8" xr3:uid="{50832386-E469-4721-9318-35EDB5AFB79C}" name="Action Taken" dataDxfId="18"/>
    <tableColumn id="9" xr3:uid="{C0F712FD-4125-4174-ADF8-C28E5B2F3BEB}" name="Incident report Due Date" dataDxfId="17">
      <calculatedColumnFormula>IF(ISNUMBER(B2),Table1[[#This Row],[Date Logged]]+7,"")</calculatedColumnFormula>
    </tableColumn>
    <tableColumn id="10" xr3:uid="{4C97EAFB-9EED-41F2-AE88-6CA932C63B20}" name="Incident report Completion Date" dataDxfId="16"/>
    <tableColumn id="11" xr3:uid="{2F993887-446C-41AF-899E-F00C5317B42F}" name="Days Taken to do Incident Report" dataDxfId="15">
      <calculatedColumnFormula>IF(ISNUMBER(I2), Table1[[#This Row],[Incident report Completion Date]]-Table1[[#This Row],[Date Logged]], "OPEN")</calculatedColumnFormula>
    </tableColumn>
    <tableColumn id="15" xr3:uid="{DB077038-0335-4AB2-965F-D3F98FACDE26}" name="Status" dataDxfId="14"/>
    <tableColumn id="16" xr3:uid="{C863AF06-5E8D-47DE-9D9B-0EF72E5FE7D4}" name="Wet ink copy filed away? (Y/N)" dataDxfId="13"/>
    <tableColumn id="17" xr3:uid="{305E4D74-63DA-4E74-AE93-0CC3951D6167}" name="Location" dataDxfId="12"/>
    <tableColumn id="18" xr3:uid="{211A4740-2848-439C-92B2-452054E750D0}" name="CAPA Raised?" dataDxfId="11"/>
    <tableColumn id="13" xr3:uid="{B71E7D7C-73F5-4F23-8C63-B103A6DEDD39}" name="Comments" dataDxfId="1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3194-69AF-4B2B-9055-905C0B5D2B7A}">
  <dimension ref="A1:T180"/>
  <sheetViews>
    <sheetView tabSelected="1" topLeftCell="B1" zoomScale="70" zoomScaleNormal="70" workbookViewId="0">
      <selection activeCell="O17" sqref="O17"/>
    </sheetView>
  </sheetViews>
  <sheetFormatPr defaultColWidth="0" defaultRowHeight="15" zeroHeight="1" x14ac:dyDescent="0.25"/>
  <cols>
    <col min="1" max="1" width="27" style="3" customWidth="1"/>
    <col min="2" max="2" width="17.28515625" style="3" customWidth="1"/>
    <col min="3" max="3" width="15.140625" style="3" customWidth="1"/>
    <col min="4" max="4" width="11.85546875" style="3" customWidth="1"/>
    <col min="5" max="5" width="60.28515625" style="3" customWidth="1"/>
    <col min="6" max="6" width="23.140625" style="3" customWidth="1"/>
    <col min="7" max="7" width="35" style="3" customWidth="1"/>
    <col min="8" max="8" width="20" style="8" customWidth="1"/>
    <col min="9" max="9" width="28.7109375" style="3" customWidth="1"/>
    <col min="10" max="10" width="34.5703125" style="9" customWidth="1"/>
    <col min="11" max="11" width="20.85546875" style="3" customWidth="1"/>
    <col min="12" max="12" width="36.5703125" style="3" customWidth="1"/>
    <col min="13" max="13" width="23.5703125" style="10" customWidth="1"/>
    <col min="14" max="14" width="27.85546875" style="3" customWidth="1"/>
    <col min="15" max="15" width="17.7109375" style="3" customWidth="1"/>
    <col min="16" max="20" width="0" style="3" hidden="1" customWidth="1"/>
    <col min="21" max="16384" width="9.140625" style="3" hidden="1"/>
  </cols>
  <sheetData>
    <row r="1" spans="1:15" s="16" customFormat="1" ht="48" customHeight="1" x14ac:dyDescent="0.25">
      <c r="A1" s="11" t="s">
        <v>8</v>
      </c>
      <c r="B1" s="12" t="s">
        <v>0</v>
      </c>
      <c r="C1" s="12" t="s">
        <v>1</v>
      </c>
      <c r="D1" s="12" t="s">
        <v>2</v>
      </c>
      <c r="E1" s="12" t="s">
        <v>9</v>
      </c>
      <c r="F1" s="12" t="s">
        <v>10</v>
      </c>
      <c r="G1" s="12" t="s">
        <v>3</v>
      </c>
      <c r="H1" s="13" t="s">
        <v>11</v>
      </c>
      <c r="I1" s="12" t="s">
        <v>12</v>
      </c>
      <c r="J1" s="14" t="s">
        <v>13</v>
      </c>
      <c r="K1" s="12" t="s">
        <v>4</v>
      </c>
      <c r="L1" s="12" t="s">
        <v>5</v>
      </c>
      <c r="M1" s="12" t="s">
        <v>6</v>
      </c>
      <c r="N1" s="15" t="s">
        <v>14</v>
      </c>
      <c r="O1" s="15" t="s">
        <v>7</v>
      </c>
    </row>
    <row r="2" spans="1:15" ht="30" x14ac:dyDescent="0.25">
      <c r="A2" s="3" t="s">
        <v>19</v>
      </c>
      <c r="B2" s="4">
        <v>46048</v>
      </c>
      <c r="C2" s="3" t="s">
        <v>15</v>
      </c>
      <c r="D2" s="3" t="s">
        <v>16</v>
      </c>
      <c r="E2" s="10" t="s">
        <v>17</v>
      </c>
      <c r="F2" s="3" t="s">
        <v>18</v>
      </c>
      <c r="G2" s="10" t="s">
        <v>23</v>
      </c>
      <c r="H2" s="6">
        <v>46049</v>
      </c>
      <c r="I2" s="4">
        <v>46049</v>
      </c>
      <c r="J2" s="8">
        <f>IF(ISNUMBER(I2), Table1[[#This Row],[Incident report Completion Date]]-Table1[[#This Row],[Date Logged]], "OPEN")</f>
        <v>1</v>
      </c>
      <c r="K2" s="1" t="s">
        <v>27</v>
      </c>
      <c r="L2" s="3" t="s">
        <v>28</v>
      </c>
      <c r="M2" s="2" t="s">
        <v>29</v>
      </c>
      <c r="N2" s="3" t="s">
        <v>30</v>
      </c>
      <c r="O2" s="10" t="s">
        <v>31</v>
      </c>
    </row>
    <row r="3" spans="1:15" ht="45" x14ac:dyDescent="0.25">
      <c r="A3" s="3" t="s">
        <v>20</v>
      </c>
      <c r="B3" s="4">
        <v>46048</v>
      </c>
      <c r="C3" s="3" t="s">
        <v>15</v>
      </c>
      <c r="D3" s="3" t="s">
        <v>16</v>
      </c>
      <c r="E3" s="10" t="s">
        <v>17</v>
      </c>
      <c r="F3" s="3" t="s">
        <v>18</v>
      </c>
      <c r="G3" s="10" t="s">
        <v>24</v>
      </c>
      <c r="H3" s="7">
        <v>46050</v>
      </c>
      <c r="I3" s="4">
        <v>46050</v>
      </c>
      <c r="J3" s="8">
        <f>IF(ISNUMBER(I3), Table1[[#This Row],[Incident report Completion Date]]-Table1[[#This Row],[Date Logged]], "OPEN")</f>
        <v>2</v>
      </c>
      <c r="K3" s="3" t="s">
        <v>27</v>
      </c>
      <c r="L3" s="3" t="s">
        <v>28</v>
      </c>
      <c r="M3" s="2" t="s">
        <v>29</v>
      </c>
      <c r="N3" s="3" t="s">
        <v>30</v>
      </c>
      <c r="O3" s="10" t="s">
        <v>31</v>
      </c>
    </row>
    <row r="4" spans="1:15" ht="30" x14ac:dyDescent="0.25">
      <c r="A4" s="3" t="s">
        <v>21</v>
      </c>
      <c r="B4" s="4">
        <v>46048</v>
      </c>
      <c r="C4" s="3" t="s">
        <v>15</v>
      </c>
      <c r="D4" s="3" t="s">
        <v>16</v>
      </c>
      <c r="E4" s="10" t="s">
        <v>17</v>
      </c>
      <c r="F4" s="3" t="s">
        <v>18</v>
      </c>
      <c r="G4" s="10" t="s">
        <v>25</v>
      </c>
      <c r="H4" s="7">
        <v>46050</v>
      </c>
      <c r="I4" s="4">
        <v>46050</v>
      </c>
      <c r="J4" s="8">
        <f>IF(ISNUMBER(I4), Table1[[#This Row],[Incident report Completion Date]]-Table1[[#This Row],[Date Logged]], "OPEN")</f>
        <v>2</v>
      </c>
      <c r="K4" s="3" t="s">
        <v>27</v>
      </c>
      <c r="L4" s="3" t="s">
        <v>28</v>
      </c>
      <c r="M4" s="2" t="s">
        <v>29</v>
      </c>
      <c r="N4" s="3" t="s">
        <v>30</v>
      </c>
      <c r="O4" s="10" t="s">
        <v>31</v>
      </c>
    </row>
    <row r="5" spans="1:15" ht="30" x14ac:dyDescent="0.25">
      <c r="A5" s="3" t="s">
        <v>22</v>
      </c>
      <c r="B5" s="4">
        <v>46048</v>
      </c>
      <c r="C5" s="3" t="s">
        <v>15</v>
      </c>
      <c r="D5" s="3" t="s">
        <v>16</v>
      </c>
      <c r="E5" s="10" t="s">
        <v>17</v>
      </c>
      <c r="F5" s="3" t="s">
        <v>18</v>
      </c>
      <c r="G5" s="3" t="s">
        <v>26</v>
      </c>
      <c r="H5" s="7">
        <v>46050</v>
      </c>
      <c r="I5" s="4">
        <v>46050</v>
      </c>
      <c r="J5" s="8">
        <f>IF(ISNUMBER(I5), Table1[[#This Row],[Incident report Completion Date]]-Table1[[#This Row],[Date Logged]], "OPEN")</f>
        <v>2</v>
      </c>
      <c r="K5" s="3" t="s">
        <v>27</v>
      </c>
      <c r="L5" s="3" t="s">
        <v>28</v>
      </c>
      <c r="M5" s="2" t="s">
        <v>29</v>
      </c>
      <c r="N5" s="3" t="s">
        <v>30</v>
      </c>
      <c r="O5" s="10" t="s">
        <v>31</v>
      </c>
    </row>
    <row r="6" spans="1:15" x14ac:dyDescent="0.25">
      <c r="H6" s="7"/>
      <c r="J6" s="8" t="str">
        <f>IF(ISNUMBER(I6), Table1[[#This Row],[Incident report Completion Date]]-Table1[[#This Row],[Date Logged]], "OPEN")</f>
        <v>OPEN</v>
      </c>
      <c r="M6" s="2"/>
    </row>
    <row r="7" spans="1:15" x14ac:dyDescent="0.25">
      <c r="H7" s="7"/>
      <c r="J7" s="8" t="str">
        <f>IF(ISNUMBER(I7), Table1[[#This Row],[Incident report Completion Date]]-Table1[[#This Row],[Date Logged]], "OPEN")</f>
        <v>OPEN</v>
      </c>
      <c r="M7" s="2"/>
    </row>
    <row r="8" spans="1:15" x14ac:dyDescent="0.25">
      <c r="H8" s="7"/>
      <c r="J8" s="8" t="str">
        <f>IF(ISNUMBER(I8), Table1[[#This Row],[Incident report Completion Date]]-Table1[[#This Row],[Date Logged]], "OPEN")</f>
        <v>OPEN</v>
      </c>
      <c r="M8" s="2"/>
    </row>
    <row r="9" spans="1:15" x14ac:dyDescent="0.25">
      <c r="H9" s="7"/>
      <c r="J9" s="8" t="str">
        <f>IF(ISNUMBER(I9), Table1[[#This Row],[Incident report Completion Date]]-Table1[[#This Row],[Date Logged]], "OPEN")</f>
        <v>OPEN</v>
      </c>
      <c r="M9" s="2"/>
    </row>
    <row r="10" spans="1:15" x14ac:dyDescent="0.25">
      <c r="H10" s="7"/>
      <c r="J10" s="8" t="str">
        <f>IF(ISNUMBER(I10), Table1[[#This Row],[Incident report Completion Date]]-Table1[[#This Row],[Date Logged]], "OPEN")</f>
        <v>OPEN</v>
      </c>
      <c r="M10" s="2"/>
    </row>
    <row r="11" spans="1:15" x14ac:dyDescent="0.25">
      <c r="H11" s="7"/>
      <c r="J11" s="8" t="str">
        <f>IF(ISNUMBER(I11), Table1[[#This Row],[Incident report Completion Date]]-Table1[[#This Row],[Date Logged]], "OPEN")</f>
        <v>OPEN</v>
      </c>
      <c r="M11" s="2"/>
    </row>
    <row r="12" spans="1:15" x14ac:dyDescent="0.25">
      <c r="H12" s="7"/>
      <c r="J12" s="8" t="str">
        <f>IF(ISNUMBER(I12), Table1[[#This Row],[Incident report Completion Date]]-Table1[[#This Row],[Date Logged]], "OPEN")</f>
        <v>OPEN</v>
      </c>
      <c r="M12" s="2"/>
    </row>
    <row r="13" spans="1:15" x14ac:dyDescent="0.25">
      <c r="H13" s="7"/>
      <c r="J13" s="8" t="str">
        <f>IF(ISNUMBER(I13), Table1[[#This Row],[Incident report Completion Date]]-Table1[[#This Row],[Date Logged]], "OPEN")</f>
        <v>OPEN</v>
      </c>
      <c r="M13" s="2"/>
    </row>
    <row r="14" spans="1:15" x14ac:dyDescent="0.25">
      <c r="H14" s="7"/>
      <c r="J14" s="8" t="str">
        <f>IF(ISNUMBER(I14), Table1[[#This Row],[Incident report Completion Date]]-Table1[[#This Row],[Date Logged]], "OPEN")</f>
        <v>OPEN</v>
      </c>
      <c r="M14" s="2"/>
    </row>
    <row r="15" spans="1:15" x14ac:dyDescent="0.25">
      <c r="H15" s="7"/>
      <c r="J15" s="8" t="str">
        <f>IF(ISNUMBER(I15), Table1[[#This Row],[Incident report Completion Date]]-Table1[[#This Row],[Date Logged]], "OPEN")</f>
        <v>OPEN</v>
      </c>
      <c r="M15" s="2"/>
    </row>
    <row r="16" spans="1:15" x14ac:dyDescent="0.25">
      <c r="H16" s="7"/>
      <c r="J16" s="8" t="str">
        <f>IF(ISNUMBER(I16), Table1[[#This Row],[Incident report Completion Date]]-Table1[[#This Row],[Date Logged]], "OPEN")</f>
        <v>OPEN</v>
      </c>
      <c r="M16" s="2"/>
    </row>
    <row r="17" spans="8:13" x14ac:dyDescent="0.25">
      <c r="H17" s="7"/>
      <c r="J17" s="8" t="str">
        <f>IF(ISNUMBER(I17), Table1[[#This Row],[Incident report Completion Date]]-Table1[[#This Row],[Date Logged]], "OPEN")</f>
        <v>OPEN</v>
      </c>
      <c r="M17" s="2"/>
    </row>
    <row r="18" spans="8:13" x14ac:dyDescent="0.25">
      <c r="H18" s="7"/>
      <c r="J18" s="8" t="str">
        <f>IF(ISNUMBER(I18), Table1[[#This Row],[Incident report Completion Date]]-Table1[[#This Row],[Date Logged]], "OPEN")</f>
        <v>OPEN</v>
      </c>
      <c r="M18" s="2"/>
    </row>
    <row r="19" spans="8:13" x14ac:dyDescent="0.25">
      <c r="H19" s="7"/>
      <c r="J19" s="8" t="str">
        <f>IF(ISNUMBER(I19), Table1[[#This Row],[Incident report Completion Date]]-Table1[[#This Row],[Date Logged]], "OPEN")</f>
        <v>OPEN</v>
      </c>
      <c r="M19" s="2"/>
    </row>
    <row r="20" spans="8:13" x14ac:dyDescent="0.25">
      <c r="H20" s="7"/>
      <c r="J20" s="8" t="str">
        <f>IF(ISNUMBER(I20), Table1[[#This Row],[Incident report Completion Date]]-Table1[[#This Row],[Date Logged]], "OPEN")</f>
        <v>OPEN</v>
      </c>
      <c r="M20" s="2"/>
    </row>
    <row r="21" spans="8:13" x14ac:dyDescent="0.25">
      <c r="H21" s="7"/>
      <c r="J21" s="8" t="str">
        <f>IF(ISNUMBER(I21), Table1[[#This Row],[Incident report Completion Date]]-Table1[[#This Row],[Date Logged]], "OPEN")</f>
        <v>OPEN</v>
      </c>
      <c r="M21" s="2"/>
    </row>
    <row r="22" spans="8:13" x14ac:dyDescent="0.25">
      <c r="H22" s="7"/>
      <c r="J22" s="8" t="str">
        <f>IF(ISNUMBER(I22), Table1[[#This Row],[Incident report Completion Date]]-Table1[[#This Row],[Date Logged]], "OPEN")</f>
        <v>OPEN</v>
      </c>
      <c r="M22" s="2"/>
    </row>
    <row r="23" spans="8:13" x14ac:dyDescent="0.25">
      <c r="H23" s="7"/>
      <c r="J23" s="8" t="str">
        <f>IF(ISNUMBER(I23), Table1[[#This Row],[Incident report Completion Date]]-Table1[[#This Row],[Date Logged]], "OPEN")</f>
        <v>OPEN</v>
      </c>
      <c r="M23" s="2"/>
    </row>
    <row r="24" spans="8:13" x14ac:dyDescent="0.25">
      <c r="H24" s="7"/>
      <c r="J24" s="8" t="str">
        <f>IF(ISNUMBER(I24), Table1[[#This Row],[Incident report Completion Date]]-Table1[[#This Row],[Date Logged]], "OPEN")</f>
        <v>OPEN</v>
      </c>
      <c r="M24" s="2"/>
    </row>
    <row r="25" spans="8:13" x14ac:dyDescent="0.25">
      <c r="H25" s="7"/>
      <c r="J25" s="8" t="str">
        <f>IF(ISNUMBER(I25), Table1[[#This Row],[Incident report Completion Date]]-Table1[[#This Row],[Date Logged]], "OPEN")</f>
        <v>OPEN</v>
      </c>
      <c r="M25" s="2"/>
    </row>
    <row r="26" spans="8:13" x14ac:dyDescent="0.25">
      <c r="H26" s="7"/>
      <c r="J26" s="8" t="str">
        <f>IF(ISNUMBER(I26), Table1[[#This Row],[Incident report Completion Date]]-Table1[[#This Row],[Date Logged]], "OPEN")</f>
        <v>OPEN</v>
      </c>
      <c r="M26" s="2"/>
    </row>
    <row r="27" spans="8:13" x14ac:dyDescent="0.25">
      <c r="H27" s="7"/>
      <c r="J27" s="8" t="str">
        <f>IF(ISNUMBER(I27), Table1[[#This Row],[Incident report Completion Date]]-Table1[[#This Row],[Date Logged]], "OPEN")</f>
        <v>OPEN</v>
      </c>
      <c r="M27" s="2"/>
    </row>
    <row r="28" spans="8:13" x14ac:dyDescent="0.25">
      <c r="H28" s="7"/>
      <c r="J28" s="8" t="str">
        <f>IF(ISNUMBER(I28), Table1[[#This Row],[Incident report Completion Date]]-Table1[[#This Row],[Date Logged]], "OPEN")</f>
        <v>OPEN</v>
      </c>
      <c r="M28" s="2"/>
    </row>
    <row r="29" spans="8:13" x14ac:dyDescent="0.25">
      <c r="H29" s="7"/>
      <c r="J29" s="8" t="str">
        <f>IF(ISNUMBER(I29), Table1[[#This Row],[Incident report Completion Date]]-Table1[[#This Row],[Date Logged]], "OPEN")</f>
        <v>OPEN</v>
      </c>
      <c r="M29" s="2"/>
    </row>
    <row r="30" spans="8:13" x14ac:dyDescent="0.25">
      <c r="H30" s="7"/>
      <c r="J30" s="8" t="str">
        <f>IF(ISNUMBER(I30), Table1[[#This Row],[Incident report Completion Date]]-Table1[[#This Row],[Date Logged]], "OPEN")</f>
        <v>OPEN</v>
      </c>
      <c r="M30" s="2"/>
    </row>
    <row r="31" spans="8:13" x14ac:dyDescent="0.25">
      <c r="H31" s="7"/>
      <c r="J31" s="8" t="str">
        <f>IF(ISNUMBER(I31), Table1[[#This Row],[Incident report Completion Date]]-Table1[[#This Row],[Date Logged]], "OPEN")</f>
        <v>OPEN</v>
      </c>
      <c r="M31" s="2"/>
    </row>
    <row r="32" spans="8:13" x14ac:dyDescent="0.25">
      <c r="H32" s="7"/>
      <c r="J32" s="8" t="str">
        <f>IF(ISNUMBER(I32), Table1[[#This Row],[Incident report Completion Date]]-Table1[[#This Row],[Date Logged]], "OPEN")</f>
        <v>OPEN</v>
      </c>
      <c r="M32" s="2"/>
    </row>
    <row r="33" spans="1:13" x14ac:dyDescent="0.25">
      <c r="H33" s="7"/>
      <c r="J33" s="8" t="str">
        <f>IF(ISNUMBER(I33), Table1[[#This Row],[Incident report Completion Date]]-Table1[[#This Row],[Date Logged]], "OPEN")</f>
        <v>OPEN</v>
      </c>
      <c r="M33" s="2"/>
    </row>
    <row r="34" spans="1:13" x14ac:dyDescent="0.25">
      <c r="H34" s="7"/>
      <c r="J34" s="8" t="str">
        <f>IF(ISNUMBER(I34), Table1[[#This Row],[Incident report Completion Date]]-Table1[[#This Row],[Date Logged]], "OPEN")</f>
        <v>OPEN</v>
      </c>
      <c r="M34" s="2"/>
    </row>
    <row r="35" spans="1:13" x14ac:dyDescent="0.25">
      <c r="H35" s="7"/>
      <c r="J35" s="8" t="str">
        <f>IF(ISNUMBER(I35), Table1[[#This Row],[Incident report Completion Date]]-Table1[[#This Row],[Date Logged]], "OPEN")</f>
        <v>OPEN</v>
      </c>
      <c r="M35" s="2"/>
    </row>
    <row r="36" spans="1:13" x14ac:dyDescent="0.25">
      <c r="H36" s="7"/>
      <c r="J36" s="8" t="str">
        <f>IF(ISNUMBER(I36), Table1[[#This Row],[Incident report Completion Date]]-Table1[[#This Row],[Date Logged]], "OPEN")</f>
        <v>OPEN</v>
      </c>
      <c r="M36" s="2"/>
    </row>
    <row r="37" spans="1:13" x14ac:dyDescent="0.25">
      <c r="H37" s="7"/>
      <c r="J37" s="8" t="str">
        <f>IF(ISNUMBER(I37), Table1[[#This Row],[Incident report Completion Date]]-Table1[[#This Row],[Date Logged]], "OPEN")</f>
        <v>OPEN</v>
      </c>
      <c r="M37" s="2"/>
    </row>
    <row r="38" spans="1:13" x14ac:dyDescent="0.25">
      <c r="H38" s="7"/>
      <c r="J38" s="8" t="str">
        <f>IF(ISNUMBER(I38), Table1[[#This Row],[Incident report Completion Date]]-Table1[[#This Row],[Date Logged]], "OPEN")</f>
        <v>OPEN</v>
      </c>
      <c r="M38" s="2"/>
    </row>
    <row r="39" spans="1:13" x14ac:dyDescent="0.25">
      <c r="A39" s="5"/>
      <c r="H39" s="7"/>
      <c r="J39" s="8" t="str">
        <f>IF(ISNUMBER(I39), Table1[[#This Row],[Incident report Completion Date]]-Table1[[#This Row],[Date Logged]], "OPEN")</f>
        <v>OPEN</v>
      </c>
      <c r="M39" s="2"/>
    </row>
    <row r="40" spans="1:13" x14ac:dyDescent="0.25">
      <c r="A40" s="5"/>
      <c r="H40" s="7"/>
      <c r="J40" s="8" t="str">
        <f>IF(ISNUMBER(I40), Table1[[#This Row],[Incident report Completion Date]]-Table1[[#This Row],[Date Logged]], "OPEN")</f>
        <v>OPEN</v>
      </c>
      <c r="M40" s="2"/>
    </row>
    <row r="41" spans="1:13" x14ac:dyDescent="0.25">
      <c r="A41" s="5"/>
      <c r="H41" s="7"/>
      <c r="J41" s="8" t="str">
        <f>IF(ISNUMBER(I41), Table1[[#This Row],[Incident report Completion Date]]-Table1[[#This Row],[Date Logged]], "OPEN")</f>
        <v>OPEN</v>
      </c>
      <c r="M41" s="2"/>
    </row>
    <row r="42" spans="1:13" x14ac:dyDescent="0.25">
      <c r="A42" s="5"/>
      <c r="H42" s="7"/>
      <c r="J42" s="8" t="str">
        <f>IF(ISNUMBER(I42), Table1[[#This Row],[Incident report Completion Date]]-Table1[[#This Row],[Date Logged]], "OPEN")</f>
        <v>OPEN</v>
      </c>
      <c r="M42" s="2"/>
    </row>
    <row r="43" spans="1:13" x14ac:dyDescent="0.25">
      <c r="A43" s="5"/>
      <c r="H43" s="7"/>
      <c r="J43" s="8" t="str">
        <f>IF(ISNUMBER(I43), Table1[[#This Row],[Incident report Completion Date]]-Table1[[#This Row],[Date Logged]], "OPEN")</f>
        <v>OPEN</v>
      </c>
      <c r="M43" s="2"/>
    </row>
    <row r="44" spans="1:13" x14ac:dyDescent="0.25">
      <c r="H44" s="7"/>
      <c r="J44" s="8" t="str">
        <f>IF(ISNUMBER(I44), Table1[[#This Row],[Incident report Completion Date]]-Table1[[#This Row],[Date Logged]], "OPEN")</f>
        <v>OPEN</v>
      </c>
      <c r="M44" s="2"/>
    </row>
    <row r="45" spans="1:13" x14ac:dyDescent="0.25">
      <c r="H45" s="7"/>
      <c r="J45" s="8" t="str">
        <f>IF(ISNUMBER(I45), Table1[[#This Row],[Incident report Completion Date]]-Table1[[#This Row],[Date Logged]], "OPEN")</f>
        <v>OPEN</v>
      </c>
      <c r="M45" s="2"/>
    </row>
    <row r="46" spans="1:13" x14ac:dyDescent="0.25">
      <c r="H46" s="7"/>
      <c r="J46" s="8" t="str">
        <f>IF(ISNUMBER(I46), Table1[[#This Row],[Incident report Completion Date]]-Table1[[#This Row],[Date Logged]], "OPEN")</f>
        <v>OPEN</v>
      </c>
      <c r="M46" s="2"/>
    </row>
    <row r="47" spans="1:13" x14ac:dyDescent="0.25">
      <c r="H47" s="7"/>
      <c r="J47" s="8" t="str">
        <f>IF(ISNUMBER(I47), Table1[[#This Row],[Incident report Completion Date]]-Table1[[#This Row],[Date Logged]], "OPEN")</f>
        <v>OPEN</v>
      </c>
      <c r="M47" s="2"/>
    </row>
    <row r="48" spans="1:13" x14ac:dyDescent="0.25">
      <c r="H48" s="7"/>
      <c r="J48" s="8" t="str">
        <f>IF(ISNUMBER(I48), Table1[[#This Row],[Incident report Completion Date]]-Table1[[#This Row],[Date Logged]], "OPEN")</f>
        <v>OPEN</v>
      </c>
      <c r="M48" s="2"/>
    </row>
    <row r="49" spans="8:13" x14ac:dyDescent="0.25">
      <c r="H49" s="7"/>
      <c r="J49" s="8" t="str">
        <f>IF(ISNUMBER(I49), Table1[[#This Row],[Incident report Completion Date]]-Table1[[#This Row],[Date Logged]], "OPEN")</f>
        <v>OPEN</v>
      </c>
      <c r="M49" s="2"/>
    </row>
    <row r="50" spans="8:13" x14ac:dyDescent="0.25">
      <c r="H50" s="7"/>
      <c r="J50" s="8" t="str">
        <f>IF(ISNUMBER(I50), Table1[[#This Row],[Incident report Completion Date]]-Table1[[#This Row],[Date Logged]], "OPEN")</f>
        <v>OPEN</v>
      </c>
      <c r="M50" s="2"/>
    </row>
    <row r="51" spans="8:13" x14ac:dyDescent="0.25">
      <c r="H51" s="7"/>
      <c r="J51" s="8" t="str">
        <f>IF(ISNUMBER(I51), Table1[[#This Row],[Incident report Completion Date]]-Table1[[#This Row],[Date Logged]], "OPEN")</f>
        <v>OPEN</v>
      </c>
      <c r="M51" s="2"/>
    </row>
    <row r="52" spans="8:13" x14ac:dyDescent="0.25">
      <c r="H52" s="7"/>
      <c r="J52" s="8" t="str">
        <f>IF(ISNUMBER(I52), Table1[[#This Row],[Incident report Completion Date]]-Table1[[#This Row],[Date Logged]], "OPEN")</f>
        <v>OPEN</v>
      </c>
      <c r="M52" s="2"/>
    </row>
    <row r="53" spans="8:13" x14ac:dyDescent="0.25">
      <c r="H53" s="7"/>
      <c r="J53" s="8" t="str">
        <f>IF(ISNUMBER(I53), Table1[[#This Row],[Incident report Completion Date]]-Table1[[#This Row],[Date Logged]], "OPEN")</f>
        <v>OPEN</v>
      </c>
      <c r="M53" s="2"/>
    </row>
    <row r="54" spans="8:13" x14ac:dyDescent="0.25">
      <c r="H54" s="7"/>
      <c r="J54" s="8" t="str">
        <f>IF(ISNUMBER(I54), Table1[[#This Row],[Incident report Completion Date]]-Table1[[#This Row],[Date Logged]], "OPEN")</f>
        <v>OPEN</v>
      </c>
      <c r="M54" s="2"/>
    </row>
    <row r="55" spans="8:13" x14ac:dyDescent="0.25">
      <c r="H55" s="7"/>
      <c r="J55" s="8" t="str">
        <f>IF(ISNUMBER(I55), Table1[[#This Row],[Incident report Completion Date]]-Table1[[#This Row],[Date Logged]], "OPEN")</f>
        <v>OPEN</v>
      </c>
      <c r="M55" s="2"/>
    </row>
    <row r="56" spans="8:13" x14ac:dyDescent="0.25">
      <c r="H56" s="7"/>
      <c r="J56" s="8" t="str">
        <f>IF(ISNUMBER(I56), Table1[[#This Row],[Incident report Completion Date]]-Table1[[#This Row],[Date Logged]], "OPEN")</f>
        <v>OPEN</v>
      </c>
      <c r="M56" s="2"/>
    </row>
    <row r="57" spans="8:13" x14ac:dyDescent="0.25">
      <c r="H57" s="7"/>
      <c r="J57" s="8" t="str">
        <f>IF(ISNUMBER(I57), Table1[[#This Row],[Incident report Completion Date]]-Table1[[#This Row],[Date Logged]], "OPEN")</f>
        <v>OPEN</v>
      </c>
      <c r="M57" s="2"/>
    </row>
    <row r="58" spans="8:13" x14ac:dyDescent="0.25">
      <c r="H58" s="7"/>
      <c r="J58" s="8" t="str">
        <f>IF(ISNUMBER(I58), Table1[[#This Row],[Incident report Completion Date]]-Table1[[#This Row],[Date Logged]], "OPEN")</f>
        <v>OPEN</v>
      </c>
      <c r="M58" s="2"/>
    </row>
    <row r="59" spans="8:13" x14ac:dyDescent="0.25">
      <c r="H59" s="7"/>
      <c r="J59" s="8" t="str">
        <f>IF(ISNUMBER(I59), Table1[[#This Row],[Incident report Completion Date]]-Table1[[#This Row],[Date Logged]], "OPEN")</f>
        <v>OPEN</v>
      </c>
      <c r="M59" s="2"/>
    </row>
    <row r="60" spans="8:13" x14ac:dyDescent="0.25">
      <c r="H60" s="7"/>
      <c r="J60" s="8" t="str">
        <f>IF(ISNUMBER(I60), Table1[[#This Row],[Incident report Completion Date]]-Table1[[#This Row],[Date Logged]], "OPEN")</f>
        <v>OPEN</v>
      </c>
      <c r="M60" s="2"/>
    </row>
    <row r="61" spans="8:13" x14ac:dyDescent="0.25">
      <c r="H61" s="7"/>
      <c r="J61" s="8" t="str">
        <f>IF(ISNUMBER(I61), Table1[[#This Row],[Incident report Completion Date]]-Table1[[#This Row],[Date Logged]], "OPEN")</f>
        <v>OPEN</v>
      </c>
      <c r="M61" s="2"/>
    </row>
    <row r="62" spans="8:13" x14ac:dyDescent="0.25">
      <c r="H62" s="7"/>
      <c r="J62" s="8" t="str">
        <f>IF(ISNUMBER(I62), Table1[[#This Row],[Incident report Completion Date]]-Table1[[#This Row],[Date Logged]], "OPEN")</f>
        <v>OPEN</v>
      </c>
      <c r="M62" s="2"/>
    </row>
    <row r="63" spans="8:13" x14ac:dyDescent="0.25">
      <c r="H63" s="7"/>
      <c r="J63" s="8" t="str">
        <f>IF(ISNUMBER(I63), Table1[[#This Row],[Incident report Completion Date]]-Table1[[#This Row],[Date Logged]], "OPEN")</f>
        <v>OPEN</v>
      </c>
      <c r="M63" s="2"/>
    </row>
    <row r="64" spans="8:13" x14ac:dyDescent="0.25">
      <c r="H64" s="7"/>
      <c r="J64" s="8" t="str">
        <f>IF(ISNUMBER(I64), Table1[[#This Row],[Incident report Completion Date]]-Table1[[#This Row],[Date Logged]], "OPEN")</f>
        <v>OPEN</v>
      </c>
      <c r="M64" s="2"/>
    </row>
    <row r="65" spans="8:13" x14ac:dyDescent="0.25">
      <c r="H65" s="7"/>
      <c r="J65" s="8" t="str">
        <f>IF(ISNUMBER(I65), Table1[[#This Row],[Incident report Completion Date]]-Table1[[#This Row],[Date Logged]], "OPEN")</f>
        <v>OPEN</v>
      </c>
      <c r="M65" s="2"/>
    </row>
    <row r="66" spans="8:13" x14ac:dyDescent="0.25">
      <c r="H66" s="7"/>
      <c r="J66" s="8" t="str">
        <f>IF(ISNUMBER(I66), Table1[[#This Row],[Incident report Completion Date]]-Table1[[#This Row],[Date Logged]], "OPEN")</f>
        <v>OPEN</v>
      </c>
      <c r="M66" s="2"/>
    </row>
    <row r="67" spans="8:13" x14ac:dyDescent="0.25">
      <c r="H67" s="7"/>
      <c r="J67" s="8" t="str">
        <f>IF(ISNUMBER(I67), Table1[[#This Row],[Incident report Completion Date]]-Table1[[#This Row],[Date Logged]], "OPEN")</f>
        <v>OPEN</v>
      </c>
      <c r="M67" s="2"/>
    </row>
    <row r="68" spans="8:13" x14ac:dyDescent="0.25">
      <c r="H68" s="7"/>
      <c r="J68" s="8" t="str">
        <f>IF(ISNUMBER(I68), Table1[[#This Row],[Incident report Completion Date]]-Table1[[#This Row],[Date Logged]], "OPEN")</f>
        <v>OPEN</v>
      </c>
      <c r="M68" s="2"/>
    </row>
    <row r="69" spans="8:13" x14ac:dyDescent="0.25">
      <c r="H69" s="7"/>
      <c r="J69" s="8" t="str">
        <f>IF(ISNUMBER(I69), Table1[[#This Row],[Incident report Completion Date]]-Table1[[#This Row],[Date Logged]], "OPEN")</f>
        <v>OPEN</v>
      </c>
      <c r="M69" s="2"/>
    </row>
    <row r="70" spans="8:13" x14ac:dyDescent="0.25">
      <c r="H70" s="7"/>
      <c r="J70" s="8" t="str">
        <f>IF(ISNUMBER(I70), Table1[[#This Row],[Incident report Completion Date]]-Table1[[#This Row],[Date Logged]], "OPEN")</f>
        <v>OPEN</v>
      </c>
      <c r="M70" s="2"/>
    </row>
    <row r="71" spans="8:13" x14ac:dyDescent="0.25">
      <c r="H71" s="7"/>
      <c r="J71" s="8" t="str">
        <f>IF(ISNUMBER(I71), Table1[[#This Row],[Incident report Completion Date]]-Table1[[#This Row],[Date Logged]], "OPEN")</f>
        <v>OPEN</v>
      </c>
      <c r="M71" s="2"/>
    </row>
    <row r="72" spans="8:13" x14ac:dyDescent="0.25">
      <c r="H72" s="7"/>
      <c r="J72" s="8" t="str">
        <f>IF(ISNUMBER(I72), Table1[[#This Row],[Incident report Completion Date]]-Table1[[#This Row],[Date Logged]], "OPEN")</f>
        <v>OPEN</v>
      </c>
      <c r="M72" s="2"/>
    </row>
    <row r="73" spans="8:13" x14ac:dyDescent="0.25">
      <c r="H73" s="7"/>
      <c r="J73" s="8" t="str">
        <f>IF(ISNUMBER(I73), Table1[[#This Row],[Incident report Completion Date]]-Table1[[#This Row],[Date Logged]], "OPEN")</f>
        <v>OPEN</v>
      </c>
      <c r="M73" s="2"/>
    </row>
    <row r="74" spans="8:13" x14ac:dyDescent="0.25">
      <c r="H74" s="7" t="str">
        <f>IF(ISNUMBER(B74),Table1[[#This Row],[Date Logged]]+7,"")</f>
        <v/>
      </c>
      <c r="J74" s="8" t="str">
        <f>IF(ISNUMBER(I74), Table1[[#This Row],[Incident report Completion Date]]-Table1[[#This Row],[Date Logged]], "OPEN")</f>
        <v>OPEN</v>
      </c>
      <c r="M74" s="2"/>
    </row>
    <row r="75" spans="8:13" x14ac:dyDescent="0.25">
      <c r="H75" s="7" t="str">
        <f>IF(ISNUMBER(B75),Table1[[#This Row],[Date Logged]]+7,"")</f>
        <v/>
      </c>
      <c r="J75" s="8" t="str">
        <f>IF(ISNUMBER(I75), Table1[[#This Row],[Incident report Completion Date]]-Table1[[#This Row],[Date Logged]], "OPEN")</f>
        <v>OPEN</v>
      </c>
      <c r="M75" s="2"/>
    </row>
    <row r="76" spans="8:13" x14ac:dyDescent="0.25">
      <c r="H76" s="7" t="str">
        <f>IF(ISNUMBER(B76),Table1[[#This Row],[Date Logged]]+7,"")</f>
        <v/>
      </c>
      <c r="J76" s="8" t="str">
        <f>IF(ISNUMBER(I76), Table1[[#This Row],[Incident report Completion Date]]-Table1[[#This Row],[Date Logged]], "OPEN")</f>
        <v>OPEN</v>
      </c>
      <c r="M76" s="2"/>
    </row>
    <row r="77" spans="8:13" x14ac:dyDescent="0.25">
      <c r="H77" s="7" t="str">
        <f>IF(ISNUMBER(B77),Table1[[#This Row],[Date Logged]]+7,"")</f>
        <v/>
      </c>
      <c r="J77" s="8" t="str">
        <f>IF(ISNUMBER(I77), Table1[[#This Row],[Incident report Completion Date]]-Table1[[#This Row],[Date Logged]], "OPEN")</f>
        <v>OPEN</v>
      </c>
      <c r="M77" s="2"/>
    </row>
    <row r="78" spans="8:13" x14ac:dyDescent="0.25">
      <c r="H78" s="7" t="str">
        <f>IF(ISNUMBER(B78),Table1[[#This Row],[Date Logged]]+7,"")</f>
        <v/>
      </c>
      <c r="J78" s="8" t="str">
        <f>IF(ISNUMBER(I78), Table1[[#This Row],[Incident report Completion Date]]-Table1[[#This Row],[Date Logged]], "OPEN")</f>
        <v>OPEN</v>
      </c>
      <c r="M78" s="2"/>
    </row>
    <row r="79" spans="8:13" x14ac:dyDescent="0.25">
      <c r="H79" s="7" t="str">
        <f>IF(ISNUMBER(B79),Table1[[#This Row],[Date Logged]]+7,"")</f>
        <v/>
      </c>
      <c r="J79" s="8" t="str">
        <f>IF(ISNUMBER(I79), Table1[[#This Row],[Incident report Completion Date]]-Table1[[#This Row],[Date Logged]], "OPEN")</f>
        <v>OPEN</v>
      </c>
      <c r="M79" s="2"/>
    </row>
    <row r="80" spans="8:13" x14ac:dyDescent="0.25">
      <c r="H80" s="7" t="str">
        <f>IF(ISNUMBER(B80),Table1[[#This Row],[Date Logged]]+7,"")</f>
        <v/>
      </c>
      <c r="J80" s="8" t="str">
        <f>IF(ISNUMBER(I80), Table1[[#This Row],[Incident report Completion Date]]-Table1[[#This Row],[Date Logged]], "OPEN")</f>
        <v>OPEN</v>
      </c>
      <c r="M80" s="2"/>
    </row>
    <row r="81" spans="8:13" x14ac:dyDescent="0.25">
      <c r="H81" s="7" t="str">
        <f>IF(ISNUMBER(B81),Table1[[#This Row],[Date Logged]]+7,"")</f>
        <v/>
      </c>
      <c r="J81" s="8" t="str">
        <f>IF(ISNUMBER(I81), Table1[[#This Row],[Incident report Completion Date]]-Table1[[#This Row],[Date Logged]], "OPEN")</f>
        <v>OPEN</v>
      </c>
      <c r="M81" s="2"/>
    </row>
    <row r="82" spans="8:13" x14ac:dyDescent="0.25">
      <c r="H82" s="7" t="str">
        <f>IF(ISNUMBER(B82),Table1[[#This Row],[Date Logged]]+7,"")</f>
        <v/>
      </c>
      <c r="J82" s="8" t="str">
        <f>IF(ISNUMBER(I82), Table1[[#This Row],[Incident report Completion Date]]-Table1[[#This Row],[Date Logged]], "OPEN")</f>
        <v>OPEN</v>
      </c>
      <c r="M82" s="2"/>
    </row>
    <row r="83" spans="8:13" x14ac:dyDescent="0.25">
      <c r="H83" s="7" t="str">
        <f>IF(ISNUMBER(B83),Table1[[#This Row],[Date Logged]]+7,"")</f>
        <v/>
      </c>
      <c r="J83" s="8" t="str">
        <f>IF(ISNUMBER(I83), Table1[[#This Row],[Incident report Completion Date]]-Table1[[#This Row],[Date Logged]], "OPEN")</f>
        <v>OPEN</v>
      </c>
      <c r="M83" s="2"/>
    </row>
    <row r="84" spans="8:13" x14ac:dyDescent="0.25">
      <c r="H84" s="7" t="str">
        <f>IF(ISNUMBER(B84),Table1[[#This Row],[Date Logged]]+7,"")</f>
        <v/>
      </c>
      <c r="J84" s="8" t="str">
        <f>IF(ISNUMBER(I84), Table1[[#This Row],[Incident report Completion Date]]-Table1[[#This Row],[Date Logged]], "OPEN")</f>
        <v>OPEN</v>
      </c>
      <c r="M84" s="2"/>
    </row>
    <row r="85" spans="8:13" x14ac:dyDescent="0.25">
      <c r="H85" s="7" t="str">
        <f>IF(ISNUMBER(B85),Table1[[#This Row],[Date Logged]]+7,"")</f>
        <v/>
      </c>
      <c r="J85" s="8" t="str">
        <f>IF(ISNUMBER(I85), Table1[[#This Row],[Incident report Completion Date]]-Table1[[#This Row],[Date Logged]], "OPEN")</f>
        <v>OPEN</v>
      </c>
      <c r="M85" s="2"/>
    </row>
    <row r="86" spans="8:13" x14ac:dyDescent="0.25">
      <c r="H86" s="7" t="str">
        <f>IF(ISNUMBER(B86),Table1[[#This Row],[Date Logged]]+7,"")</f>
        <v/>
      </c>
      <c r="J86" s="8" t="str">
        <f>IF(ISNUMBER(I86), Table1[[#This Row],[Incident report Completion Date]]-Table1[[#This Row],[Date Logged]], "OPEN")</f>
        <v>OPEN</v>
      </c>
      <c r="M86" s="2"/>
    </row>
    <row r="87" spans="8:13" x14ac:dyDescent="0.25">
      <c r="H87" s="7" t="str">
        <f>IF(ISNUMBER(B87),Table1[[#This Row],[Date Logged]]+7,"")</f>
        <v/>
      </c>
      <c r="J87" s="8" t="str">
        <f>IF(ISNUMBER(I87), Table1[[#This Row],[Incident report Completion Date]]-Table1[[#This Row],[Date Logged]], "OPEN")</f>
        <v>OPEN</v>
      </c>
      <c r="M87" s="2"/>
    </row>
    <row r="88" spans="8:13" x14ac:dyDescent="0.25">
      <c r="H88" s="7" t="str">
        <f>IF(ISNUMBER(B88),Table1[[#This Row],[Date Logged]]+7,"")</f>
        <v/>
      </c>
      <c r="J88" s="8" t="str">
        <f>IF(ISNUMBER(I88), Table1[[#This Row],[Incident report Completion Date]]-Table1[[#This Row],[Date Logged]], "OPEN")</f>
        <v>OPEN</v>
      </c>
      <c r="M88" s="2"/>
    </row>
    <row r="89" spans="8:13" x14ac:dyDescent="0.25">
      <c r="H89" s="7" t="str">
        <f>IF(ISNUMBER(B89),Table1[[#This Row],[Date Logged]]+7,"")</f>
        <v/>
      </c>
      <c r="J89" s="8" t="str">
        <f>IF(ISNUMBER(I89), Table1[[#This Row],[Incident report Completion Date]]-Table1[[#This Row],[Date Logged]], "OPEN")</f>
        <v>OPEN</v>
      </c>
      <c r="M89" s="2"/>
    </row>
    <row r="90" spans="8:13" x14ac:dyDescent="0.25">
      <c r="H90" s="7" t="str">
        <f>IF(ISNUMBER(B90),Table1[[#This Row],[Date Logged]]+7,"")</f>
        <v/>
      </c>
      <c r="J90" s="8" t="str">
        <f>IF(ISNUMBER(I90), Table1[[#This Row],[Incident report Completion Date]]-Table1[[#This Row],[Date Logged]], "OPEN")</f>
        <v>OPEN</v>
      </c>
      <c r="M90" s="2"/>
    </row>
    <row r="91" spans="8:13" x14ac:dyDescent="0.25">
      <c r="H91" s="7" t="str">
        <f>IF(ISNUMBER(B91),Table1[[#This Row],[Date Logged]]+7,"")</f>
        <v/>
      </c>
      <c r="J91" s="8" t="str">
        <f>IF(ISNUMBER(I91), Table1[[#This Row],[Incident report Completion Date]]-Table1[[#This Row],[Date Logged]], "OPEN")</f>
        <v>OPEN</v>
      </c>
      <c r="M91" s="2"/>
    </row>
    <row r="92" spans="8:13" x14ac:dyDescent="0.25">
      <c r="H92" s="7" t="str">
        <f>IF(ISNUMBER(B92),Table1[[#This Row],[Date Logged]]+7,"")</f>
        <v/>
      </c>
      <c r="J92" s="8" t="str">
        <f>IF(ISNUMBER(I92), Table1[[#This Row],[Incident report Completion Date]]-Table1[[#This Row],[Date Logged]], "OPEN")</f>
        <v>OPEN</v>
      </c>
    </row>
    <row r="93" spans="8:13" x14ac:dyDescent="0.25">
      <c r="H93" s="7" t="str">
        <f>IF(ISNUMBER(B93),Table1[[#This Row],[Date Logged]]+7,"")</f>
        <v/>
      </c>
      <c r="J93" s="8" t="str">
        <f>IF(ISNUMBER(I93), Table1[[#This Row],[Incident report Completion Date]]-Table1[[#This Row],[Date Logged]], "OPEN")</f>
        <v>OPEN</v>
      </c>
    </row>
    <row r="94" spans="8:13" x14ac:dyDescent="0.25">
      <c r="H94" s="7" t="str">
        <f>IF(ISNUMBER(B94),Table1[[#This Row],[Date Logged]]+7,"")</f>
        <v/>
      </c>
      <c r="J94" s="8" t="str">
        <f>IF(ISNUMBER(I94), Table1[[#This Row],[Incident report Completion Date]]-Table1[[#This Row],[Date Logged]], "OPEN")</f>
        <v>OPEN</v>
      </c>
    </row>
    <row r="95" spans="8:13" x14ac:dyDescent="0.25">
      <c r="H95" s="7" t="str">
        <f>IF(ISNUMBER(B95),Table1[[#This Row],[Date Logged]]+7,"")</f>
        <v/>
      </c>
      <c r="J95" s="8" t="str">
        <f>IF(ISNUMBER(I95), Table1[[#This Row],[Incident report Completion Date]]-Table1[[#This Row],[Date Logged]], "OPEN")</f>
        <v>OPEN</v>
      </c>
    </row>
    <row r="96" spans="8:13" x14ac:dyDescent="0.25">
      <c r="H96" s="7" t="str">
        <f>IF(ISNUMBER(B96),Table1[[#This Row],[Date Logged]]+7,"")</f>
        <v/>
      </c>
      <c r="J96" s="8" t="str">
        <f>IF(ISNUMBER(I96), Table1[[#This Row],[Incident report Completion Date]]-Table1[[#This Row],[Date Logged]], "OPEN")</f>
        <v>OPEN</v>
      </c>
    </row>
    <row r="97" spans="8:10" x14ac:dyDescent="0.25">
      <c r="H97" s="7" t="str">
        <f>IF(ISNUMBER(B97),Table1[[#This Row],[Date Logged]]+7,"")</f>
        <v/>
      </c>
      <c r="J97" s="8" t="str">
        <f>IF(ISNUMBER(I97), Table1[[#This Row],[Incident report Completion Date]]-Table1[[#This Row],[Date Logged]], "OPEN")</f>
        <v>OPEN</v>
      </c>
    </row>
    <row r="98" spans="8:10" x14ac:dyDescent="0.25">
      <c r="H98" s="7" t="str">
        <f>IF(ISNUMBER(B98),Table1[[#This Row],[Date Logged]]+7,"")</f>
        <v/>
      </c>
      <c r="J98" s="8" t="str">
        <f>IF(ISNUMBER(I98), Table1[[#This Row],[Incident report Completion Date]]-Table1[[#This Row],[Date Logged]], "OPEN")</f>
        <v>OPEN</v>
      </c>
    </row>
    <row r="99" spans="8:10" x14ac:dyDescent="0.25">
      <c r="H99" s="7" t="str">
        <f>IF(ISNUMBER(B99),Table1[[#This Row],[Date Logged]]+7,"")</f>
        <v/>
      </c>
      <c r="J99" s="8" t="str">
        <f>IF(ISNUMBER(I99), Table1[[#This Row],[Incident report Completion Date]]-Table1[[#This Row],[Date Logged]], "OPEN")</f>
        <v>OPEN</v>
      </c>
    </row>
    <row r="100" spans="8:10" x14ac:dyDescent="0.25">
      <c r="H100" s="7" t="str">
        <f>IF(ISNUMBER(B100),Table1[[#This Row],[Date Logged]]+7,"")</f>
        <v/>
      </c>
      <c r="J100" s="8" t="str">
        <f>IF(ISNUMBER(I100), Table1[[#This Row],[Incident report Completion Date]]-Table1[[#This Row],[Date Logged]], "OPEN")</f>
        <v>OPEN</v>
      </c>
    </row>
    <row r="101" spans="8:10" x14ac:dyDescent="0.25">
      <c r="H101" s="7" t="str">
        <f>IF(ISNUMBER(B101),Table1[[#This Row],[Date Logged]]+7,"")</f>
        <v/>
      </c>
      <c r="J101" s="8" t="str">
        <f>IF(ISNUMBER(I101), Table1[[#This Row],[Incident report Completion Date]]-Table1[[#This Row],[Date Logged]], "OPEN")</f>
        <v>OPEN</v>
      </c>
    </row>
    <row r="102" spans="8:10" x14ac:dyDescent="0.25">
      <c r="H102" s="7" t="str">
        <f>IF(ISNUMBER(B102),Table1[[#This Row],[Date Logged]]+7,"")</f>
        <v/>
      </c>
      <c r="J102" s="8" t="str">
        <f>IF(ISNUMBER(I102), Table1[[#This Row],[Incident report Completion Date]]-Table1[[#This Row],[Date Logged]], "OPEN")</f>
        <v>OPEN</v>
      </c>
    </row>
    <row r="103" spans="8:10" x14ac:dyDescent="0.25">
      <c r="H103" s="7" t="str">
        <f>IF(ISNUMBER(B103),Table1[[#This Row],[Date Logged]]+7,"")</f>
        <v/>
      </c>
      <c r="J103" s="8" t="str">
        <f>IF(ISNUMBER(I103), Table1[[#This Row],[Incident report Completion Date]]-Table1[[#This Row],[Date Logged]], "OPEN")</f>
        <v>OPEN</v>
      </c>
    </row>
    <row r="104" spans="8:10" x14ac:dyDescent="0.25">
      <c r="H104" s="7" t="str">
        <f>IF(ISNUMBER(B104),Table1[[#This Row],[Date Logged]]+7,"")</f>
        <v/>
      </c>
      <c r="J104" s="8" t="str">
        <f>IF(ISNUMBER(I104), Table1[[#This Row],[Incident report Completion Date]]-Table1[[#This Row],[Date Logged]], "OPEN")</f>
        <v>OPEN</v>
      </c>
    </row>
    <row r="105" spans="8:10" x14ac:dyDescent="0.25">
      <c r="H105" s="7" t="str">
        <f>IF(ISNUMBER(B105),Table1[[#This Row],[Date Logged]]+7,"")</f>
        <v/>
      </c>
      <c r="J105" s="8" t="str">
        <f>IF(ISNUMBER(I105), Table1[[#This Row],[Incident report Completion Date]]-Table1[[#This Row],[Date Logged]], "OPEN")</f>
        <v>OPEN</v>
      </c>
    </row>
    <row r="106" spans="8:10" x14ac:dyDescent="0.25">
      <c r="H106" s="7" t="str">
        <f>IF(ISNUMBER(B106),Table1[[#This Row],[Date Logged]]+7,"")</f>
        <v/>
      </c>
      <c r="J106" s="8" t="str">
        <f>IF(ISNUMBER(I106), Table1[[#This Row],[Incident report Completion Date]]-Table1[[#This Row],[Date Logged]], "OPEN")</f>
        <v>OPEN</v>
      </c>
    </row>
    <row r="107" spans="8:10" x14ac:dyDescent="0.25">
      <c r="H107" s="7" t="str">
        <f>IF(ISNUMBER(B107),Table1[[#This Row],[Date Logged]]+7,"")</f>
        <v/>
      </c>
      <c r="J107" s="8" t="str">
        <f>IF(ISNUMBER(I107), Table1[[#This Row],[Incident report Completion Date]]-Table1[[#This Row],[Date Logged]], "OPEN")</f>
        <v>OPEN</v>
      </c>
    </row>
    <row r="108" spans="8:10" x14ac:dyDescent="0.25">
      <c r="H108" s="7" t="str">
        <f>IF(ISNUMBER(B108),Table1[[#This Row],[Date Logged]]+7,"")</f>
        <v/>
      </c>
      <c r="J108" s="8" t="str">
        <f>IF(ISNUMBER(I108), Table1[[#This Row],[Incident report Completion Date]]-Table1[[#This Row],[Date Logged]], "OPEN")</f>
        <v>OPEN</v>
      </c>
    </row>
    <row r="109" spans="8:10" x14ac:dyDescent="0.25">
      <c r="H109" s="7" t="str">
        <f>IF(ISNUMBER(B109),Table1[[#This Row],[Date Logged]]+7,"")</f>
        <v/>
      </c>
      <c r="J109" s="8" t="str">
        <f>IF(ISNUMBER(I109), Table1[[#This Row],[Incident report Completion Date]]-Table1[[#This Row],[Date Logged]], "OPEN")</f>
        <v>OPEN</v>
      </c>
    </row>
    <row r="110" spans="8:10" x14ac:dyDescent="0.25">
      <c r="H110" s="7" t="str">
        <f>IF(ISNUMBER(B110),Table1[[#This Row],[Date Logged]]+7,"")</f>
        <v/>
      </c>
      <c r="J110" s="8" t="str">
        <f>IF(ISNUMBER(I110), Table1[[#This Row],[Incident report Completion Date]]-Table1[[#This Row],[Date Logged]], "OPEN")</f>
        <v>OPEN</v>
      </c>
    </row>
    <row r="111" spans="8:10" x14ac:dyDescent="0.25">
      <c r="H111" s="7" t="str">
        <f>IF(ISNUMBER(B111),Table1[[#This Row],[Date Logged]]+7,"")</f>
        <v/>
      </c>
      <c r="J111" s="8" t="str">
        <f>IF(ISNUMBER(I111), Table1[[#This Row],[Incident report Completion Date]]-Table1[[#This Row],[Date Logged]], "OPEN")</f>
        <v>OPEN</v>
      </c>
    </row>
    <row r="112" spans="8:10" x14ac:dyDescent="0.25">
      <c r="H112" s="7" t="str">
        <f>IF(ISNUMBER(B112),Table1[[#This Row],[Date Logged]]+7,"")</f>
        <v/>
      </c>
      <c r="J112" s="8" t="str">
        <f>IF(ISNUMBER(I112), Table1[[#This Row],[Incident report Completion Date]]-Table1[[#This Row],[Date Logged]], "OPEN")</f>
        <v>OPEN</v>
      </c>
    </row>
    <row r="113" spans="8:10" x14ac:dyDescent="0.25">
      <c r="H113" s="7" t="str">
        <f>IF(ISNUMBER(B113),Table1[[#This Row],[Date Logged]]+7,"")</f>
        <v/>
      </c>
      <c r="J113" s="8" t="str">
        <f>IF(ISNUMBER(I113), Table1[[#This Row],[Incident report Completion Date]]-Table1[[#This Row],[Date Logged]], "OPEN")</f>
        <v>OPEN</v>
      </c>
    </row>
    <row r="114" spans="8:10" x14ac:dyDescent="0.25">
      <c r="H114" s="7" t="str">
        <f>IF(ISNUMBER(B114),Table1[[#This Row],[Date Logged]]+7,"")</f>
        <v/>
      </c>
      <c r="J114" s="8" t="str">
        <f>IF(ISNUMBER(I114), Table1[[#This Row],[Incident report Completion Date]]-Table1[[#This Row],[Date Logged]], "OPEN")</f>
        <v>OPEN</v>
      </c>
    </row>
    <row r="115" spans="8:10" x14ac:dyDescent="0.25">
      <c r="H115" s="7" t="str">
        <f>IF(ISNUMBER(B115),Table1[[#This Row],[Date Logged]]+7,"")</f>
        <v/>
      </c>
      <c r="J115" s="8" t="str">
        <f>IF(ISNUMBER(I115), Table1[[#This Row],[Incident report Completion Date]]-Table1[[#This Row],[Date Logged]], "OPEN")</f>
        <v>OPEN</v>
      </c>
    </row>
    <row r="116" spans="8:10" x14ac:dyDescent="0.25">
      <c r="H116" s="7" t="str">
        <f>IF(ISNUMBER(B116),Table1[[#This Row],[Date Logged]]+7,"")</f>
        <v/>
      </c>
      <c r="J116" s="8" t="str">
        <f>IF(ISNUMBER(I116), Table1[[#This Row],[Incident report Completion Date]]-Table1[[#This Row],[Date Logged]], "OPEN")</f>
        <v>OPEN</v>
      </c>
    </row>
    <row r="117" spans="8:10" x14ac:dyDescent="0.25">
      <c r="H117" s="7" t="str">
        <f>IF(ISNUMBER(B117),Table1[[#This Row],[Date Logged]]+7,"")</f>
        <v/>
      </c>
      <c r="J117" s="8" t="str">
        <f>IF(ISNUMBER(I117), Table1[[#This Row],[Incident report Completion Date]]-Table1[[#This Row],[Date Logged]], "OPEN")</f>
        <v>OPEN</v>
      </c>
    </row>
    <row r="118" spans="8:10" x14ac:dyDescent="0.25">
      <c r="H118" s="7" t="str">
        <f>IF(ISNUMBER(B118),Table1[[#This Row],[Date Logged]]+7,"")</f>
        <v/>
      </c>
      <c r="J118" s="8" t="str">
        <f>IF(ISNUMBER(I118), Table1[[#This Row],[Incident report Completion Date]]-Table1[[#This Row],[Date Logged]], "OPEN")</f>
        <v>OPEN</v>
      </c>
    </row>
    <row r="119" spans="8:10" x14ac:dyDescent="0.25">
      <c r="H119" s="7" t="str">
        <f>IF(ISNUMBER(B119),Table1[[#This Row],[Date Logged]]+7,"")</f>
        <v/>
      </c>
      <c r="J119" s="8" t="str">
        <f>IF(ISNUMBER(I119), Table1[[#This Row],[Incident report Completion Date]]-Table1[[#This Row],[Date Logged]], "OPEN")</f>
        <v>OPEN</v>
      </c>
    </row>
    <row r="120" spans="8:10" x14ac:dyDescent="0.25">
      <c r="H120" s="7" t="str">
        <f>IF(ISNUMBER(B120),Table1[[#This Row],[Date Logged]]+7,"")</f>
        <v/>
      </c>
      <c r="J120" s="8" t="str">
        <f>IF(ISNUMBER(I120), Table1[[#This Row],[Incident report Completion Date]]-Table1[[#This Row],[Date Logged]], "OPEN")</f>
        <v>OPEN</v>
      </c>
    </row>
    <row r="121" spans="8:10" x14ac:dyDescent="0.25">
      <c r="H121" s="7" t="str">
        <f>IF(ISNUMBER(B121),Table1[[#This Row],[Date Logged]]+7,"")</f>
        <v/>
      </c>
      <c r="J121" s="8" t="str">
        <f>IF(ISNUMBER(I121), Table1[[#This Row],[Incident report Completion Date]]-Table1[[#This Row],[Date Logged]], "OPEN")</f>
        <v>OPEN</v>
      </c>
    </row>
    <row r="122" spans="8:10" x14ac:dyDescent="0.25">
      <c r="H122" s="7" t="str">
        <f>IF(ISNUMBER(B122),Table1[[#This Row],[Date Logged]]+7,"")</f>
        <v/>
      </c>
      <c r="J122" s="8" t="str">
        <f>IF(ISNUMBER(I122), Table1[[#This Row],[Incident report Completion Date]]-Table1[[#This Row],[Date Logged]], "OPEN")</f>
        <v>OPEN</v>
      </c>
    </row>
    <row r="123" spans="8:10" x14ac:dyDescent="0.25">
      <c r="H123" s="7" t="str">
        <f>IF(ISNUMBER(B123),Table1[[#This Row],[Date Logged]]+7,"")</f>
        <v/>
      </c>
      <c r="J123" s="8" t="str">
        <f>IF(ISNUMBER(I123), Table1[[#This Row],[Incident report Completion Date]]-Table1[[#This Row],[Date Logged]], "OPEN")</f>
        <v>OPEN</v>
      </c>
    </row>
    <row r="124" spans="8:10" x14ac:dyDescent="0.25">
      <c r="H124" s="7" t="str">
        <f>IF(ISNUMBER(B124),Table1[[#This Row],[Date Logged]]+7,"")</f>
        <v/>
      </c>
      <c r="J124" s="8" t="str">
        <f>IF(ISNUMBER(I124), Table1[[#This Row],[Incident report Completion Date]]-Table1[[#This Row],[Date Logged]], "OPEN")</f>
        <v>OPEN</v>
      </c>
    </row>
    <row r="125" spans="8:10" x14ac:dyDescent="0.25">
      <c r="H125" s="7" t="str">
        <f>IF(ISNUMBER(B125),Table1[[#This Row],[Date Logged]]+7,"")</f>
        <v/>
      </c>
      <c r="J125" s="8" t="str">
        <f>IF(ISNUMBER(I125), Table1[[#This Row],[Incident report Completion Date]]-Table1[[#This Row],[Date Logged]], "OPEN")</f>
        <v>OPEN</v>
      </c>
    </row>
    <row r="126" spans="8:10" x14ac:dyDescent="0.25">
      <c r="H126" s="7" t="str">
        <f>IF(ISNUMBER(B126),Table1[[#This Row],[Date Logged]]+7,"")</f>
        <v/>
      </c>
      <c r="J126" s="8" t="str">
        <f>IF(ISNUMBER(I126), Table1[[#This Row],[Incident report Completion Date]]-Table1[[#This Row],[Date Logged]], "OPEN")</f>
        <v>OPEN</v>
      </c>
    </row>
    <row r="127" spans="8:10" x14ac:dyDescent="0.25">
      <c r="H127" s="7" t="str">
        <f>IF(ISNUMBER(B127),Table1[[#This Row],[Date Logged]]+7,"")</f>
        <v/>
      </c>
      <c r="J127" s="8" t="str">
        <f>IF(ISNUMBER(I127), Table1[[#This Row],[Incident report Completion Date]]-Table1[[#This Row],[Date Logged]], "OPEN")</f>
        <v>OPEN</v>
      </c>
    </row>
    <row r="128" spans="8:10" x14ac:dyDescent="0.25">
      <c r="H128" s="7" t="str">
        <f>IF(ISNUMBER(B128),Table1[[#This Row],[Date Logged]]+7,"")</f>
        <v/>
      </c>
      <c r="J128" s="8" t="str">
        <f>IF(ISNUMBER(I128), Table1[[#This Row],[Incident report Completion Date]]-Table1[[#This Row],[Date Logged]], "OPEN")</f>
        <v>OPEN</v>
      </c>
    </row>
    <row r="129" spans="8:10" x14ac:dyDescent="0.25">
      <c r="H129" s="7" t="str">
        <f>IF(ISNUMBER(B129),Table1[[#This Row],[Date Logged]]+7,"")</f>
        <v/>
      </c>
      <c r="J129" s="8" t="str">
        <f>IF(ISNUMBER(I129), Table1[[#This Row],[Incident report Completion Date]]-Table1[[#This Row],[Date Logged]], "OPEN")</f>
        <v>OPEN</v>
      </c>
    </row>
    <row r="130" spans="8:10" x14ac:dyDescent="0.25">
      <c r="H130" s="7" t="str">
        <f>IF(ISNUMBER(B130),Table1[[#This Row],[Date Logged]]+7,"")</f>
        <v/>
      </c>
      <c r="J130" s="8" t="str">
        <f>IF(ISNUMBER(I130), Table1[[#This Row],[Incident report Completion Date]]-Table1[[#This Row],[Date Logged]], "OPEN")</f>
        <v>OPEN</v>
      </c>
    </row>
    <row r="131" spans="8:10" x14ac:dyDescent="0.25">
      <c r="H131" s="7" t="str">
        <f>IF(ISNUMBER(B131),Table1[[#This Row],[Date Logged]]+7,"")</f>
        <v/>
      </c>
      <c r="J131" s="8" t="str">
        <f>IF(ISNUMBER(I131), Table1[[#This Row],[Incident report Completion Date]]-Table1[[#This Row],[Date Logged]], "OPEN")</f>
        <v>OPEN</v>
      </c>
    </row>
    <row r="132" spans="8:10" x14ac:dyDescent="0.25">
      <c r="H132" s="7" t="str">
        <f>IF(ISNUMBER(B132),Table1[[#This Row],[Date Logged]]+7,"")</f>
        <v/>
      </c>
      <c r="J132" s="8" t="str">
        <f>IF(ISNUMBER(I132), Table1[[#This Row],[Incident report Completion Date]]-Table1[[#This Row],[Date Logged]], "OPEN")</f>
        <v>OPEN</v>
      </c>
    </row>
    <row r="133" spans="8:10" x14ac:dyDescent="0.25">
      <c r="H133" s="7" t="str">
        <f>IF(ISNUMBER(B133),Table1[[#This Row],[Date Logged]]+7,"")</f>
        <v/>
      </c>
      <c r="J133" s="8" t="str">
        <f>IF(ISNUMBER(I133), Table1[[#This Row],[Incident report Completion Date]]-Table1[[#This Row],[Date Logged]], "OPEN")</f>
        <v>OPEN</v>
      </c>
    </row>
    <row r="134" spans="8:10" x14ac:dyDescent="0.25">
      <c r="H134" s="7" t="str">
        <f>IF(ISNUMBER(B134),Table1[[#This Row],[Date Logged]]+7,"")</f>
        <v/>
      </c>
      <c r="J134" s="8" t="str">
        <f>IF(ISNUMBER(I134), Table1[[#This Row],[Incident report Completion Date]]-Table1[[#This Row],[Date Logged]], "OPEN")</f>
        <v>OPEN</v>
      </c>
    </row>
    <row r="135" spans="8:10" x14ac:dyDescent="0.25">
      <c r="H135" s="7" t="str">
        <f>IF(ISNUMBER(B135),Table1[[#This Row],[Date Logged]]+7,"")</f>
        <v/>
      </c>
      <c r="J135" s="8" t="str">
        <f>IF(ISNUMBER(I135), Table1[[#This Row],[Incident report Completion Date]]-Table1[[#This Row],[Date Logged]], "OPEN")</f>
        <v>OPEN</v>
      </c>
    </row>
    <row r="136" spans="8:10" x14ac:dyDescent="0.25">
      <c r="H136" s="7" t="str">
        <f>IF(ISNUMBER(B136),Table1[[#This Row],[Date Logged]]+7,"")</f>
        <v/>
      </c>
      <c r="J136" s="8" t="str">
        <f>IF(ISNUMBER(I136), Table1[[#This Row],[Incident report Completion Date]]-Table1[[#This Row],[Date Logged]], "OPEN")</f>
        <v>OPEN</v>
      </c>
    </row>
    <row r="137" spans="8:10" x14ac:dyDescent="0.25">
      <c r="H137" s="7" t="str">
        <f>IF(ISNUMBER(B137),Table1[[#This Row],[Date Logged]]+7,"")</f>
        <v/>
      </c>
      <c r="J137" s="8" t="str">
        <f>IF(ISNUMBER(I137), Table1[[#This Row],[Incident report Completion Date]]-Table1[[#This Row],[Date Logged]], "OPEN")</f>
        <v>OPEN</v>
      </c>
    </row>
    <row r="138" spans="8:10" x14ac:dyDescent="0.25">
      <c r="H138" s="7" t="str">
        <f>IF(ISNUMBER(B138),Table1[[#This Row],[Date Logged]]+7,"")</f>
        <v/>
      </c>
      <c r="J138" s="8" t="str">
        <f>IF(ISNUMBER(I138), Table1[[#This Row],[Incident report Completion Date]]-Table1[[#This Row],[Date Logged]], "OPEN")</f>
        <v>OPEN</v>
      </c>
    </row>
    <row r="139" spans="8:10" x14ac:dyDescent="0.25">
      <c r="H139" s="7" t="str">
        <f>IF(ISNUMBER(B139),Table1[[#This Row],[Date Logged]]+7,"")</f>
        <v/>
      </c>
      <c r="J139" s="8" t="str">
        <f>IF(ISNUMBER(I139), Table1[[#This Row],[Incident report Completion Date]]-Table1[[#This Row],[Date Logged]], "OPEN")</f>
        <v>OPEN</v>
      </c>
    </row>
    <row r="140" spans="8:10" x14ac:dyDescent="0.25">
      <c r="H140" s="7" t="str">
        <f>IF(ISNUMBER(B140),Table1[[#This Row],[Date Logged]]+7,"")</f>
        <v/>
      </c>
      <c r="J140" s="8" t="str">
        <f>IF(ISNUMBER(I140), Table1[[#This Row],[Incident report Completion Date]]-Table1[[#This Row],[Date Logged]], "OPEN")</f>
        <v>OPEN</v>
      </c>
    </row>
    <row r="141" spans="8:10" x14ac:dyDescent="0.25">
      <c r="H141" s="7" t="str">
        <f>IF(ISNUMBER(B141),Table1[[#This Row],[Date Logged]]+7,"")</f>
        <v/>
      </c>
      <c r="J141" s="8" t="str">
        <f>IF(ISNUMBER(I141), Table1[[#This Row],[Incident report Completion Date]]-Table1[[#This Row],[Date Logged]], "OPEN")</f>
        <v>OPEN</v>
      </c>
    </row>
    <row r="142" spans="8:10" x14ac:dyDescent="0.25">
      <c r="H142" s="7" t="str">
        <f>IF(ISNUMBER(B142),Table1[[#This Row],[Date Logged]]+7,"")</f>
        <v/>
      </c>
      <c r="J142" s="8" t="str">
        <f>IF(ISNUMBER(I142), Table1[[#This Row],[Incident report Completion Date]]-Table1[[#This Row],[Date Logged]], "OPEN")</f>
        <v>OPEN</v>
      </c>
    </row>
    <row r="143" spans="8:10" x14ac:dyDescent="0.25">
      <c r="H143" s="7" t="str">
        <f>IF(ISNUMBER(B143),Table1[[#This Row],[Date Logged]]+7,"")</f>
        <v/>
      </c>
      <c r="J143" s="8" t="str">
        <f>IF(ISNUMBER(I143), Table1[[#This Row],[Incident report Completion Date]]-Table1[[#This Row],[Date Logged]], "OPEN")</f>
        <v>OPEN</v>
      </c>
    </row>
    <row r="144" spans="8:10" x14ac:dyDescent="0.25">
      <c r="H144" s="7" t="str">
        <f>IF(ISNUMBER(B144),Table1[[#This Row],[Date Logged]]+7,"")</f>
        <v/>
      </c>
      <c r="J144" s="8" t="str">
        <f>IF(ISNUMBER(I144), Table1[[#This Row],[Incident report Completion Date]]-Table1[[#This Row],[Date Logged]], "OPEN")</f>
        <v>OPEN</v>
      </c>
    </row>
    <row r="145" spans="8:10" x14ac:dyDescent="0.25">
      <c r="H145" s="7" t="str">
        <f>IF(ISNUMBER(B145),Table1[[#This Row],[Date Logged]]+7,"")</f>
        <v/>
      </c>
      <c r="J145" s="8" t="str">
        <f>IF(ISNUMBER(I145), Table1[[#This Row],[Incident report Completion Date]]-Table1[[#This Row],[Date Logged]], "OPEN")</f>
        <v>OPEN</v>
      </c>
    </row>
    <row r="146" spans="8:10" x14ac:dyDescent="0.25">
      <c r="H146" s="7" t="str">
        <f>IF(ISNUMBER(B146),Table1[[#This Row],[Date Logged]]+7,"")</f>
        <v/>
      </c>
      <c r="J146" s="8" t="str">
        <f>IF(ISNUMBER(I146), Table1[[#This Row],[Incident report Completion Date]]-Table1[[#This Row],[Date Logged]], "OPEN")</f>
        <v>OPEN</v>
      </c>
    </row>
    <row r="147" spans="8:10" x14ac:dyDescent="0.25">
      <c r="H147" s="7" t="str">
        <f>IF(ISNUMBER(B147),Table1[[#This Row],[Date Logged]]+7,"")</f>
        <v/>
      </c>
      <c r="J147" s="8" t="str">
        <f>IF(ISNUMBER(I147), Table1[[#This Row],[Incident report Completion Date]]-Table1[[#This Row],[Date Logged]], "OPEN")</f>
        <v>OPEN</v>
      </c>
    </row>
    <row r="148" spans="8:10" x14ac:dyDescent="0.25">
      <c r="H148" s="7" t="str">
        <f>IF(ISNUMBER(B148),Table1[[#This Row],[Date Logged]]+7,"")</f>
        <v/>
      </c>
      <c r="J148" s="8" t="str">
        <f>IF(ISNUMBER(I148), Table1[[#This Row],[Incident report Completion Date]]-Table1[[#This Row],[Date Logged]], "OPEN")</f>
        <v>OPEN</v>
      </c>
    </row>
    <row r="149" spans="8:10" x14ac:dyDescent="0.25">
      <c r="H149" s="7" t="str">
        <f>IF(ISNUMBER(B149),Table1[[#This Row],[Date Logged]]+7,"")</f>
        <v/>
      </c>
      <c r="J149" s="8" t="str">
        <f>IF(ISNUMBER(I149), Table1[[#This Row],[Incident report Completion Date]]-Table1[[#This Row],[Date Logged]], "OPEN")</f>
        <v>OPEN</v>
      </c>
    </row>
    <row r="150" spans="8:10" x14ac:dyDescent="0.25">
      <c r="H150" s="7" t="str">
        <f>IF(ISNUMBER(B150),Table1[[#This Row],[Date Logged]]+7,"")</f>
        <v/>
      </c>
      <c r="J150" s="8" t="str">
        <f>IF(ISNUMBER(I150), Table1[[#This Row],[Incident report Completion Date]]-Table1[[#This Row],[Date Logged]], "OPEN")</f>
        <v>OPEN</v>
      </c>
    </row>
    <row r="151" spans="8:10" x14ac:dyDescent="0.25">
      <c r="H151" s="7" t="str">
        <f>IF(ISNUMBER(B151),Table1[[#This Row],[Date Logged]]+7,"")</f>
        <v/>
      </c>
      <c r="J151" s="8" t="str">
        <f>IF(ISNUMBER(I151), Table1[[#This Row],[Incident report Completion Date]]-Table1[[#This Row],[Date Logged]], "OPEN")</f>
        <v>OPEN</v>
      </c>
    </row>
    <row r="152" spans="8:10" x14ac:dyDescent="0.25">
      <c r="H152" s="7" t="str">
        <f>IF(ISNUMBER(B152),Table1[[#This Row],[Date Logged]]+7,"")</f>
        <v/>
      </c>
      <c r="J152" s="8" t="str">
        <f>IF(ISNUMBER(I152), Table1[[#This Row],[Incident report Completion Date]]-Table1[[#This Row],[Date Logged]], "OPEN")</f>
        <v>OPEN</v>
      </c>
    </row>
    <row r="153" spans="8:10" x14ac:dyDescent="0.25">
      <c r="H153" s="7" t="str">
        <f>IF(ISNUMBER(B153),Table1[[#This Row],[Date Logged]]+7,"")</f>
        <v/>
      </c>
      <c r="J153" s="8" t="str">
        <f>IF(ISNUMBER(I153), Table1[[#This Row],[Incident report Completion Date]]-Table1[[#This Row],[Date Logged]], "OPEN")</f>
        <v>OPEN</v>
      </c>
    </row>
    <row r="154" spans="8:10" x14ac:dyDescent="0.25">
      <c r="H154" s="7" t="str">
        <f>IF(ISNUMBER(B154),Table1[[#This Row],[Date Logged]]+7,"")</f>
        <v/>
      </c>
      <c r="J154" s="8" t="str">
        <f>IF(ISNUMBER(I154), Table1[[#This Row],[Incident report Completion Date]]-Table1[[#This Row],[Date Logged]], "OPEN")</f>
        <v>OPEN</v>
      </c>
    </row>
    <row r="155" spans="8:10" x14ac:dyDescent="0.25">
      <c r="H155" s="7" t="str">
        <f>IF(ISNUMBER(B155),Table1[[#This Row],[Date Logged]]+7,"")</f>
        <v/>
      </c>
      <c r="J155" s="8" t="str">
        <f>IF(ISNUMBER(I155), Table1[[#This Row],[Incident report Completion Date]]-Table1[[#This Row],[Date Logged]], "OPEN")</f>
        <v>OPEN</v>
      </c>
    </row>
    <row r="156" spans="8:10" x14ac:dyDescent="0.25">
      <c r="H156" s="7" t="str">
        <f>IF(ISNUMBER(B156),Table1[[#This Row],[Date Logged]]+7,"")</f>
        <v/>
      </c>
      <c r="J156" s="8" t="str">
        <f>IF(ISNUMBER(I156), Table1[[#This Row],[Incident report Completion Date]]-Table1[[#This Row],[Date Logged]], "OPEN")</f>
        <v>OPEN</v>
      </c>
    </row>
    <row r="157" spans="8:10" x14ac:dyDescent="0.25">
      <c r="H157" s="7" t="str">
        <f>IF(ISNUMBER(B157),Table1[[#This Row],[Date Logged]]+7,"")</f>
        <v/>
      </c>
      <c r="J157" s="8" t="str">
        <f>IF(ISNUMBER(I157), Table1[[#This Row],[Incident report Completion Date]]-Table1[[#This Row],[Date Logged]], "OPEN")</f>
        <v>OPEN</v>
      </c>
    </row>
    <row r="158" spans="8:10" x14ac:dyDescent="0.25">
      <c r="H158" s="7" t="str">
        <f>IF(ISNUMBER(B158),Table1[[#This Row],[Date Logged]]+7,"")</f>
        <v/>
      </c>
      <c r="J158" s="8" t="str">
        <f>IF(ISNUMBER(I158), Table1[[#This Row],[Incident report Completion Date]]-Table1[[#This Row],[Date Logged]], "OPEN")</f>
        <v>OPEN</v>
      </c>
    </row>
    <row r="159" spans="8:10" x14ac:dyDescent="0.25">
      <c r="H159" s="7" t="str">
        <f>IF(ISNUMBER(B159),Table1[[#This Row],[Date Logged]]+7,"")</f>
        <v/>
      </c>
      <c r="J159" s="8" t="str">
        <f>IF(ISNUMBER(I159), Table1[[#This Row],[Incident report Completion Date]]-Table1[[#This Row],[Date Logged]], "OPEN")</f>
        <v>OPEN</v>
      </c>
    </row>
    <row r="160" spans="8:10" x14ac:dyDescent="0.25">
      <c r="H160" s="7" t="str">
        <f>IF(ISNUMBER(B160),Table1[[#This Row],[Date Logged]]+7,"")</f>
        <v/>
      </c>
      <c r="J160" s="8" t="str">
        <f>IF(ISNUMBER(I160), Table1[[#This Row],[Incident report Completion Date]]-Table1[[#This Row],[Date Logged]], "OPEN")</f>
        <v>OPEN</v>
      </c>
    </row>
    <row r="161" spans="8:10" x14ac:dyDescent="0.25">
      <c r="H161" s="7" t="str">
        <f>IF(ISNUMBER(B161),Table1[[#This Row],[Date Logged]]+7,"")</f>
        <v/>
      </c>
      <c r="J161" s="8" t="str">
        <f>IF(ISNUMBER(I161), Table1[[#This Row],[Incident report Completion Date]]-Table1[[#This Row],[Date Logged]], "OPEN")</f>
        <v>OPEN</v>
      </c>
    </row>
    <row r="162" spans="8:10" x14ac:dyDescent="0.25">
      <c r="H162" s="7" t="str">
        <f>IF(ISNUMBER(B162),Table1[[#This Row],[Date Logged]]+7,"")</f>
        <v/>
      </c>
      <c r="J162" s="8" t="str">
        <f>IF(ISNUMBER(I162), Table1[[#This Row],[Incident report Completion Date]]-Table1[[#This Row],[Date Logged]], "OPEN")</f>
        <v>OPEN</v>
      </c>
    </row>
    <row r="163" spans="8:10" x14ac:dyDescent="0.25">
      <c r="H163" s="7" t="str">
        <f>IF(ISNUMBER(B163),Table1[[#This Row],[Date Logged]]+7,"")</f>
        <v/>
      </c>
      <c r="J163" s="8" t="str">
        <f>IF(ISNUMBER(I163), Table1[[#This Row],[Incident report Completion Date]]-Table1[[#This Row],[Date Logged]], "OPEN")</f>
        <v>OPEN</v>
      </c>
    </row>
    <row r="164" spans="8:10" x14ac:dyDescent="0.25">
      <c r="H164" s="7" t="str">
        <f>IF(ISNUMBER(B164),Table1[[#This Row],[Date Logged]]+7,"")</f>
        <v/>
      </c>
      <c r="J164" s="8" t="str">
        <f>IF(ISNUMBER(I164), Table1[[#This Row],[Incident report Completion Date]]-Table1[[#This Row],[Date Logged]], "OPEN")</f>
        <v>OPEN</v>
      </c>
    </row>
    <row r="165" spans="8:10" x14ac:dyDescent="0.25">
      <c r="H165" s="7" t="str">
        <f>IF(ISNUMBER(B165),Table1[[#This Row],[Date Logged]]+7,"")</f>
        <v/>
      </c>
      <c r="J165" s="8" t="str">
        <f>IF(ISNUMBER(I165), Table1[[#This Row],[Incident report Completion Date]]-Table1[[#This Row],[Date Logged]], "OPEN")</f>
        <v>OPEN</v>
      </c>
    </row>
    <row r="166" spans="8:10" x14ac:dyDescent="0.25">
      <c r="H166" s="7" t="str">
        <f>IF(ISNUMBER(B166),Table1[[#This Row],[Date Logged]]+7,"")</f>
        <v/>
      </c>
      <c r="J166" s="8" t="str">
        <f>IF(ISNUMBER(I166), Table1[[#This Row],[Incident report Completion Date]]-Table1[[#This Row],[Date Logged]], "OPEN")</f>
        <v>OPEN</v>
      </c>
    </row>
    <row r="167" spans="8:10" x14ac:dyDescent="0.25">
      <c r="H167" s="7" t="str">
        <f>IF(ISNUMBER(B167),Table1[[#This Row],[Date Logged]]+7,"")</f>
        <v/>
      </c>
      <c r="J167" s="8" t="str">
        <f>IF(ISNUMBER(I167), Table1[[#This Row],[Incident report Completion Date]]-Table1[[#This Row],[Date Logged]], "OPEN")</f>
        <v>OPEN</v>
      </c>
    </row>
    <row r="168" spans="8:10" x14ac:dyDescent="0.25">
      <c r="H168" s="7" t="str">
        <f>IF(ISNUMBER(B168),Table1[[#This Row],[Date Logged]]+7,"")</f>
        <v/>
      </c>
      <c r="J168" s="8" t="str">
        <f>IF(ISNUMBER(I168), Table1[[#This Row],[Incident report Completion Date]]-Table1[[#This Row],[Date Logged]], "OPEN")</f>
        <v>OPEN</v>
      </c>
    </row>
    <row r="169" spans="8:10" x14ac:dyDescent="0.25">
      <c r="H169" s="7" t="str">
        <f>IF(ISNUMBER(B169),Table1[[#This Row],[Date Logged]]+7,"")</f>
        <v/>
      </c>
      <c r="J169" s="8" t="str">
        <f>IF(ISNUMBER(I169), Table1[[#This Row],[Incident report Completion Date]]-Table1[[#This Row],[Date Logged]], "OPEN")</f>
        <v>OPEN</v>
      </c>
    </row>
    <row r="170" spans="8:10" x14ac:dyDescent="0.25">
      <c r="H170" s="7" t="str">
        <f>IF(ISNUMBER(B170),Table1[[#This Row],[Date Logged]]+7,"")</f>
        <v/>
      </c>
      <c r="J170" s="8" t="str">
        <f>IF(ISNUMBER(I170), Table1[[#This Row],[Incident report Completion Date]]-Table1[[#This Row],[Date Logged]], "OPEN")</f>
        <v>OPEN</v>
      </c>
    </row>
    <row r="171" spans="8:10" x14ac:dyDescent="0.25">
      <c r="H171" s="7" t="str">
        <f>IF(ISNUMBER(B171),Table1[[#This Row],[Date Logged]]+7,"")</f>
        <v/>
      </c>
      <c r="J171" s="8" t="str">
        <f>IF(ISNUMBER(I171), Table1[[#This Row],[Incident report Completion Date]]-Table1[[#This Row],[Date Logged]], "OPEN")</f>
        <v>OPEN</v>
      </c>
    </row>
    <row r="172" spans="8:10" x14ac:dyDescent="0.25">
      <c r="H172" s="7" t="str">
        <f>IF(ISNUMBER(B172),Table1[[#This Row],[Date Logged]]+7,"")</f>
        <v/>
      </c>
      <c r="J172" s="8" t="str">
        <f>IF(ISNUMBER(I172), Table1[[#This Row],[Incident report Completion Date]]-Table1[[#This Row],[Date Logged]], "OPEN")</f>
        <v>OPEN</v>
      </c>
    </row>
    <row r="173" spans="8:10" x14ac:dyDescent="0.25">
      <c r="H173" s="7" t="str">
        <f>IF(ISNUMBER(B173),Table1[[#This Row],[Date Logged]]+7,"")</f>
        <v/>
      </c>
      <c r="J173" s="8" t="str">
        <f>IF(ISNUMBER(I173), Table1[[#This Row],[Incident report Completion Date]]-Table1[[#This Row],[Date Logged]], "OPEN")</f>
        <v>OPEN</v>
      </c>
    </row>
    <row r="174" spans="8:10" x14ac:dyDescent="0.25">
      <c r="H174" s="7" t="str">
        <f>IF(ISNUMBER(B174),Table1[[#This Row],[Date Logged]]+7,"")</f>
        <v/>
      </c>
      <c r="J174" s="8" t="str">
        <f>IF(ISNUMBER(I174), Table1[[#This Row],[Incident report Completion Date]]-Table1[[#This Row],[Date Logged]], "OPEN")</f>
        <v>OPEN</v>
      </c>
    </row>
    <row r="175" spans="8:10" x14ac:dyDescent="0.25">
      <c r="H175" s="7" t="str">
        <f>IF(ISNUMBER(B175),Table1[[#This Row],[Date Logged]]+7,"")</f>
        <v/>
      </c>
      <c r="J175" s="8" t="str">
        <f>IF(ISNUMBER(I175), Table1[[#This Row],[Incident report Completion Date]]-Table1[[#This Row],[Date Logged]], "OPEN")</f>
        <v>OPEN</v>
      </c>
    </row>
    <row r="176" spans="8:10" x14ac:dyDescent="0.25">
      <c r="H176" s="7" t="str">
        <f>IF(ISNUMBER(B176),Table1[[#This Row],[Date Logged]]+7,"")</f>
        <v/>
      </c>
      <c r="J176" s="8" t="str">
        <f>IF(ISNUMBER(I176), Table1[[#This Row],[Incident report Completion Date]]-Table1[[#This Row],[Date Logged]], "OPEN")</f>
        <v>OPEN</v>
      </c>
    </row>
    <row r="177" spans="8:10" x14ac:dyDescent="0.25">
      <c r="H177" s="7" t="str">
        <f>IF(ISNUMBER(B177),Table1[[#This Row],[Date Logged]]+7,"")</f>
        <v/>
      </c>
      <c r="J177" s="8" t="str">
        <f>IF(ISNUMBER(I177), Table1[[#This Row],[Incident report Completion Date]]-Table1[[#This Row],[Date Logged]], "OPEN")</f>
        <v>OPEN</v>
      </c>
    </row>
    <row r="178" spans="8:10" x14ac:dyDescent="0.25">
      <c r="H178" s="7" t="str">
        <f>IF(ISNUMBER(B178),Table1[[#This Row],[Date Logged]]+7,"")</f>
        <v/>
      </c>
      <c r="J178" s="8" t="str">
        <f>IF(ISNUMBER(I178), Table1[[#This Row],[Incident report Completion Date]]-Table1[[#This Row],[Date Logged]], "OPEN")</f>
        <v>OPEN</v>
      </c>
    </row>
    <row r="179" spans="8:10" x14ac:dyDescent="0.25">
      <c r="H179" s="7" t="str">
        <f>IF(ISNUMBER(B179),Table1[[#This Row],[Date Logged]]+7,"")</f>
        <v/>
      </c>
      <c r="J179" s="8" t="str">
        <f>IF(ISNUMBER(I179), Table1[[#This Row],[Incident report Completion Date]]-Table1[[#This Row],[Date Logged]], "OPEN")</f>
        <v>OPEN</v>
      </c>
    </row>
    <row r="180" spans="8:10" x14ac:dyDescent="0.25">
      <c r="H180" s="7" t="str">
        <f>IF(ISNUMBER(B180),Table1[[#This Row],[Date Logged]]+7,"")</f>
        <v/>
      </c>
      <c r="J180" s="8" t="str">
        <f>IF(ISNUMBER(I180), Table1[[#This Row],[Incident report Completion Date]]-Table1[[#This Row],[Date Logged]], "OPEN")</f>
        <v>OPEN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conditionalFormatting sqref="H1:H1048576">
    <cfRule type="cellIs" dxfId="9" priority="9" operator="between">
      <formula>TODAY()</formula>
      <formula>TODAY()+7</formula>
    </cfRule>
    <cfRule type="cellIs" dxfId="8" priority="10" operator="lessThan">
      <formula>TODAY()</formula>
    </cfRule>
  </conditionalFormatting>
  <conditionalFormatting sqref="J2:J180">
    <cfRule type="cellIs" dxfId="7" priority="7" operator="greaterThan">
      <formula>7</formula>
    </cfRule>
    <cfRule type="cellIs" dxfId="6" priority="8" operator="lessThan">
      <formula>8</formula>
    </cfRule>
  </conditionalFormatting>
  <conditionalFormatting sqref="K1:K1048576">
    <cfRule type="containsText" dxfId="5" priority="5" operator="containsText" text="Completed">
      <formula>NOT(ISERROR(SEARCH("Completed",K1)))</formula>
    </cfRule>
    <cfRule type="containsText" dxfId="4" priority="6" operator="containsText" text="In-Progress">
      <formula>NOT(ISERROR(SEARCH("In-Progress",K1)))</formula>
    </cfRule>
  </conditionalFormatting>
  <conditionalFormatting sqref="M2:M91">
    <cfRule type="containsText" dxfId="3" priority="1" operator="containsText" text="Effectiveness Check File">
      <formula>NOT(ISERROR(SEARCH("Effectiveness Check File",M2)))</formula>
    </cfRule>
    <cfRule type="containsText" dxfId="2" priority="2" operator="containsText" text="Closed Incidents File">
      <formula>NOT(ISERROR(SEARCH("Closed Incidents File",M2)))</formula>
    </cfRule>
    <cfRule type="containsText" dxfId="1" priority="3" operator="containsText" text="E-Copy">
      <formula>NOT(ISERROR(SEARCH("E-Copy",M2)))</formula>
    </cfRule>
    <cfRule type="containsText" dxfId="0" priority="4" operator="containsText" text="Open File Status (Immediate Actions in progress">
      <formula>NOT(ISERROR(SEARCH("Open File Status (Immediate Actions in progress",M2)))</formula>
    </cfRule>
  </conditionalFormatting>
  <dataValidations count="3">
    <dataValidation type="list" allowBlank="1" showInputMessage="1" showErrorMessage="1" sqref="F2:F180" xr:uid="{B723A8B5-107B-4D3B-B275-AD8C45DDD373}">
      <formula1>"Critical, Major, Minor"</formula1>
    </dataValidation>
    <dataValidation type="list" allowBlank="1" showInputMessage="1" showErrorMessage="1" sqref="K2:K180" xr:uid="{4F84ABA9-7E13-4FBA-BD3E-FC6ED2760468}">
      <formula1>"Completed, In-Progress"</formula1>
    </dataValidation>
    <dataValidation type="list" allowBlank="1" showInputMessage="1" showErrorMessage="1" sqref="M1:M1048576" xr:uid="{03774916-09F3-4AAF-B7D4-FFD521D078D8}">
      <formula1>"E-Copy, Open File Status (Immediate Actions in progress, Closed Incidents File, Effectiveness Check File"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Ahmed</dc:creator>
  <cp:lastModifiedBy>Adam Hafeji</cp:lastModifiedBy>
  <dcterms:created xsi:type="dcterms:W3CDTF">2023-06-20T11:03:41Z</dcterms:created>
  <dcterms:modified xsi:type="dcterms:W3CDTF">2026-02-02T13:40:15Z</dcterms:modified>
</cp:coreProperties>
</file>