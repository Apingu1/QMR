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Quality\QA\QMS DATABASE\QMS 2026\0. QMS Spreadsheets 2026\"/>
    </mc:Choice>
  </mc:AlternateContent>
  <xr:revisionPtr revIDLastSave="0" documentId="13_ncr:1_{8B45A9AC-D4A0-456D-8DAE-85053E085BE5}" xr6:coauthVersionLast="47" xr6:coauthVersionMax="47" xr10:uidLastSave="{00000000-0000-0000-0000-000000000000}"/>
  <bookViews>
    <workbookView xWindow="-120" yWindow="-120" windowWidth="29040" windowHeight="15720" xr2:uid="{B92B8EB6-6694-41E7-9371-85E1DD012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</calcChain>
</file>

<file path=xl/sharedStrings.xml><?xml version="1.0" encoding="utf-8"?>
<sst xmlns="http://schemas.openxmlformats.org/spreadsheetml/2006/main" count="31" uniqueCount="31">
  <si>
    <t>Complaint Reference</t>
  </si>
  <si>
    <t>Date Logged</t>
  </si>
  <si>
    <t>Logged by</t>
  </si>
  <si>
    <t>QA RP</t>
  </si>
  <si>
    <t>Product Details</t>
  </si>
  <si>
    <t>Details of Complaint</t>
  </si>
  <si>
    <t>Nature of Complaint (Critical/ Major/ Minor)</t>
  </si>
  <si>
    <t>Action Taken</t>
  </si>
  <si>
    <t>Part 1 Due Date</t>
  </si>
  <si>
    <t>Part 1 Completion Date</t>
  </si>
  <si>
    <t>Days Taken to do Part 1</t>
  </si>
  <si>
    <t>Target Date</t>
  </si>
  <si>
    <t>Date Closed</t>
  </si>
  <si>
    <t>Days Open</t>
  </si>
  <si>
    <t>Status</t>
  </si>
  <si>
    <t>Wet ink copy filed away? (Y/N)</t>
  </si>
  <si>
    <t>Location</t>
  </si>
  <si>
    <t>Comments</t>
  </si>
  <si>
    <t>Supplier / Contractor</t>
  </si>
  <si>
    <t>CMPS.2026.001</t>
  </si>
  <si>
    <t>MR</t>
  </si>
  <si>
    <t>AHA</t>
  </si>
  <si>
    <t xml:space="preserve">Black specks identified in the raw material upon initial manufacture use </t>
  </si>
  <si>
    <t>Supplier</t>
  </si>
  <si>
    <t>Minor</t>
  </si>
  <si>
    <t>Supplier contacted for 
investigation purposes</t>
  </si>
  <si>
    <t>TOPIRAMATE 25MG/5ML 
ORAL SUSPENSION</t>
  </si>
  <si>
    <t>Completed</t>
  </si>
  <si>
    <t>Y</t>
  </si>
  <si>
    <t>Closed Supplier Complaints File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</si>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</sst>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5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 wrapText="1"/>
      <protection locked="0"/>
    </xf>
  </cellXfs>
  <cellStyles count="1">
    <cellStyle name="Normal" xfId="0" builtinId="0"/>
  </cellStyles>
  <dxfs count="33"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DF98D-40F7-475C-9DF6-F88A8E2346FF}" name="Table1" displayName="Table1" ref="A1:S180" totalsRowShown="0" headerRowDxfId="32" dataDxfId="30" headerRowBorderDxfId="31" tableBorderDxfId="29">
  <autoFilter ref="A1:S180" xr:uid="{025DF98D-40F7-475C-9DF6-F88A8E2346FF}"/>
  <tableColumns count="19">
    <tableColumn id="1" xr3:uid="{0034F855-CE30-428B-8BA1-DA57BD1158D4}" name="Complaint Reference" dataDxfId="28"/>
    <tableColumn id="2" xr3:uid="{BDFF5385-8B91-4572-970A-E4503B882FA5}" name="Date Logged" dataDxfId="27"/>
    <tableColumn id="3" xr3:uid="{287443ED-FDA8-49B8-A40F-DB1269BFB5FB}" name="Logged by" dataDxfId="26"/>
    <tableColumn id="4" xr3:uid="{E7491A5A-B7A9-42CD-88D8-A4F214667C76}" name="QA RP" dataDxfId="25"/>
    <tableColumn id="5" xr3:uid="{20DC0D27-3E7C-469F-B15D-A639138CC727}" name="Product Details" dataDxfId="24"/>
    <tableColumn id="6" xr3:uid="{40E43824-4A07-422E-B7F1-DF53EE197ECC}" name="Details of Complaint" dataDxfId="23"/>
    <tableColumn id="19" xr3:uid="{8F886EEC-6C9F-4365-85FF-36BB83523CE8}" name="Supplier / Contractor" dataDxfId="22"/>
    <tableColumn id="7" xr3:uid="{0CBE6274-2DC4-4CE8-908D-A7D02306B9CE}" name="Nature of Complaint (Critical/ Major/ Minor)" dataDxfId="21"/>
    <tableColumn id="8" xr3:uid="{50832386-E469-4721-9318-35EDB5AFB79C}" name="Action Taken" dataDxfId="20"/>
    <tableColumn id="9" xr3:uid="{C0F712FD-4125-4174-ADF8-C28E5B2F3BEB}" name="Part 1 Due Date" dataDxfId="19">
      <calculatedColumnFormula>IF(ISNUMBER(B2),Table1[[#This Row],[Date Logged]]+7,"")</calculatedColumnFormula>
    </tableColumn>
    <tableColumn id="10" xr3:uid="{4C97EAFB-9EED-41F2-AE88-6CA932C63B20}" name="Part 1 Completion Date" dataDxfId="18"/>
    <tableColumn id="11" xr3:uid="{2F993887-446C-41AF-899E-F00C5317B42F}" name="Days Taken to do Part 1" dataDxfId="17">
      <calculatedColumnFormula>IF(ISNUMBER(K2), Table1[[#This Row],[Part 1 Completion Date]]-Table1[[#This Row],[Date Logged]], "OPEN")</calculatedColumnFormula>
    </tableColumn>
    <tableColumn id="12" xr3:uid="{7410D333-072B-48A4-B1CE-C07B29EC7DCB}" name="Target Date" dataDxfId="16"/>
    <tableColumn id="13" xr3:uid="{18279FBB-8D14-454F-9B58-701306C1EF72}" name="Date Closed" dataDxfId="15"/>
    <tableColumn id="14" xr3:uid="{ECCF89C7-0EF0-448C-AA67-688D6AE8DA9A}" name="Days Open" dataDxfId="14">
      <calculatedColumnFormula>IF(ISNUMBER(N2), Table1[[#This Row],[Date Closed]]-Table1[[#This Row],[Date Logged]], "OPEN")</calculatedColumnFormula>
    </tableColumn>
    <tableColumn id="15" xr3:uid="{DB077038-0335-4AB2-965F-D3F98FACDE26}" name="Status" dataDxfId="13"/>
    <tableColumn id="16" xr3:uid="{C863AF06-5E8D-47DE-9D9B-0EF72E5FE7D4}" name="Wet ink copy filed away? (Y/N)" dataDxfId="12"/>
    <tableColumn id="17" xr3:uid="{305E4D74-63DA-4E74-AE93-0CC3951D6167}" name="Location" dataDxfId="11"/>
    <tableColumn id="18" xr3:uid="{211A4740-2848-439C-92B2-452054E750D0}" name="Comments" dataDxfId="1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3194-69AF-4B2B-9055-905C0B5D2B7A}">
  <dimension ref="A1:T180"/>
  <sheetViews>
    <sheetView tabSelected="1" topLeftCell="F1" zoomScale="70" zoomScaleNormal="70" workbookViewId="0">
      <selection activeCell="Q14" sqref="Q14"/>
    </sheetView>
  </sheetViews>
  <sheetFormatPr defaultColWidth="0" defaultRowHeight="15" zeroHeight="1" x14ac:dyDescent="0.25"/>
  <cols>
    <col min="1" max="1" width="27" style="7" customWidth="1"/>
    <col min="2" max="2" width="17.28515625" style="7" customWidth="1"/>
    <col min="3" max="3" width="15.140625" style="7" customWidth="1"/>
    <col min="4" max="4" width="11.85546875" style="7" customWidth="1"/>
    <col min="5" max="5" width="36.28515625" style="7" customWidth="1"/>
    <col min="6" max="6" width="34.140625" style="7" customWidth="1"/>
    <col min="7" max="7" width="27.42578125" style="7" customWidth="1"/>
    <col min="8" max="8" width="23.140625" style="7" customWidth="1"/>
    <col min="9" max="9" width="35" style="7" customWidth="1"/>
    <col min="10" max="10" width="20" style="13" customWidth="1"/>
    <col min="11" max="11" width="28.7109375" style="7" customWidth="1"/>
    <col min="12" max="12" width="34.5703125" style="16" customWidth="1"/>
    <col min="13" max="13" width="16.140625" style="7" customWidth="1"/>
    <col min="14" max="14" width="16.7109375" style="7" customWidth="1"/>
    <col min="15" max="15" width="17.140625" style="16" customWidth="1"/>
    <col min="16" max="16" width="20.85546875" style="7" customWidth="1"/>
    <col min="17" max="17" width="36.5703125" style="7" customWidth="1"/>
    <col min="18" max="18" width="23.5703125" style="17" customWidth="1"/>
    <col min="19" max="19" width="27.85546875" style="7" customWidth="1"/>
    <col min="20" max="20" width="9.140625" style="7" customWidth="1"/>
    <col min="21" max="16384" width="9.140625" style="7" hidden="1"/>
  </cols>
  <sheetData>
    <row r="1" spans="1:19" s="6" customFormat="1" ht="48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18</v>
      </c>
      <c r="H1" s="4" t="s">
        <v>6</v>
      </c>
      <c r="I1" s="4" t="s">
        <v>7</v>
      </c>
      <c r="J1" s="10" t="s">
        <v>8</v>
      </c>
      <c r="K1" s="4" t="s">
        <v>9</v>
      </c>
      <c r="L1" s="14" t="s">
        <v>10</v>
      </c>
      <c r="M1" s="4" t="s">
        <v>11</v>
      </c>
      <c r="N1" s="4" t="s">
        <v>12</v>
      </c>
      <c r="O1" s="14" t="s">
        <v>13</v>
      </c>
      <c r="P1" s="4" t="s">
        <v>14</v>
      </c>
      <c r="Q1" s="4" t="s">
        <v>15</v>
      </c>
      <c r="R1" s="4" t="s">
        <v>16</v>
      </c>
      <c r="S1" s="5" t="s">
        <v>17</v>
      </c>
    </row>
    <row r="2" spans="1:19" ht="45" x14ac:dyDescent="0.25">
      <c r="A2" s="7" t="s">
        <v>19</v>
      </c>
      <c r="B2" s="8">
        <v>46168</v>
      </c>
      <c r="C2" s="7" t="s">
        <v>20</v>
      </c>
      <c r="D2" s="7" t="s">
        <v>21</v>
      </c>
      <c r="E2" s="19" t="s">
        <v>26</v>
      </c>
      <c r="F2" s="17" t="s">
        <v>22</v>
      </c>
      <c r="G2" s="17" t="s">
        <v>23</v>
      </c>
      <c r="H2" s="7" t="s">
        <v>24</v>
      </c>
      <c r="I2" s="17" t="s">
        <v>25</v>
      </c>
      <c r="J2" s="11">
        <f>IF(ISNUMBER(B2),Table1[[#This Row],[Date Logged]]+7,"")</f>
        <v>46175</v>
      </c>
      <c r="K2" s="8">
        <v>46170</v>
      </c>
      <c r="L2" s="15">
        <f>IF(ISNUMBER(K2), Table1[[#This Row],[Part 1 Completion Date]]-Table1[[#This Row],[Date Logged]], "OPEN")</f>
        <v>2</v>
      </c>
      <c r="M2" s="8">
        <v>46260</v>
      </c>
      <c r="N2" s="8">
        <v>46260</v>
      </c>
      <c r="O2" s="13">
        <f>IF(ISNUMBER(N2), Table1[[#This Row],[Date Closed]]-Table1[[#This Row],[Date Logged]], "OPEN")</f>
        <v>92</v>
      </c>
      <c r="P2" s="1" t="s">
        <v>27</v>
      </c>
      <c r="Q2" s="7" t="s">
        <v>28</v>
      </c>
      <c r="R2" s="2" t="s">
        <v>29</v>
      </c>
      <c r="S2" s="7" t="s">
        <v>30</v>
      </c>
    </row>
    <row r="3" spans="1:19" x14ac:dyDescent="0.25">
      <c r="B3" s="8"/>
      <c r="E3" s="17"/>
      <c r="F3" s="17"/>
      <c r="I3" s="17"/>
      <c r="J3" s="12" t="str">
        <f>IF(ISNUMBER(B3),Table1[[#This Row],[Date Logged]]+7,"")</f>
        <v/>
      </c>
      <c r="K3" s="8"/>
      <c r="L3" s="13" t="str">
        <f>IF(ISNUMBER(K3), Table1[[#This Row],[Part 1 Completion Date]]-Table1[[#This Row],[Date Logged]], "OPEN")</f>
        <v>OPEN</v>
      </c>
      <c r="M3" s="8"/>
      <c r="N3" s="8"/>
      <c r="O3" s="13" t="str">
        <f>IF(ISNUMBER(N3), Table1[[#This Row],[Date Closed]]-Table1[[#This Row],[Date Logged]], "OPEN")</f>
        <v>OPEN</v>
      </c>
      <c r="R3" s="2"/>
      <c r="S3" s="17"/>
    </row>
    <row r="4" spans="1:19" x14ac:dyDescent="0.25">
      <c r="B4" s="8"/>
      <c r="E4" s="17"/>
      <c r="F4" s="17"/>
      <c r="I4" s="17"/>
      <c r="J4" s="12" t="str">
        <f>IF(ISNUMBER(B4),Table1[[#This Row],[Date Logged]]+7,"")</f>
        <v/>
      </c>
      <c r="K4" s="18"/>
      <c r="L4" s="13" t="str">
        <f>IF(ISNUMBER(K4), Table1[[#This Row],[Part 1 Completion Date]]-Table1[[#This Row],[Date Logged]], "OPEN")</f>
        <v>OPEN</v>
      </c>
      <c r="M4" s="8"/>
      <c r="N4" s="8"/>
      <c r="O4" s="13" t="str">
        <f>IF(ISNUMBER(N4), Table1[[#This Row],[Date Closed]]-Table1[[#This Row],[Date Logged]], "OPEN")</f>
        <v>OPEN</v>
      </c>
    </row>
    <row r="5" spans="1:19" x14ac:dyDescent="0.25">
      <c r="B5" s="8"/>
      <c r="F5" s="17"/>
      <c r="I5" s="17"/>
      <c r="J5" s="12" t="str">
        <f>IF(ISNUMBER(B5),Table1[[#This Row],[Date Logged]]+7,"")</f>
        <v/>
      </c>
      <c r="L5" s="13" t="str">
        <f>IF(ISNUMBER(K5), Table1[[#This Row],[Part 1 Completion Date]]-Table1[[#This Row],[Date Logged]], "OPEN")</f>
        <v>OPEN</v>
      </c>
      <c r="M5" s="8"/>
      <c r="O5" s="13" t="str">
        <f>IF(ISNUMBER(N5), Table1[[#This Row],[Date Closed]]-Table1[[#This Row],[Date Logged]], "OPEN")</f>
        <v>OPEN</v>
      </c>
      <c r="S5" s="17"/>
    </row>
    <row r="6" spans="1:19" x14ac:dyDescent="0.25">
      <c r="J6" s="12" t="str">
        <f>IF(ISNUMBER(B6),Table1[[#This Row],[Date Logged]]+7,"")</f>
        <v/>
      </c>
      <c r="L6" s="13" t="str">
        <f>IF(ISNUMBER(K6), Table1[[#This Row],[Part 1 Completion Date]]-Table1[[#This Row],[Date Logged]], "OPEN")</f>
        <v>OPEN</v>
      </c>
      <c r="M6" s="8"/>
      <c r="O6" s="13" t="str">
        <f>IF(ISNUMBER(N6), Table1[[#This Row],[Date Closed]]-Table1[[#This Row],[Date Logged]], "OPEN")</f>
        <v>OPEN</v>
      </c>
    </row>
    <row r="7" spans="1:19" x14ac:dyDescent="0.25">
      <c r="J7" s="12" t="str">
        <f>IF(ISNUMBER(B7),Table1[[#This Row],[Date Logged]]+7,"")</f>
        <v/>
      </c>
      <c r="L7" s="13" t="str">
        <f>IF(ISNUMBER(K7), Table1[[#This Row],[Part 1 Completion Date]]-Table1[[#This Row],[Date Logged]], "OPEN")</f>
        <v>OPEN</v>
      </c>
      <c r="M7" s="8"/>
      <c r="O7" s="13" t="str">
        <f>IF(ISNUMBER(N7), Table1[[#This Row],[Date Closed]]-Table1[[#This Row],[Date Logged]], "OPEN")</f>
        <v>OPEN</v>
      </c>
    </row>
    <row r="8" spans="1:19" x14ac:dyDescent="0.25">
      <c r="J8" s="12" t="str">
        <f>IF(ISNUMBER(B8),Table1[[#This Row],[Date Logged]]+7,"")</f>
        <v/>
      </c>
      <c r="L8" s="13" t="str">
        <f>IF(ISNUMBER(K8), Table1[[#This Row],[Part 1 Completion Date]]-Table1[[#This Row],[Date Logged]], "OPEN")</f>
        <v>OPEN</v>
      </c>
      <c r="M8" s="8"/>
      <c r="O8" s="13" t="str">
        <f>IF(ISNUMBER(N8), Table1[[#This Row],[Date Closed]]-Table1[[#This Row],[Date Logged]], "OPEN")</f>
        <v>OPEN</v>
      </c>
    </row>
    <row r="9" spans="1:19" x14ac:dyDescent="0.25">
      <c r="J9" s="12" t="str">
        <f>IF(ISNUMBER(B9),Table1[[#This Row],[Date Logged]]+7,"")</f>
        <v/>
      </c>
      <c r="L9" s="13" t="str">
        <f>IF(ISNUMBER(K9), Table1[[#This Row],[Part 1 Completion Date]]-Table1[[#This Row],[Date Logged]], "OPEN")</f>
        <v>OPEN</v>
      </c>
      <c r="M9" s="8"/>
      <c r="O9" s="13" t="str">
        <f>IF(ISNUMBER(N9), Table1[[#This Row],[Date Closed]]-Table1[[#This Row],[Date Logged]], "OPEN")</f>
        <v>OPEN</v>
      </c>
    </row>
    <row r="10" spans="1:19" x14ac:dyDescent="0.25">
      <c r="J10" s="12" t="str">
        <f>IF(ISNUMBER(B10),Table1[[#This Row],[Date Logged]]+7,"")</f>
        <v/>
      </c>
      <c r="L10" s="13" t="str">
        <f>IF(ISNUMBER(K10), Table1[[#This Row],[Part 1 Completion Date]]-Table1[[#This Row],[Date Logged]], "OPEN")</f>
        <v>OPEN</v>
      </c>
      <c r="M10" s="8"/>
      <c r="O10" s="13" t="str">
        <f>IF(ISNUMBER(N10), Table1[[#This Row],[Date Closed]]-Table1[[#This Row],[Date Logged]], "OPEN")</f>
        <v>OPEN</v>
      </c>
    </row>
    <row r="11" spans="1:19" x14ac:dyDescent="0.25">
      <c r="J11" s="12" t="str">
        <f>IF(ISNUMBER(B11),Table1[[#This Row],[Date Logged]]+7,"")</f>
        <v/>
      </c>
      <c r="L11" s="13" t="str">
        <f>IF(ISNUMBER(K11), Table1[[#This Row],[Part 1 Completion Date]]-Table1[[#This Row],[Date Logged]], "OPEN")</f>
        <v>OPEN</v>
      </c>
      <c r="M11" s="8"/>
      <c r="O11" s="13" t="str">
        <f>IF(ISNUMBER(N11), Table1[[#This Row],[Date Closed]]-Table1[[#This Row],[Date Logged]], "OPEN")</f>
        <v>OPEN</v>
      </c>
    </row>
    <row r="12" spans="1:19" x14ac:dyDescent="0.25">
      <c r="J12" s="12" t="str">
        <f>IF(ISNUMBER(B12),Table1[[#This Row],[Date Logged]]+7,"")</f>
        <v/>
      </c>
      <c r="L12" s="13" t="str">
        <f>IF(ISNUMBER(K12), Table1[[#This Row],[Part 1 Completion Date]]-Table1[[#This Row],[Date Logged]], "OPEN")</f>
        <v>OPEN</v>
      </c>
      <c r="M12" s="8"/>
      <c r="O12" s="13" t="str">
        <f>IF(ISNUMBER(N12), Table1[[#This Row],[Date Closed]]-Table1[[#This Row],[Date Logged]], "OPEN")</f>
        <v>OPEN</v>
      </c>
    </row>
    <row r="13" spans="1:19" x14ac:dyDescent="0.25">
      <c r="J13" s="12" t="str">
        <f>IF(ISNUMBER(B13),Table1[[#This Row],[Date Logged]]+7,"")</f>
        <v/>
      </c>
      <c r="L13" s="13" t="str">
        <f>IF(ISNUMBER(K13), Table1[[#This Row],[Part 1 Completion Date]]-Table1[[#This Row],[Date Logged]], "OPEN")</f>
        <v>OPEN</v>
      </c>
      <c r="M13" s="8"/>
      <c r="O13" s="13" t="str">
        <f>IF(ISNUMBER(N13), Table1[[#This Row],[Date Closed]]-Table1[[#This Row],[Date Logged]], "OPEN")</f>
        <v>OPEN</v>
      </c>
    </row>
    <row r="14" spans="1:19" x14ac:dyDescent="0.25">
      <c r="J14" s="12" t="str">
        <f>IF(ISNUMBER(B14),Table1[[#This Row],[Date Logged]]+7,"")</f>
        <v/>
      </c>
      <c r="L14" s="13" t="str">
        <f>IF(ISNUMBER(K14), Table1[[#This Row],[Part 1 Completion Date]]-Table1[[#This Row],[Date Logged]], "OPEN")</f>
        <v>OPEN</v>
      </c>
      <c r="M14" s="8"/>
      <c r="O14" s="13" t="str">
        <f>IF(ISNUMBER(N14), Table1[[#This Row],[Date Closed]]-Table1[[#This Row],[Date Logged]], "OPEN")</f>
        <v>OPEN</v>
      </c>
    </row>
    <row r="15" spans="1:19" x14ac:dyDescent="0.25">
      <c r="J15" s="12" t="str">
        <f>IF(ISNUMBER(B15),Table1[[#This Row],[Date Logged]]+7,"")</f>
        <v/>
      </c>
      <c r="L15" s="13" t="str">
        <f>IF(ISNUMBER(K15), Table1[[#This Row],[Part 1 Completion Date]]-Table1[[#This Row],[Date Logged]], "OPEN")</f>
        <v>OPEN</v>
      </c>
      <c r="M15" s="8"/>
      <c r="O15" s="13" t="str">
        <f>IF(ISNUMBER(N15), Table1[[#This Row],[Date Closed]]-Table1[[#This Row],[Date Logged]], "OPEN")</f>
        <v>OPEN</v>
      </c>
    </row>
    <row r="16" spans="1:19" x14ac:dyDescent="0.25">
      <c r="J16" s="12" t="str">
        <f>IF(ISNUMBER(B16),Table1[[#This Row],[Date Logged]]+7,"")</f>
        <v/>
      </c>
      <c r="L16" s="13" t="str">
        <f>IF(ISNUMBER(K16), Table1[[#This Row],[Part 1 Completion Date]]-Table1[[#This Row],[Date Logged]], "OPEN")</f>
        <v>OPEN</v>
      </c>
      <c r="M16" s="8"/>
      <c r="O16" s="13" t="str">
        <f>IF(ISNUMBER(N16), Table1[[#This Row],[Date Closed]]-Table1[[#This Row],[Date Logged]], "OPEN")</f>
        <v>OPEN</v>
      </c>
    </row>
    <row r="17" spans="10:15" x14ac:dyDescent="0.25">
      <c r="J17" s="12" t="str">
        <f>IF(ISNUMBER(B17),Table1[[#This Row],[Date Logged]]+7,"")</f>
        <v/>
      </c>
      <c r="L17" s="13" t="str">
        <f>IF(ISNUMBER(K17), Table1[[#This Row],[Part 1 Completion Date]]-Table1[[#This Row],[Date Logged]], "OPEN")</f>
        <v>OPEN</v>
      </c>
      <c r="M17" s="8"/>
      <c r="O17" s="13" t="str">
        <f>IF(ISNUMBER(N17), Table1[[#This Row],[Date Closed]]-Table1[[#This Row],[Date Logged]], "OPEN")</f>
        <v>OPEN</v>
      </c>
    </row>
    <row r="18" spans="10:15" x14ac:dyDescent="0.25">
      <c r="J18" s="12" t="str">
        <f>IF(ISNUMBER(B18),Table1[[#This Row],[Date Logged]]+7,"")</f>
        <v/>
      </c>
      <c r="L18" s="13" t="str">
        <f>IF(ISNUMBER(K18), Table1[[#This Row],[Part 1 Completion Date]]-Table1[[#This Row],[Date Logged]], "OPEN")</f>
        <v>OPEN</v>
      </c>
      <c r="M18" s="8"/>
      <c r="O18" s="13" t="str">
        <f>IF(ISNUMBER(N18), Table1[[#This Row],[Date Closed]]-Table1[[#This Row],[Date Logged]], "OPEN")</f>
        <v>OPEN</v>
      </c>
    </row>
    <row r="19" spans="10:15" x14ac:dyDescent="0.25">
      <c r="J19" s="12" t="str">
        <f>IF(ISNUMBER(B19),Table1[[#This Row],[Date Logged]]+7,"")</f>
        <v/>
      </c>
      <c r="L19" s="13" t="str">
        <f>IF(ISNUMBER(K19), Table1[[#This Row],[Part 1 Completion Date]]-Table1[[#This Row],[Date Logged]], "OPEN")</f>
        <v>OPEN</v>
      </c>
      <c r="M19" s="8"/>
      <c r="O19" s="13" t="str">
        <f>IF(ISNUMBER(N19), Table1[[#This Row],[Date Closed]]-Table1[[#This Row],[Date Logged]], "OPEN")</f>
        <v>OPEN</v>
      </c>
    </row>
    <row r="20" spans="10:15" x14ac:dyDescent="0.25">
      <c r="J20" s="12" t="str">
        <f>IF(ISNUMBER(B20),Table1[[#This Row],[Date Logged]]+7,"")</f>
        <v/>
      </c>
      <c r="L20" s="13" t="str">
        <f>IF(ISNUMBER(K20), Table1[[#This Row],[Part 1 Completion Date]]-Table1[[#This Row],[Date Logged]], "OPEN")</f>
        <v>OPEN</v>
      </c>
      <c r="M20" s="8"/>
      <c r="O20" s="13" t="str">
        <f>IF(ISNUMBER(N20), Table1[[#This Row],[Date Closed]]-Table1[[#This Row],[Date Logged]], "OPEN")</f>
        <v>OPEN</v>
      </c>
    </row>
    <row r="21" spans="10:15" x14ac:dyDescent="0.25">
      <c r="J21" s="12" t="str">
        <f>IF(ISNUMBER(B21),Table1[[#This Row],[Date Logged]]+7,"")</f>
        <v/>
      </c>
      <c r="L21" s="13" t="str">
        <f>IF(ISNUMBER(K21), Table1[[#This Row],[Part 1 Completion Date]]-Table1[[#This Row],[Date Logged]], "OPEN")</f>
        <v>OPEN</v>
      </c>
      <c r="M21" s="8"/>
      <c r="O21" s="13" t="str">
        <f>IF(ISNUMBER(N21), Table1[[#This Row],[Date Closed]]-Table1[[#This Row],[Date Logged]], "OPEN")</f>
        <v>OPEN</v>
      </c>
    </row>
    <row r="22" spans="10:15" x14ac:dyDescent="0.25">
      <c r="J22" s="12" t="str">
        <f>IF(ISNUMBER(B22),Table1[[#This Row],[Date Logged]]+7,"")</f>
        <v/>
      </c>
      <c r="L22" s="13" t="str">
        <f>IF(ISNUMBER(K22), Table1[[#This Row],[Part 1 Completion Date]]-Table1[[#This Row],[Date Logged]], "OPEN")</f>
        <v>OPEN</v>
      </c>
      <c r="M22" s="8"/>
      <c r="O22" s="13" t="str">
        <f>IF(ISNUMBER(N22), Table1[[#This Row],[Date Closed]]-Table1[[#This Row],[Date Logged]], "OPEN")</f>
        <v>OPEN</v>
      </c>
    </row>
    <row r="23" spans="10:15" x14ac:dyDescent="0.25">
      <c r="J23" s="12" t="str">
        <f>IF(ISNUMBER(B23),Table1[[#This Row],[Date Logged]]+7,"")</f>
        <v/>
      </c>
      <c r="L23" s="13" t="str">
        <f>IF(ISNUMBER(K23), Table1[[#This Row],[Part 1 Completion Date]]-Table1[[#This Row],[Date Logged]], "OPEN")</f>
        <v>OPEN</v>
      </c>
      <c r="M23" s="8"/>
      <c r="O23" s="13" t="str">
        <f>IF(ISNUMBER(N23), Table1[[#This Row],[Date Closed]]-Table1[[#This Row],[Date Logged]], "OPEN")</f>
        <v>OPEN</v>
      </c>
    </row>
    <row r="24" spans="10:15" x14ac:dyDescent="0.25">
      <c r="J24" s="12" t="str">
        <f>IF(ISNUMBER(B24),Table1[[#This Row],[Date Logged]]+7,"")</f>
        <v/>
      </c>
      <c r="L24" s="13" t="str">
        <f>IF(ISNUMBER(K24), Table1[[#This Row],[Part 1 Completion Date]]-Table1[[#This Row],[Date Logged]], "OPEN")</f>
        <v>OPEN</v>
      </c>
      <c r="M24" s="8"/>
      <c r="O24" s="13" t="str">
        <f>IF(ISNUMBER(N24), Table1[[#This Row],[Date Closed]]-Table1[[#This Row],[Date Logged]], "OPEN")</f>
        <v>OPEN</v>
      </c>
    </row>
    <row r="25" spans="10:15" x14ac:dyDescent="0.25">
      <c r="J25" s="12" t="str">
        <f>IF(ISNUMBER(B25),Table1[[#This Row],[Date Logged]]+7,"")</f>
        <v/>
      </c>
      <c r="L25" s="13" t="str">
        <f>IF(ISNUMBER(K25), Table1[[#This Row],[Part 1 Completion Date]]-Table1[[#This Row],[Date Logged]], "OPEN")</f>
        <v>OPEN</v>
      </c>
      <c r="M25" s="8"/>
      <c r="O25" s="13" t="str">
        <f>IF(ISNUMBER(N25), Table1[[#This Row],[Date Closed]]-Table1[[#This Row],[Date Logged]], "OPEN")</f>
        <v>OPEN</v>
      </c>
    </row>
    <row r="26" spans="10:15" x14ac:dyDescent="0.25">
      <c r="J26" s="12" t="str">
        <f>IF(ISNUMBER(B26),Table1[[#This Row],[Date Logged]]+7,"")</f>
        <v/>
      </c>
      <c r="L26" s="13" t="str">
        <f>IF(ISNUMBER(K26), Table1[[#This Row],[Part 1 Completion Date]]-Table1[[#This Row],[Date Logged]], "OPEN")</f>
        <v>OPEN</v>
      </c>
      <c r="M26" s="8"/>
      <c r="O26" s="13" t="str">
        <f>IF(ISNUMBER(N26), Table1[[#This Row],[Date Closed]]-Table1[[#This Row],[Date Logged]], "OPEN")</f>
        <v>OPEN</v>
      </c>
    </row>
    <row r="27" spans="10:15" x14ac:dyDescent="0.25">
      <c r="J27" s="12" t="str">
        <f>IF(ISNUMBER(B27),Table1[[#This Row],[Date Logged]]+7,"")</f>
        <v/>
      </c>
      <c r="L27" s="13" t="str">
        <f>IF(ISNUMBER(K27), Table1[[#This Row],[Part 1 Completion Date]]-Table1[[#This Row],[Date Logged]], "OPEN")</f>
        <v>OPEN</v>
      </c>
      <c r="M27" s="8"/>
      <c r="O27" s="13" t="str">
        <f>IF(ISNUMBER(N27), Table1[[#This Row],[Date Closed]]-Table1[[#This Row],[Date Logged]], "OPEN")</f>
        <v>OPEN</v>
      </c>
    </row>
    <row r="28" spans="10:15" x14ac:dyDescent="0.25">
      <c r="J28" s="12" t="str">
        <f>IF(ISNUMBER(B28),Table1[[#This Row],[Date Logged]]+7,"")</f>
        <v/>
      </c>
      <c r="L28" s="13" t="str">
        <f>IF(ISNUMBER(K28), Table1[[#This Row],[Part 1 Completion Date]]-Table1[[#This Row],[Date Logged]], "OPEN")</f>
        <v>OPEN</v>
      </c>
      <c r="M28" s="8"/>
      <c r="O28" s="13" t="str">
        <f>IF(ISNUMBER(N28), Table1[[#This Row],[Date Closed]]-Table1[[#This Row],[Date Logged]], "OPEN")</f>
        <v>OPEN</v>
      </c>
    </row>
    <row r="29" spans="10:15" x14ac:dyDescent="0.25">
      <c r="J29" s="12" t="str">
        <f>IF(ISNUMBER(B29),Table1[[#This Row],[Date Logged]]+7,"")</f>
        <v/>
      </c>
      <c r="L29" s="13" t="str">
        <f>IF(ISNUMBER(K29), Table1[[#This Row],[Part 1 Completion Date]]-Table1[[#This Row],[Date Logged]], "OPEN")</f>
        <v>OPEN</v>
      </c>
      <c r="M29" s="8"/>
      <c r="O29" s="13" t="str">
        <f>IF(ISNUMBER(N29), Table1[[#This Row],[Date Closed]]-Table1[[#This Row],[Date Logged]], "OPEN")</f>
        <v>OPEN</v>
      </c>
    </row>
    <row r="30" spans="10:15" x14ac:dyDescent="0.25">
      <c r="J30" s="12" t="str">
        <f>IF(ISNUMBER(B30),Table1[[#This Row],[Date Logged]]+7,"")</f>
        <v/>
      </c>
      <c r="L30" s="13" t="str">
        <f>IF(ISNUMBER(K30), Table1[[#This Row],[Part 1 Completion Date]]-Table1[[#This Row],[Date Logged]], "OPEN")</f>
        <v>OPEN</v>
      </c>
      <c r="M30" s="8"/>
      <c r="O30" s="13" t="str">
        <f>IF(ISNUMBER(N30), Table1[[#This Row],[Date Closed]]-Table1[[#This Row],[Date Logged]], "OPEN")</f>
        <v>OPEN</v>
      </c>
    </row>
    <row r="31" spans="10:15" x14ac:dyDescent="0.25">
      <c r="J31" s="12" t="str">
        <f>IF(ISNUMBER(B31),Table1[[#This Row],[Date Logged]]+7,"")</f>
        <v/>
      </c>
      <c r="L31" s="13" t="str">
        <f>IF(ISNUMBER(K31), Table1[[#This Row],[Part 1 Completion Date]]-Table1[[#This Row],[Date Logged]], "OPEN")</f>
        <v>OPEN</v>
      </c>
      <c r="M31" s="8"/>
      <c r="O31" s="13" t="str">
        <f>IF(ISNUMBER(N31), Table1[[#This Row],[Date Closed]]-Table1[[#This Row],[Date Logged]], "OPEN")</f>
        <v>OPEN</v>
      </c>
    </row>
    <row r="32" spans="10:15" x14ac:dyDescent="0.25">
      <c r="J32" s="12" t="str">
        <f>IF(ISNUMBER(B32),Table1[[#This Row],[Date Logged]]+7,"")</f>
        <v/>
      </c>
      <c r="L32" s="13" t="str">
        <f>IF(ISNUMBER(K32), Table1[[#This Row],[Part 1 Completion Date]]-Table1[[#This Row],[Date Logged]], "OPEN")</f>
        <v>OPEN</v>
      </c>
      <c r="M32" s="8"/>
      <c r="O32" s="13" t="str">
        <f>IF(ISNUMBER(N32), Table1[[#This Row],[Date Closed]]-Table1[[#This Row],[Date Logged]], "OPEN")</f>
        <v>OPEN</v>
      </c>
    </row>
    <row r="33" spans="1:15" x14ac:dyDescent="0.25">
      <c r="J33" s="12" t="str">
        <f>IF(ISNUMBER(B33),Table1[[#This Row],[Date Logged]]+7,"")</f>
        <v/>
      </c>
      <c r="L33" s="13" t="str">
        <f>IF(ISNUMBER(K33), Table1[[#This Row],[Part 1 Completion Date]]-Table1[[#This Row],[Date Logged]], "OPEN")</f>
        <v>OPEN</v>
      </c>
      <c r="M33" s="8"/>
      <c r="O33" s="13" t="str">
        <f>IF(ISNUMBER(N33), Table1[[#This Row],[Date Closed]]-Table1[[#This Row],[Date Logged]], "OPEN")</f>
        <v>OPEN</v>
      </c>
    </row>
    <row r="34" spans="1:15" x14ac:dyDescent="0.25">
      <c r="J34" s="12" t="str">
        <f>IF(ISNUMBER(B34),Table1[[#This Row],[Date Logged]]+7,"")</f>
        <v/>
      </c>
      <c r="L34" s="13" t="str">
        <f>IF(ISNUMBER(K34), Table1[[#This Row],[Part 1 Completion Date]]-Table1[[#This Row],[Date Logged]], "OPEN")</f>
        <v>OPEN</v>
      </c>
      <c r="M34" s="8"/>
      <c r="O34" s="13" t="str">
        <f>IF(ISNUMBER(N34), Table1[[#This Row],[Date Closed]]-Table1[[#This Row],[Date Logged]], "OPEN")</f>
        <v>OPEN</v>
      </c>
    </row>
    <row r="35" spans="1:15" x14ac:dyDescent="0.25">
      <c r="J35" s="12" t="str">
        <f>IF(ISNUMBER(B35),Table1[[#This Row],[Date Logged]]+7,"")</f>
        <v/>
      </c>
      <c r="L35" s="13" t="str">
        <f>IF(ISNUMBER(K35), Table1[[#This Row],[Part 1 Completion Date]]-Table1[[#This Row],[Date Logged]], "OPEN")</f>
        <v>OPEN</v>
      </c>
      <c r="M35" s="8"/>
      <c r="O35" s="13" t="str">
        <f>IF(ISNUMBER(N35), Table1[[#This Row],[Date Closed]]-Table1[[#This Row],[Date Logged]], "OPEN")</f>
        <v>OPEN</v>
      </c>
    </row>
    <row r="36" spans="1:15" x14ac:dyDescent="0.25">
      <c r="J36" s="12" t="str">
        <f>IF(ISNUMBER(B36),Table1[[#This Row],[Date Logged]]+7,"")</f>
        <v/>
      </c>
      <c r="L36" s="13" t="str">
        <f>IF(ISNUMBER(K36), Table1[[#This Row],[Part 1 Completion Date]]-Table1[[#This Row],[Date Logged]], "OPEN")</f>
        <v>OPEN</v>
      </c>
      <c r="M36" s="8"/>
      <c r="O36" s="13" t="str">
        <f>IF(ISNUMBER(N36), Table1[[#This Row],[Date Closed]]-Table1[[#This Row],[Date Logged]], "OPEN")</f>
        <v>OPEN</v>
      </c>
    </row>
    <row r="37" spans="1:15" x14ac:dyDescent="0.25">
      <c r="J37" s="12" t="str">
        <f>IF(ISNUMBER(B37),Table1[[#This Row],[Date Logged]]+7,"")</f>
        <v/>
      </c>
      <c r="L37" s="13" t="str">
        <f>IF(ISNUMBER(K37), Table1[[#This Row],[Part 1 Completion Date]]-Table1[[#This Row],[Date Logged]], "OPEN")</f>
        <v>OPEN</v>
      </c>
      <c r="M37" s="8"/>
      <c r="O37" s="13" t="str">
        <f>IF(ISNUMBER(N37), Table1[[#This Row],[Date Closed]]-Table1[[#This Row],[Date Logged]], "OPEN")</f>
        <v>OPEN</v>
      </c>
    </row>
    <row r="38" spans="1:15" x14ac:dyDescent="0.25">
      <c r="J38" s="12" t="str">
        <f>IF(ISNUMBER(B38),Table1[[#This Row],[Date Logged]]+7,"")</f>
        <v/>
      </c>
      <c r="L38" s="13" t="str">
        <f>IF(ISNUMBER(K38), Table1[[#This Row],[Part 1 Completion Date]]-Table1[[#This Row],[Date Logged]], "OPEN")</f>
        <v>OPEN</v>
      </c>
      <c r="M38" s="8"/>
      <c r="O38" s="13" t="str">
        <f>IF(ISNUMBER(N38), Table1[[#This Row],[Date Closed]]-Table1[[#This Row],[Date Logged]], "OPEN")</f>
        <v>OPEN</v>
      </c>
    </row>
    <row r="39" spans="1:15" x14ac:dyDescent="0.25">
      <c r="A39" s="9"/>
      <c r="J39" s="12" t="str">
        <f>IF(ISNUMBER(B39),Table1[[#This Row],[Date Logged]]+7,"")</f>
        <v/>
      </c>
      <c r="L39" s="13" t="str">
        <f>IF(ISNUMBER(K39), Table1[[#This Row],[Part 1 Completion Date]]-Table1[[#This Row],[Date Logged]], "OPEN")</f>
        <v>OPEN</v>
      </c>
      <c r="M39" s="8"/>
      <c r="O39" s="13" t="str">
        <f>IF(ISNUMBER(N39), Table1[[#This Row],[Date Closed]]-Table1[[#This Row],[Date Logged]], "OPEN")</f>
        <v>OPEN</v>
      </c>
    </row>
    <row r="40" spans="1:15" x14ac:dyDescent="0.25">
      <c r="A40" s="9"/>
      <c r="J40" s="12" t="str">
        <f>IF(ISNUMBER(B40),Table1[[#This Row],[Date Logged]]+7,"")</f>
        <v/>
      </c>
      <c r="L40" s="13" t="str">
        <f>IF(ISNUMBER(K40), Table1[[#This Row],[Part 1 Completion Date]]-Table1[[#This Row],[Date Logged]], "OPEN")</f>
        <v>OPEN</v>
      </c>
      <c r="M40" s="8"/>
      <c r="O40" s="13" t="str">
        <f>IF(ISNUMBER(N40), Table1[[#This Row],[Date Closed]]-Table1[[#This Row],[Date Logged]], "OPEN")</f>
        <v>OPEN</v>
      </c>
    </row>
    <row r="41" spans="1:15" x14ac:dyDescent="0.25">
      <c r="A41" s="9"/>
      <c r="J41" s="12" t="str">
        <f>IF(ISNUMBER(B41),Table1[[#This Row],[Date Logged]]+7,"")</f>
        <v/>
      </c>
      <c r="L41" s="13" t="str">
        <f>IF(ISNUMBER(K41), Table1[[#This Row],[Part 1 Completion Date]]-Table1[[#This Row],[Date Logged]], "OPEN")</f>
        <v>OPEN</v>
      </c>
      <c r="M41" s="8"/>
      <c r="O41" s="13" t="str">
        <f>IF(ISNUMBER(N41), Table1[[#This Row],[Date Closed]]-Table1[[#This Row],[Date Logged]], "OPEN")</f>
        <v>OPEN</v>
      </c>
    </row>
    <row r="42" spans="1:15" x14ac:dyDescent="0.25">
      <c r="A42" s="9"/>
      <c r="J42" s="12" t="str">
        <f>IF(ISNUMBER(B42),Table1[[#This Row],[Date Logged]]+7,"")</f>
        <v/>
      </c>
      <c r="L42" s="13" t="str">
        <f>IF(ISNUMBER(K42), Table1[[#This Row],[Part 1 Completion Date]]-Table1[[#This Row],[Date Logged]], "OPEN")</f>
        <v>OPEN</v>
      </c>
      <c r="M42" s="8"/>
      <c r="O42" s="13" t="str">
        <f>IF(ISNUMBER(N42), Table1[[#This Row],[Date Closed]]-Table1[[#This Row],[Date Logged]], "OPEN")</f>
        <v>OPEN</v>
      </c>
    </row>
    <row r="43" spans="1:15" x14ac:dyDescent="0.25">
      <c r="A43" s="9"/>
      <c r="J43" s="12" t="str">
        <f>IF(ISNUMBER(B43),Table1[[#This Row],[Date Logged]]+7,"")</f>
        <v/>
      </c>
      <c r="L43" s="13" t="str">
        <f>IF(ISNUMBER(K43), Table1[[#This Row],[Part 1 Completion Date]]-Table1[[#This Row],[Date Logged]], "OPEN")</f>
        <v>OPEN</v>
      </c>
      <c r="M43" s="8"/>
      <c r="O43" s="13" t="str">
        <f>IF(ISNUMBER(N43), Table1[[#This Row],[Date Closed]]-Table1[[#This Row],[Date Logged]], "OPEN")</f>
        <v>OPEN</v>
      </c>
    </row>
    <row r="44" spans="1:15" x14ac:dyDescent="0.25">
      <c r="J44" s="12" t="str">
        <f>IF(ISNUMBER(B44),Table1[[#This Row],[Date Logged]]+7,"")</f>
        <v/>
      </c>
      <c r="L44" s="13" t="str">
        <f>IF(ISNUMBER(K44), Table1[[#This Row],[Part 1 Completion Date]]-Table1[[#This Row],[Date Logged]], "OPEN")</f>
        <v>OPEN</v>
      </c>
      <c r="M44" s="8"/>
      <c r="O44" s="13" t="str">
        <f>IF(ISNUMBER(N44), Table1[[#This Row],[Date Closed]]-Table1[[#This Row],[Date Logged]], "OPEN")</f>
        <v>OPEN</v>
      </c>
    </row>
    <row r="45" spans="1:15" x14ac:dyDescent="0.25">
      <c r="J45" s="12" t="str">
        <f>IF(ISNUMBER(B45),Table1[[#This Row],[Date Logged]]+7,"")</f>
        <v/>
      </c>
      <c r="L45" s="13" t="str">
        <f>IF(ISNUMBER(K45), Table1[[#This Row],[Part 1 Completion Date]]-Table1[[#This Row],[Date Logged]], "OPEN")</f>
        <v>OPEN</v>
      </c>
      <c r="M45" s="8"/>
      <c r="O45" s="13" t="str">
        <f>IF(ISNUMBER(N45), Table1[[#This Row],[Date Closed]]-Table1[[#This Row],[Date Logged]], "OPEN")</f>
        <v>OPEN</v>
      </c>
    </row>
    <row r="46" spans="1:15" x14ac:dyDescent="0.25">
      <c r="J46" s="12" t="str">
        <f>IF(ISNUMBER(B46),Table1[[#This Row],[Date Logged]]+7,"")</f>
        <v/>
      </c>
      <c r="L46" s="13" t="str">
        <f>IF(ISNUMBER(K46), Table1[[#This Row],[Part 1 Completion Date]]-Table1[[#This Row],[Date Logged]], "OPEN")</f>
        <v>OPEN</v>
      </c>
      <c r="M46" s="8"/>
      <c r="O46" s="13" t="str">
        <f>IF(ISNUMBER(N46), Table1[[#This Row],[Date Closed]]-Table1[[#This Row],[Date Logged]], "OPEN")</f>
        <v>OPEN</v>
      </c>
    </row>
    <row r="47" spans="1:15" x14ac:dyDescent="0.25">
      <c r="J47" s="12" t="str">
        <f>IF(ISNUMBER(B47),Table1[[#This Row],[Date Logged]]+7,"")</f>
        <v/>
      </c>
      <c r="L47" s="13" t="str">
        <f>IF(ISNUMBER(K47), Table1[[#This Row],[Part 1 Completion Date]]-Table1[[#This Row],[Date Logged]], "OPEN")</f>
        <v>OPEN</v>
      </c>
      <c r="M47" s="8"/>
      <c r="O47" s="13" t="str">
        <f>IF(ISNUMBER(N47), Table1[[#This Row],[Date Closed]]-Table1[[#This Row],[Date Logged]], "OPEN")</f>
        <v>OPEN</v>
      </c>
    </row>
    <row r="48" spans="1:15" x14ac:dyDescent="0.25">
      <c r="J48" s="12" t="str">
        <f>IF(ISNUMBER(B48),Table1[[#This Row],[Date Logged]]+7,"")</f>
        <v/>
      </c>
      <c r="L48" s="13" t="str">
        <f>IF(ISNUMBER(K48), Table1[[#This Row],[Part 1 Completion Date]]-Table1[[#This Row],[Date Logged]], "OPEN")</f>
        <v>OPEN</v>
      </c>
      <c r="M48" s="8"/>
      <c r="O48" s="13" t="str">
        <f>IF(ISNUMBER(N48), Table1[[#This Row],[Date Closed]]-Table1[[#This Row],[Date Logged]], "OPEN")</f>
        <v>OPEN</v>
      </c>
    </row>
    <row r="49" spans="10:15" x14ac:dyDescent="0.25">
      <c r="J49" s="12" t="str">
        <f>IF(ISNUMBER(B49),Table1[[#This Row],[Date Logged]]+7,"")</f>
        <v/>
      </c>
      <c r="L49" s="13" t="str">
        <f>IF(ISNUMBER(K49), Table1[[#This Row],[Part 1 Completion Date]]-Table1[[#This Row],[Date Logged]], "OPEN")</f>
        <v>OPEN</v>
      </c>
      <c r="M49" s="8"/>
      <c r="O49" s="13" t="str">
        <f>IF(ISNUMBER(N49), Table1[[#This Row],[Date Closed]]-Table1[[#This Row],[Date Logged]], "OPEN")</f>
        <v>OPEN</v>
      </c>
    </row>
    <row r="50" spans="10:15" x14ac:dyDescent="0.25">
      <c r="J50" s="12" t="str">
        <f>IF(ISNUMBER(B50),Table1[[#This Row],[Date Logged]]+7,"")</f>
        <v/>
      </c>
      <c r="L50" s="13" t="str">
        <f>IF(ISNUMBER(K50), Table1[[#This Row],[Part 1 Completion Date]]-Table1[[#This Row],[Date Logged]], "OPEN")</f>
        <v>OPEN</v>
      </c>
      <c r="M50" s="8"/>
      <c r="O50" s="13" t="str">
        <f>IF(ISNUMBER(N50), Table1[[#This Row],[Date Closed]]-Table1[[#This Row],[Date Logged]], "OPEN")</f>
        <v>OPEN</v>
      </c>
    </row>
    <row r="51" spans="10:15" x14ac:dyDescent="0.25">
      <c r="J51" s="12" t="str">
        <f>IF(ISNUMBER(B51),Table1[[#This Row],[Date Logged]]+7,"")</f>
        <v/>
      </c>
      <c r="L51" s="13" t="str">
        <f>IF(ISNUMBER(K51), Table1[[#This Row],[Part 1 Completion Date]]-Table1[[#This Row],[Date Logged]], "OPEN")</f>
        <v>OPEN</v>
      </c>
      <c r="M51" s="8"/>
      <c r="O51" s="13" t="str">
        <f>IF(ISNUMBER(N51), Table1[[#This Row],[Date Closed]]-Table1[[#This Row],[Date Logged]], "OPEN")</f>
        <v>OPEN</v>
      </c>
    </row>
    <row r="52" spans="10:15" x14ac:dyDescent="0.25">
      <c r="J52" s="12" t="str">
        <f>IF(ISNUMBER(B52),Table1[[#This Row],[Date Logged]]+7,"")</f>
        <v/>
      </c>
      <c r="L52" s="13" t="str">
        <f>IF(ISNUMBER(K52), Table1[[#This Row],[Part 1 Completion Date]]-Table1[[#This Row],[Date Logged]], "OPEN")</f>
        <v>OPEN</v>
      </c>
      <c r="M52" s="8"/>
      <c r="O52" s="13" t="str">
        <f>IF(ISNUMBER(N52), Table1[[#This Row],[Date Closed]]-Table1[[#This Row],[Date Logged]], "OPEN")</f>
        <v>OPEN</v>
      </c>
    </row>
    <row r="53" spans="10:15" x14ac:dyDescent="0.25">
      <c r="J53" s="12" t="str">
        <f>IF(ISNUMBER(B53),Table1[[#This Row],[Date Logged]]+7,"")</f>
        <v/>
      </c>
      <c r="L53" s="13" t="str">
        <f>IF(ISNUMBER(K53), Table1[[#This Row],[Part 1 Completion Date]]-Table1[[#This Row],[Date Logged]], "OPEN")</f>
        <v>OPEN</v>
      </c>
      <c r="M53" s="8"/>
      <c r="O53" s="13" t="str">
        <f>IF(ISNUMBER(N53), Table1[[#This Row],[Date Closed]]-Table1[[#This Row],[Date Logged]], "OPEN")</f>
        <v>OPEN</v>
      </c>
    </row>
    <row r="54" spans="10:15" x14ac:dyDescent="0.25">
      <c r="J54" s="12" t="str">
        <f>IF(ISNUMBER(B54),Table1[[#This Row],[Date Logged]]+7,"")</f>
        <v/>
      </c>
      <c r="L54" s="13" t="str">
        <f>IF(ISNUMBER(K54), Table1[[#This Row],[Part 1 Completion Date]]-Table1[[#This Row],[Date Logged]], "OPEN")</f>
        <v>OPEN</v>
      </c>
      <c r="M54" s="8"/>
      <c r="O54" s="13" t="str">
        <f>IF(ISNUMBER(N54), Table1[[#This Row],[Date Closed]]-Table1[[#This Row],[Date Logged]], "OPEN")</f>
        <v>OPEN</v>
      </c>
    </row>
    <row r="55" spans="10:15" x14ac:dyDescent="0.25">
      <c r="J55" s="12" t="str">
        <f>IF(ISNUMBER(B55),Table1[[#This Row],[Date Logged]]+7,"")</f>
        <v/>
      </c>
      <c r="L55" s="13" t="str">
        <f>IF(ISNUMBER(K55), Table1[[#This Row],[Part 1 Completion Date]]-Table1[[#This Row],[Date Logged]], "OPEN")</f>
        <v>OPEN</v>
      </c>
      <c r="M55" s="8"/>
      <c r="O55" s="13" t="str">
        <f>IF(ISNUMBER(N55), Table1[[#This Row],[Date Closed]]-Table1[[#This Row],[Date Logged]], "OPEN")</f>
        <v>OPEN</v>
      </c>
    </row>
    <row r="56" spans="10:15" x14ac:dyDescent="0.25">
      <c r="J56" s="12" t="str">
        <f>IF(ISNUMBER(B56),Table1[[#This Row],[Date Logged]]+7,"")</f>
        <v/>
      </c>
      <c r="L56" s="13" t="str">
        <f>IF(ISNUMBER(K56), Table1[[#This Row],[Part 1 Completion Date]]-Table1[[#This Row],[Date Logged]], "OPEN")</f>
        <v>OPEN</v>
      </c>
      <c r="M56" s="8"/>
      <c r="O56" s="13" t="str">
        <f>IF(ISNUMBER(N56), Table1[[#This Row],[Date Closed]]-Table1[[#This Row],[Date Logged]], "OPEN")</f>
        <v>OPEN</v>
      </c>
    </row>
    <row r="57" spans="10:15" x14ac:dyDescent="0.25">
      <c r="J57" s="12" t="str">
        <f>IF(ISNUMBER(B57),Table1[[#This Row],[Date Logged]]+7,"")</f>
        <v/>
      </c>
      <c r="L57" s="13" t="str">
        <f>IF(ISNUMBER(K57), Table1[[#This Row],[Part 1 Completion Date]]-Table1[[#This Row],[Date Logged]], "OPEN")</f>
        <v>OPEN</v>
      </c>
      <c r="M57" s="8"/>
      <c r="O57" s="13" t="str">
        <f>IF(ISNUMBER(N57), Table1[[#This Row],[Date Closed]]-Table1[[#This Row],[Date Logged]], "OPEN")</f>
        <v>OPEN</v>
      </c>
    </row>
    <row r="58" spans="10:15" x14ac:dyDescent="0.25">
      <c r="J58" s="12" t="str">
        <f>IF(ISNUMBER(B58),Table1[[#This Row],[Date Logged]]+7,"")</f>
        <v/>
      </c>
      <c r="L58" s="13" t="str">
        <f>IF(ISNUMBER(K58), Table1[[#This Row],[Part 1 Completion Date]]-Table1[[#This Row],[Date Logged]], "OPEN")</f>
        <v>OPEN</v>
      </c>
      <c r="M58" s="8"/>
      <c r="O58" s="13" t="str">
        <f>IF(ISNUMBER(N58), Table1[[#This Row],[Date Closed]]-Table1[[#This Row],[Date Logged]], "OPEN")</f>
        <v>OPEN</v>
      </c>
    </row>
    <row r="59" spans="10:15" x14ac:dyDescent="0.25">
      <c r="J59" s="12" t="str">
        <f>IF(ISNUMBER(B59),Table1[[#This Row],[Date Logged]]+7,"")</f>
        <v/>
      </c>
      <c r="L59" s="13" t="str">
        <f>IF(ISNUMBER(K59), Table1[[#This Row],[Part 1 Completion Date]]-Table1[[#This Row],[Date Logged]], "OPEN")</f>
        <v>OPEN</v>
      </c>
      <c r="M59" s="8"/>
      <c r="O59" s="13" t="str">
        <f>IF(ISNUMBER(N59), Table1[[#This Row],[Date Closed]]-Table1[[#This Row],[Date Logged]], "OPEN")</f>
        <v>OPEN</v>
      </c>
    </row>
    <row r="60" spans="10:15" x14ac:dyDescent="0.25">
      <c r="J60" s="12" t="str">
        <f>IF(ISNUMBER(B60),Table1[[#This Row],[Date Logged]]+7,"")</f>
        <v/>
      </c>
      <c r="L60" s="13" t="str">
        <f>IF(ISNUMBER(K60), Table1[[#This Row],[Part 1 Completion Date]]-Table1[[#This Row],[Date Logged]], "OPEN")</f>
        <v>OPEN</v>
      </c>
      <c r="M60" s="8"/>
      <c r="O60" s="13" t="str">
        <f>IF(ISNUMBER(N60), Table1[[#This Row],[Date Closed]]-Table1[[#This Row],[Date Logged]], "OPEN")</f>
        <v>OPEN</v>
      </c>
    </row>
    <row r="61" spans="10:15" x14ac:dyDescent="0.25">
      <c r="J61" s="12" t="str">
        <f>IF(ISNUMBER(B61),Table1[[#This Row],[Date Logged]]+7,"")</f>
        <v/>
      </c>
      <c r="L61" s="13" t="str">
        <f>IF(ISNUMBER(K61), Table1[[#This Row],[Part 1 Completion Date]]-Table1[[#This Row],[Date Logged]], "OPEN")</f>
        <v>OPEN</v>
      </c>
      <c r="M61" s="8"/>
      <c r="O61" s="13" t="str">
        <f>IF(ISNUMBER(N61), Table1[[#This Row],[Date Closed]]-Table1[[#This Row],[Date Logged]], "OPEN")</f>
        <v>OPEN</v>
      </c>
    </row>
    <row r="62" spans="10:15" x14ac:dyDescent="0.25">
      <c r="J62" s="12" t="str">
        <f>IF(ISNUMBER(B62),Table1[[#This Row],[Date Logged]]+7,"")</f>
        <v/>
      </c>
      <c r="L62" s="13" t="str">
        <f>IF(ISNUMBER(K62), Table1[[#This Row],[Part 1 Completion Date]]-Table1[[#This Row],[Date Logged]], "OPEN")</f>
        <v>OPEN</v>
      </c>
      <c r="M62" s="8"/>
      <c r="O62" s="13" t="str">
        <f>IF(ISNUMBER(N62), Table1[[#This Row],[Date Closed]]-Table1[[#This Row],[Date Logged]], "OPEN")</f>
        <v>OPEN</v>
      </c>
    </row>
    <row r="63" spans="10:15" x14ac:dyDescent="0.25">
      <c r="J63" s="12" t="str">
        <f>IF(ISNUMBER(B63),Table1[[#This Row],[Date Logged]]+7,"")</f>
        <v/>
      </c>
      <c r="L63" s="13" t="str">
        <f>IF(ISNUMBER(K63), Table1[[#This Row],[Part 1 Completion Date]]-Table1[[#This Row],[Date Logged]], "OPEN")</f>
        <v>OPEN</v>
      </c>
      <c r="M63" s="8"/>
      <c r="O63" s="13" t="str">
        <f>IF(ISNUMBER(N63), Table1[[#This Row],[Date Closed]]-Table1[[#This Row],[Date Logged]], "OPEN")</f>
        <v>OPEN</v>
      </c>
    </row>
    <row r="64" spans="10:15" x14ac:dyDescent="0.25">
      <c r="J64" s="12" t="str">
        <f>IF(ISNUMBER(B64),Table1[[#This Row],[Date Logged]]+7,"")</f>
        <v/>
      </c>
      <c r="L64" s="13" t="str">
        <f>IF(ISNUMBER(K64), Table1[[#This Row],[Part 1 Completion Date]]-Table1[[#This Row],[Date Logged]], "OPEN")</f>
        <v>OPEN</v>
      </c>
      <c r="M64" s="8"/>
      <c r="O64" s="13" t="str">
        <f>IF(ISNUMBER(N64), Table1[[#This Row],[Date Closed]]-Table1[[#This Row],[Date Logged]], "OPEN")</f>
        <v>OPEN</v>
      </c>
    </row>
    <row r="65" spans="10:15" x14ac:dyDescent="0.25">
      <c r="J65" s="12" t="str">
        <f>IF(ISNUMBER(B65),Table1[[#This Row],[Date Logged]]+7,"")</f>
        <v/>
      </c>
      <c r="L65" s="13" t="str">
        <f>IF(ISNUMBER(K65), Table1[[#This Row],[Part 1 Completion Date]]-Table1[[#This Row],[Date Logged]], "OPEN")</f>
        <v>OPEN</v>
      </c>
      <c r="M65" s="8"/>
      <c r="O65" s="13" t="str">
        <f>IF(ISNUMBER(N65), Table1[[#This Row],[Date Closed]]-Table1[[#This Row],[Date Logged]], "OPEN")</f>
        <v>OPEN</v>
      </c>
    </row>
    <row r="66" spans="10:15" x14ac:dyDescent="0.25">
      <c r="J66" s="12" t="str">
        <f>IF(ISNUMBER(B66),Table1[[#This Row],[Date Logged]]+7,"")</f>
        <v/>
      </c>
      <c r="L66" s="13" t="str">
        <f>IF(ISNUMBER(K66), Table1[[#This Row],[Part 1 Completion Date]]-Table1[[#This Row],[Date Logged]], "OPEN")</f>
        <v>OPEN</v>
      </c>
      <c r="M66" s="8"/>
      <c r="O66" s="13" t="str">
        <f>IF(ISNUMBER(N66), Table1[[#This Row],[Date Closed]]-Table1[[#This Row],[Date Logged]], "OPEN")</f>
        <v>OPEN</v>
      </c>
    </row>
    <row r="67" spans="10:15" x14ac:dyDescent="0.25">
      <c r="J67" s="12" t="str">
        <f>IF(ISNUMBER(B67),Table1[[#This Row],[Date Logged]]+7,"")</f>
        <v/>
      </c>
      <c r="L67" s="13" t="str">
        <f>IF(ISNUMBER(K67), Table1[[#This Row],[Part 1 Completion Date]]-Table1[[#This Row],[Date Logged]], "OPEN")</f>
        <v>OPEN</v>
      </c>
      <c r="M67" s="8"/>
      <c r="O67" s="13" t="str">
        <f>IF(ISNUMBER(N67), Table1[[#This Row],[Date Closed]]-Table1[[#This Row],[Date Logged]], "OPEN")</f>
        <v>OPEN</v>
      </c>
    </row>
    <row r="68" spans="10:15" x14ac:dyDescent="0.25">
      <c r="J68" s="12" t="str">
        <f>IF(ISNUMBER(B68),Table1[[#This Row],[Date Logged]]+7,"")</f>
        <v/>
      </c>
      <c r="L68" s="13" t="str">
        <f>IF(ISNUMBER(K68), Table1[[#This Row],[Part 1 Completion Date]]-Table1[[#This Row],[Date Logged]], "OPEN")</f>
        <v>OPEN</v>
      </c>
      <c r="M68" s="8"/>
      <c r="O68" s="13" t="str">
        <f>IF(ISNUMBER(N68), Table1[[#This Row],[Date Closed]]-Table1[[#This Row],[Date Logged]], "OPEN")</f>
        <v>OPEN</v>
      </c>
    </row>
    <row r="69" spans="10:15" x14ac:dyDescent="0.25">
      <c r="J69" s="12" t="str">
        <f>IF(ISNUMBER(B69),Table1[[#This Row],[Date Logged]]+7,"")</f>
        <v/>
      </c>
      <c r="L69" s="13" t="str">
        <f>IF(ISNUMBER(K69), Table1[[#This Row],[Part 1 Completion Date]]-Table1[[#This Row],[Date Logged]], "OPEN")</f>
        <v>OPEN</v>
      </c>
      <c r="M69" s="8"/>
      <c r="O69" s="13" t="str">
        <f>IF(ISNUMBER(N69), Table1[[#This Row],[Date Closed]]-Table1[[#This Row],[Date Logged]], "OPEN")</f>
        <v>OPEN</v>
      </c>
    </row>
    <row r="70" spans="10:15" x14ac:dyDescent="0.25">
      <c r="J70" s="12" t="str">
        <f>IF(ISNUMBER(B70),Table1[[#This Row],[Date Logged]]+7,"")</f>
        <v/>
      </c>
      <c r="L70" s="13" t="str">
        <f>IF(ISNUMBER(K70), Table1[[#This Row],[Part 1 Completion Date]]-Table1[[#This Row],[Date Logged]], "OPEN")</f>
        <v>OPEN</v>
      </c>
      <c r="M70" s="8"/>
      <c r="O70" s="13" t="str">
        <f>IF(ISNUMBER(N70), Table1[[#This Row],[Date Closed]]-Table1[[#This Row],[Date Logged]], "OPEN")</f>
        <v>OPEN</v>
      </c>
    </row>
    <row r="71" spans="10:15" x14ac:dyDescent="0.25">
      <c r="J71" s="12" t="str">
        <f>IF(ISNUMBER(B71),Table1[[#This Row],[Date Logged]]+7,"")</f>
        <v/>
      </c>
      <c r="L71" s="13" t="str">
        <f>IF(ISNUMBER(K71), Table1[[#This Row],[Part 1 Completion Date]]-Table1[[#This Row],[Date Logged]], "OPEN")</f>
        <v>OPEN</v>
      </c>
      <c r="M71" s="8"/>
      <c r="O71" s="13" t="str">
        <f>IF(ISNUMBER(N71), Table1[[#This Row],[Date Closed]]-Table1[[#This Row],[Date Logged]], "OPEN")</f>
        <v>OPEN</v>
      </c>
    </row>
    <row r="72" spans="10:15" x14ac:dyDescent="0.25">
      <c r="J72" s="12" t="str">
        <f>IF(ISNUMBER(B72),Table1[[#This Row],[Date Logged]]+7,"")</f>
        <v/>
      </c>
      <c r="L72" s="13" t="str">
        <f>IF(ISNUMBER(K72), Table1[[#This Row],[Part 1 Completion Date]]-Table1[[#This Row],[Date Logged]], "OPEN")</f>
        <v>OPEN</v>
      </c>
      <c r="M72" s="8"/>
      <c r="O72" s="13" t="str">
        <f>IF(ISNUMBER(N72), Table1[[#This Row],[Date Closed]]-Table1[[#This Row],[Date Logged]], "OPEN")</f>
        <v>OPEN</v>
      </c>
    </row>
    <row r="73" spans="10:15" x14ac:dyDescent="0.25">
      <c r="J73" s="12" t="str">
        <f>IF(ISNUMBER(B73),Table1[[#This Row],[Date Logged]]+7,"")</f>
        <v/>
      </c>
      <c r="L73" s="13" t="str">
        <f>IF(ISNUMBER(K73), Table1[[#This Row],[Part 1 Completion Date]]-Table1[[#This Row],[Date Logged]], "OPEN")</f>
        <v>OPEN</v>
      </c>
      <c r="M73" s="8"/>
      <c r="O73" s="13" t="str">
        <f>IF(ISNUMBER(N73), Table1[[#This Row],[Date Closed]]-Table1[[#This Row],[Date Logged]], "OPEN")</f>
        <v>OPEN</v>
      </c>
    </row>
    <row r="74" spans="10:15" x14ac:dyDescent="0.25">
      <c r="J74" s="12" t="str">
        <f>IF(ISNUMBER(B74),Table1[[#This Row],[Date Logged]]+7,"")</f>
        <v/>
      </c>
      <c r="L74" s="13" t="str">
        <f>IF(ISNUMBER(K74), Table1[[#This Row],[Part 1 Completion Date]]-Table1[[#This Row],[Date Logged]], "OPEN")</f>
        <v>OPEN</v>
      </c>
      <c r="M74" s="8"/>
      <c r="O74" s="13" t="str">
        <f>IF(ISNUMBER(N74), Table1[[#This Row],[Date Closed]]-Table1[[#This Row],[Date Logged]], "OPEN")</f>
        <v>OPEN</v>
      </c>
    </row>
    <row r="75" spans="10:15" x14ac:dyDescent="0.25">
      <c r="J75" s="12" t="str">
        <f>IF(ISNUMBER(B75),Table1[[#This Row],[Date Logged]]+7,"")</f>
        <v/>
      </c>
      <c r="L75" s="13" t="str">
        <f>IF(ISNUMBER(K75), Table1[[#This Row],[Part 1 Completion Date]]-Table1[[#This Row],[Date Logged]], "OPEN")</f>
        <v>OPEN</v>
      </c>
      <c r="M75" s="8"/>
      <c r="O75" s="13" t="str">
        <f>IF(ISNUMBER(N75), Table1[[#This Row],[Date Closed]]-Table1[[#This Row],[Date Logged]], "OPEN")</f>
        <v>OPEN</v>
      </c>
    </row>
    <row r="76" spans="10:15" x14ac:dyDescent="0.25">
      <c r="J76" s="12" t="str">
        <f>IF(ISNUMBER(B76),Table1[[#This Row],[Date Logged]]+7,"")</f>
        <v/>
      </c>
      <c r="L76" s="13" t="str">
        <f>IF(ISNUMBER(K76), Table1[[#This Row],[Part 1 Completion Date]]-Table1[[#This Row],[Date Logged]], "OPEN")</f>
        <v>OPEN</v>
      </c>
      <c r="M76" s="8"/>
      <c r="O76" s="13" t="str">
        <f>IF(ISNUMBER(N76), Table1[[#This Row],[Date Closed]]-Table1[[#This Row],[Date Logged]], "OPEN")</f>
        <v>OPEN</v>
      </c>
    </row>
    <row r="77" spans="10:15" x14ac:dyDescent="0.25">
      <c r="J77" s="12" t="str">
        <f>IF(ISNUMBER(B77),Table1[[#This Row],[Date Logged]]+7,"")</f>
        <v/>
      </c>
      <c r="L77" s="13" t="str">
        <f>IF(ISNUMBER(K77), Table1[[#This Row],[Part 1 Completion Date]]-Table1[[#This Row],[Date Logged]], "OPEN")</f>
        <v>OPEN</v>
      </c>
      <c r="M77" s="8"/>
      <c r="O77" s="13" t="str">
        <f>IF(ISNUMBER(N77), Table1[[#This Row],[Date Closed]]-Table1[[#This Row],[Date Logged]], "OPEN")</f>
        <v>OPEN</v>
      </c>
    </row>
    <row r="78" spans="10:15" x14ac:dyDescent="0.25">
      <c r="J78" s="12" t="str">
        <f>IF(ISNUMBER(B78),Table1[[#This Row],[Date Logged]]+7,"")</f>
        <v/>
      </c>
      <c r="L78" s="13" t="str">
        <f>IF(ISNUMBER(K78), Table1[[#This Row],[Part 1 Completion Date]]-Table1[[#This Row],[Date Logged]], "OPEN")</f>
        <v>OPEN</v>
      </c>
      <c r="M78" s="8"/>
      <c r="O78" s="13" t="str">
        <f>IF(ISNUMBER(N78), Table1[[#This Row],[Date Closed]]-Table1[[#This Row],[Date Logged]], "OPEN")</f>
        <v>OPEN</v>
      </c>
    </row>
    <row r="79" spans="10:15" x14ac:dyDescent="0.25">
      <c r="J79" s="12" t="str">
        <f>IF(ISNUMBER(B79),Table1[[#This Row],[Date Logged]]+7,"")</f>
        <v/>
      </c>
      <c r="L79" s="13" t="str">
        <f>IF(ISNUMBER(K79), Table1[[#This Row],[Part 1 Completion Date]]-Table1[[#This Row],[Date Logged]], "OPEN")</f>
        <v>OPEN</v>
      </c>
      <c r="M79" s="8"/>
      <c r="O79" s="13" t="str">
        <f>IF(ISNUMBER(N79), Table1[[#This Row],[Date Closed]]-Table1[[#This Row],[Date Logged]], "OPEN")</f>
        <v>OPEN</v>
      </c>
    </row>
    <row r="80" spans="10:15" x14ac:dyDescent="0.25">
      <c r="J80" s="12" t="str">
        <f>IF(ISNUMBER(B80),Table1[[#This Row],[Date Logged]]+7,"")</f>
        <v/>
      </c>
      <c r="L80" s="13" t="str">
        <f>IF(ISNUMBER(K80), Table1[[#This Row],[Part 1 Completion Date]]-Table1[[#This Row],[Date Logged]], "OPEN")</f>
        <v>OPEN</v>
      </c>
      <c r="M80" s="8"/>
      <c r="O80" s="13" t="str">
        <f>IF(ISNUMBER(N80), Table1[[#This Row],[Date Closed]]-Table1[[#This Row],[Date Logged]], "OPEN")</f>
        <v>OPEN</v>
      </c>
    </row>
    <row r="81" spans="10:15" x14ac:dyDescent="0.25">
      <c r="J81" s="12" t="str">
        <f>IF(ISNUMBER(B81),Table1[[#This Row],[Date Logged]]+7,"")</f>
        <v/>
      </c>
      <c r="L81" s="13" t="str">
        <f>IF(ISNUMBER(K81), Table1[[#This Row],[Part 1 Completion Date]]-Table1[[#This Row],[Date Logged]], "OPEN")</f>
        <v>OPEN</v>
      </c>
      <c r="M81" s="8"/>
      <c r="O81" s="13" t="str">
        <f>IF(ISNUMBER(N81), Table1[[#This Row],[Date Closed]]-Table1[[#This Row],[Date Logged]], "OPEN")</f>
        <v>OPEN</v>
      </c>
    </row>
    <row r="82" spans="10:15" x14ac:dyDescent="0.25">
      <c r="J82" s="12" t="str">
        <f>IF(ISNUMBER(B82),Table1[[#This Row],[Date Logged]]+7,"")</f>
        <v/>
      </c>
      <c r="L82" s="13" t="str">
        <f>IF(ISNUMBER(K82), Table1[[#This Row],[Part 1 Completion Date]]-Table1[[#This Row],[Date Logged]], "OPEN")</f>
        <v>OPEN</v>
      </c>
      <c r="M82" s="8"/>
      <c r="O82" s="13" t="str">
        <f>IF(ISNUMBER(N82), Table1[[#This Row],[Date Closed]]-Table1[[#This Row],[Date Logged]], "OPEN")</f>
        <v>OPEN</v>
      </c>
    </row>
    <row r="83" spans="10:15" x14ac:dyDescent="0.25">
      <c r="J83" s="12" t="str">
        <f>IF(ISNUMBER(B83),Table1[[#This Row],[Date Logged]]+7,"")</f>
        <v/>
      </c>
      <c r="L83" s="13" t="str">
        <f>IF(ISNUMBER(K83), Table1[[#This Row],[Part 1 Completion Date]]-Table1[[#This Row],[Date Logged]], "OPEN")</f>
        <v>OPEN</v>
      </c>
      <c r="M83" s="8"/>
      <c r="O83" s="13" t="str">
        <f>IF(ISNUMBER(N83), Table1[[#This Row],[Date Closed]]-Table1[[#This Row],[Date Logged]], "OPEN")</f>
        <v>OPEN</v>
      </c>
    </row>
    <row r="84" spans="10:15" x14ac:dyDescent="0.25">
      <c r="J84" s="12" t="str">
        <f>IF(ISNUMBER(B84),Table1[[#This Row],[Date Logged]]+7,"")</f>
        <v/>
      </c>
      <c r="L84" s="13" t="str">
        <f>IF(ISNUMBER(K84), Table1[[#This Row],[Part 1 Completion Date]]-Table1[[#This Row],[Date Logged]], "OPEN")</f>
        <v>OPEN</v>
      </c>
      <c r="M84" s="8"/>
      <c r="O84" s="13" t="str">
        <f>IF(ISNUMBER(N84), Table1[[#This Row],[Date Closed]]-Table1[[#This Row],[Date Logged]], "OPEN")</f>
        <v>OPEN</v>
      </c>
    </row>
    <row r="85" spans="10:15" x14ac:dyDescent="0.25">
      <c r="J85" s="12" t="str">
        <f>IF(ISNUMBER(B85),Table1[[#This Row],[Date Logged]]+7,"")</f>
        <v/>
      </c>
      <c r="L85" s="13" t="str">
        <f>IF(ISNUMBER(K85), Table1[[#This Row],[Part 1 Completion Date]]-Table1[[#This Row],[Date Logged]], "OPEN")</f>
        <v>OPEN</v>
      </c>
      <c r="M85" s="8"/>
      <c r="O85" s="13" t="str">
        <f>IF(ISNUMBER(N85), Table1[[#This Row],[Date Closed]]-Table1[[#This Row],[Date Logged]], "OPEN")</f>
        <v>OPEN</v>
      </c>
    </row>
    <row r="86" spans="10:15" x14ac:dyDescent="0.25">
      <c r="J86" s="12" t="str">
        <f>IF(ISNUMBER(B86),Table1[[#This Row],[Date Logged]]+7,"")</f>
        <v/>
      </c>
      <c r="L86" s="13" t="str">
        <f>IF(ISNUMBER(K86), Table1[[#This Row],[Part 1 Completion Date]]-Table1[[#This Row],[Date Logged]], "OPEN")</f>
        <v>OPEN</v>
      </c>
      <c r="M86" s="8"/>
      <c r="O86" s="13" t="str">
        <f>IF(ISNUMBER(N86), Table1[[#This Row],[Date Closed]]-Table1[[#This Row],[Date Logged]], "OPEN")</f>
        <v>OPEN</v>
      </c>
    </row>
    <row r="87" spans="10:15" x14ac:dyDescent="0.25">
      <c r="J87" s="12" t="str">
        <f>IF(ISNUMBER(B87),Table1[[#This Row],[Date Logged]]+7,"")</f>
        <v/>
      </c>
      <c r="L87" s="13" t="str">
        <f>IF(ISNUMBER(K87), Table1[[#This Row],[Part 1 Completion Date]]-Table1[[#This Row],[Date Logged]], "OPEN")</f>
        <v>OPEN</v>
      </c>
      <c r="M87" s="8"/>
      <c r="O87" s="13" t="str">
        <f>IF(ISNUMBER(N87), Table1[[#This Row],[Date Closed]]-Table1[[#This Row],[Date Logged]], "OPEN")</f>
        <v>OPEN</v>
      </c>
    </row>
    <row r="88" spans="10:15" x14ac:dyDescent="0.25">
      <c r="J88" s="12" t="str">
        <f>IF(ISNUMBER(B88),Table1[[#This Row],[Date Logged]]+7,"")</f>
        <v/>
      </c>
      <c r="L88" s="13" t="str">
        <f>IF(ISNUMBER(K88), Table1[[#This Row],[Part 1 Completion Date]]-Table1[[#This Row],[Date Logged]], "OPEN")</f>
        <v>OPEN</v>
      </c>
      <c r="M88" s="8"/>
      <c r="O88" s="13" t="str">
        <f>IF(ISNUMBER(N88), Table1[[#This Row],[Date Closed]]-Table1[[#This Row],[Date Logged]], "OPEN")</f>
        <v>OPEN</v>
      </c>
    </row>
    <row r="89" spans="10:15" x14ac:dyDescent="0.25">
      <c r="J89" s="12" t="str">
        <f>IF(ISNUMBER(B89),Table1[[#This Row],[Date Logged]]+7,"")</f>
        <v/>
      </c>
      <c r="L89" s="13" t="str">
        <f>IF(ISNUMBER(K89), Table1[[#This Row],[Part 1 Completion Date]]-Table1[[#This Row],[Date Logged]], "OPEN")</f>
        <v>OPEN</v>
      </c>
      <c r="M89" s="8"/>
      <c r="O89" s="13" t="str">
        <f>IF(ISNUMBER(N89), Table1[[#This Row],[Date Closed]]-Table1[[#This Row],[Date Logged]], "OPEN")</f>
        <v>OPEN</v>
      </c>
    </row>
    <row r="90" spans="10:15" x14ac:dyDescent="0.25">
      <c r="J90" s="12" t="str">
        <f>IF(ISNUMBER(B90),Table1[[#This Row],[Date Logged]]+7,"")</f>
        <v/>
      </c>
      <c r="L90" s="13" t="str">
        <f>IF(ISNUMBER(K90), Table1[[#This Row],[Part 1 Completion Date]]-Table1[[#This Row],[Date Logged]], "OPEN")</f>
        <v>OPEN</v>
      </c>
      <c r="M90" s="8"/>
      <c r="O90" s="13" t="str">
        <f>IF(ISNUMBER(N90), Table1[[#This Row],[Date Closed]]-Table1[[#This Row],[Date Logged]], "OPEN")</f>
        <v>OPEN</v>
      </c>
    </row>
    <row r="91" spans="10:15" x14ac:dyDescent="0.25">
      <c r="J91" s="12" t="str">
        <f>IF(ISNUMBER(B91),Table1[[#This Row],[Date Logged]]+7,"")</f>
        <v/>
      </c>
      <c r="L91" s="13" t="str">
        <f>IF(ISNUMBER(K91), Table1[[#This Row],[Part 1 Completion Date]]-Table1[[#This Row],[Date Logged]], "OPEN")</f>
        <v>OPEN</v>
      </c>
      <c r="M91" s="8"/>
      <c r="O91" s="13" t="str">
        <f>IF(ISNUMBER(N91), Table1[[#This Row],[Date Closed]]-Table1[[#This Row],[Date Logged]], "OPEN")</f>
        <v>OPEN</v>
      </c>
    </row>
    <row r="92" spans="10:15" x14ac:dyDescent="0.25">
      <c r="J92" s="12" t="str">
        <f>IF(ISNUMBER(B92),Table1[[#This Row],[Date Logged]]+7,"")</f>
        <v/>
      </c>
      <c r="L92" s="13" t="str">
        <f>IF(ISNUMBER(K92), Table1[[#This Row],[Part 1 Completion Date]]-Table1[[#This Row],[Date Logged]], "OPEN")</f>
        <v>OPEN</v>
      </c>
      <c r="M92" s="8"/>
      <c r="O92" s="13" t="str">
        <f>IF(ISNUMBER(N92), Table1[[#This Row],[Date Closed]]-Table1[[#This Row],[Date Logged]], "OPEN")</f>
        <v>OPEN</v>
      </c>
    </row>
    <row r="93" spans="10:15" x14ac:dyDescent="0.25">
      <c r="J93" s="12" t="str">
        <f>IF(ISNUMBER(B93),Table1[[#This Row],[Date Logged]]+7,"")</f>
        <v/>
      </c>
      <c r="L93" s="13" t="str">
        <f>IF(ISNUMBER(K93), Table1[[#This Row],[Part 1 Completion Date]]-Table1[[#This Row],[Date Logged]], "OPEN")</f>
        <v>OPEN</v>
      </c>
      <c r="M93" s="8"/>
      <c r="O93" s="13" t="str">
        <f>IF(ISNUMBER(N93), Table1[[#This Row],[Date Closed]]-Table1[[#This Row],[Date Logged]], "OPEN")</f>
        <v>OPEN</v>
      </c>
    </row>
    <row r="94" spans="10:15" x14ac:dyDescent="0.25">
      <c r="J94" s="12" t="str">
        <f>IF(ISNUMBER(B94),Table1[[#This Row],[Date Logged]]+7,"")</f>
        <v/>
      </c>
      <c r="L94" s="13" t="str">
        <f>IF(ISNUMBER(K94), Table1[[#This Row],[Part 1 Completion Date]]-Table1[[#This Row],[Date Logged]], "OPEN")</f>
        <v>OPEN</v>
      </c>
      <c r="M94" s="8"/>
      <c r="O94" s="13" t="str">
        <f>IF(ISNUMBER(N94), Table1[[#This Row],[Date Closed]]-Table1[[#This Row],[Date Logged]], "OPEN")</f>
        <v>OPEN</v>
      </c>
    </row>
    <row r="95" spans="10:15" x14ac:dyDescent="0.25">
      <c r="J95" s="12" t="str">
        <f>IF(ISNUMBER(B95),Table1[[#This Row],[Date Logged]]+7,"")</f>
        <v/>
      </c>
      <c r="L95" s="13" t="str">
        <f>IF(ISNUMBER(K95), Table1[[#This Row],[Part 1 Completion Date]]-Table1[[#This Row],[Date Logged]], "OPEN")</f>
        <v>OPEN</v>
      </c>
      <c r="M95" s="8"/>
      <c r="O95" s="13" t="str">
        <f>IF(ISNUMBER(N95), Table1[[#This Row],[Date Closed]]-Table1[[#This Row],[Date Logged]], "OPEN")</f>
        <v>OPEN</v>
      </c>
    </row>
    <row r="96" spans="10:15" x14ac:dyDescent="0.25">
      <c r="J96" s="12" t="str">
        <f>IF(ISNUMBER(B96),Table1[[#This Row],[Date Logged]]+7,"")</f>
        <v/>
      </c>
      <c r="L96" s="13" t="str">
        <f>IF(ISNUMBER(K96), Table1[[#This Row],[Part 1 Completion Date]]-Table1[[#This Row],[Date Logged]], "OPEN")</f>
        <v>OPEN</v>
      </c>
      <c r="M96" s="8"/>
      <c r="O96" s="13" t="str">
        <f>IF(ISNUMBER(N96), Table1[[#This Row],[Date Closed]]-Table1[[#This Row],[Date Logged]], "OPEN")</f>
        <v>OPEN</v>
      </c>
    </row>
    <row r="97" spans="10:15" x14ac:dyDescent="0.25">
      <c r="J97" s="12" t="str">
        <f>IF(ISNUMBER(B97),Table1[[#This Row],[Date Logged]]+7,"")</f>
        <v/>
      </c>
      <c r="L97" s="13" t="str">
        <f>IF(ISNUMBER(K97), Table1[[#This Row],[Part 1 Completion Date]]-Table1[[#This Row],[Date Logged]], "OPEN")</f>
        <v>OPEN</v>
      </c>
      <c r="M97" s="8"/>
      <c r="O97" s="13" t="str">
        <f>IF(ISNUMBER(N97), Table1[[#This Row],[Date Closed]]-Table1[[#This Row],[Date Logged]], "OPEN")</f>
        <v>OPEN</v>
      </c>
    </row>
    <row r="98" spans="10:15" x14ac:dyDescent="0.25">
      <c r="J98" s="12" t="str">
        <f>IF(ISNUMBER(B98),Table1[[#This Row],[Date Logged]]+7,"")</f>
        <v/>
      </c>
      <c r="L98" s="13" t="str">
        <f>IF(ISNUMBER(K98), Table1[[#This Row],[Part 1 Completion Date]]-Table1[[#This Row],[Date Logged]], "OPEN")</f>
        <v>OPEN</v>
      </c>
      <c r="M98" s="8"/>
      <c r="O98" s="13" t="str">
        <f>IF(ISNUMBER(N98), Table1[[#This Row],[Date Closed]]-Table1[[#This Row],[Date Logged]], "OPEN")</f>
        <v>OPEN</v>
      </c>
    </row>
    <row r="99" spans="10:15" x14ac:dyDescent="0.25">
      <c r="J99" s="12" t="str">
        <f>IF(ISNUMBER(B99),Table1[[#This Row],[Date Logged]]+7,"")</f>
        <v/>
      </c>
      <c r="L99" s="13" t="str">
        <f>IF(ISNUMBER(K99), Table1[[#This Row],[Part 1 Completion Date]]-Table1[[#This Row],[Date Logged]], "OPEN")</f>
        <v>OPEN</v>
      </c>
      <c r="M99" s="8"/>
      <c r="O99" s="13" t="str">
        <f>IF(ISNUMBER(N99), Table1[[#This Row],[Date Closed]]-Table1[[#This Row],[Date Logged]], "OPEN")</f>
        <v>OPEN</v>
      </c>
    </row>
    <row r="100" spans="10:15" x14ac:dyDescent="0.25">
      <c r="J100" s="12" t="str">
        <f>IF(ISNUMBER(B100),Table1[[#This Row],[Date Logged]]+7,"")</f>
        <v/>
      </c>
      <c r="L100" s="13" t="str">
        <f>IF(ISNUMBER(K100), Table1[[#This Row],[Part 1 Completion Date]]-Table1[[#This Row],[Date Logged]], "OPEN")</f>
        <v>OPEN</v>
      </c>
      <c r="M100" s="8"/>
      <c r="O100" s="13" t="str">
        <f>IF(ISNUMBER(N100), Table1[[#This Row],[Date Closed]]-Table1[[#This Row],[Date Logged]], "OPEN")</f>
        <v>OPEN</v>
      </c>
    </row>
    <row r="101" spans="10:15" x14ac:dyDescent="0.25">
      <c r="J101" s="12" t="str">
        <f>IF(ISNUMBER(B101),Table1[[#This Row],[Date Logged]]+7,"")</f>
        <v/>
      </c>
      <c r="L101" s="13" t="str">
        <f>IF(ISNUMBER(K101), Table1[[#This Row],[Part 1 Completion Date]]-Table1[[#This Row],[Date Logged]], "OPEN")</f>
        <v>OPEN</v>
      </c>
      <c r="M101" s="8"/>
      <c r="O101" s="13" t="str">
        <f>IF(ISNUMBER(N101), Table1[[#This Row],[Date Closed]]-Table1[[#This Row],[Date Logged]], "OPEN")</f>
        <v>OPEN</v>
      </c>
    </row>
    <row r="102" spans="10:15" x14ac:dyDescent="0.25">
      <c r="J102" s="12" t="str">
        <f>IF(ISNUMBER(B102),Table1[[#This Row],[Date Logged]]+7,"")</f>
        <v/>
      </c>
      <c r="L102" s="13" t="str">
        <f>IF(ISNUMBER(K102), Table1[[#This Row],[Part 1 Completion Date]]-Table1[[#This Row],[Date Logged]], "OPEN")</f>
        <v>OPEN</v>
      </c>
      <c r="M102" s="8"/>
      <c r="O102" s="13" t="str">
        <f>IF(ISNUMBER(N102), Table1[[#This Row],[Date Closed]]-Table1[[#This Row],[Date Logged]], "OPEN")</f>
        <v>OPEN</v>
      </c>
    </row>
    <row r="103" spans="10:15" x14ac:dyDescent="0.25">
      <c r="J103" s="12" t="str">
        <f>IF(ISNUMBER(B103),Table1[[#This Row],[Date Logged]]+7,"")</f>
        <v/>
      </c>
      <c r="L103" s="13" t="str">
        <f>IF(ISNUMBER(K103), Table1[[#This Row],[Part 1 Completion Date]]-Table1[[#This Row],[Date Logged]], "OPEN")</f>
        <v>OPEN</v>
      </c>
      <c r="M103" s="8"/>
      <c r="O103" s="13" t="str">
        <f>IF(ISNUMBER(N103), Table1[[#This Row],[Date Closed]]-Table1[[#This Row],[Date Logged]], "OPEN")</f>
        <v>OPEN</v>
      </c>
    </row>
    <row r="104" spans="10:15" x14ac:dyDescent="0.25">
      <c r="J104" s="12" t="str">
        <f>IF(ISNUMBER(B104),Table1[[#This Row],[Date Logged]]+7,"")</f>
        <v/>
      </c>
      <c r="L104" s="13" t="str">
        <f>IF(ISNUMBER(K104), Table1[[#This Row],[Part 1 Completion Date]]-Table1[[#This Row],[Date Logged]], "OPEN")</f>
        <v>OPEN</v>
      </c>
      <c r="M104" s="8"/>
      <c r="O104" s="13" t="str">
        <f>IF(ISNUMBER(N104), Table1[[#This Row],[Date Closed]]-Table1[[#This Row],[Date Logged]], "OPEN")</f>
        <v>OPEN</v>
      </c>
    </row>
    <row r="105" spans="10:15" x14ac:dyDescent="0.25">
      <c r="J105" s="12" t="str">
        <f>IF(ISNUMBER(B105),Table1[[#This Row],[Date Logged]]+7,"")</f>
        <v/>
      </c>
      <c r="L105" s="13" t="str">
        <f>IF(ISNUMBER(K105), Table1[[#This Row],[Part 1 Completion Date]]-Table1[[#This Row],[Date Logged]], "OPEN")</f>
        <v>OPEN</v>
      </c>
      <c r="M105" s="8"/>
      <c r="O105" s="13" t="str">
        <f>IF(ISNUMBER(N105), Table1[[#This Row],[Date Closed]]-Table1[[#This Row],[Date Logged]], "OPEN")</f>
        <v>OPEN</v>
      </c>
    </row>
    <row r="106" spans="10:15" x14ac:dyDescent="0.25">
      <c r="J106" s="12" t="str">
        <f>IF(ISNUMBER(B106),Table1[[#This Row],[Date Logged]]+7,"")</f>
        <v/>
      </c>
      <c r="L106" s="13" t="str">
        <f>IF(ISNUMBER(K106), Table1[[#This Row],[Part 1 Completion Date]]-Table1[[#This Row],[Date Logged]], "OPEN")</f>
        <v>OPEN</v>
      </c>
      <c r="M106" s="8"/>
      <c r="O106" s="13" t="str">
        <f>IF(ISNUMBER(N106), Table1[[#This Row],[Date Closed]]-Table1[[#This Row],[Date Logged]], "OPEN")</f>
        <v>OPEN</v>
      </c>
    </row>
    <row r="107" spans="10:15" x14ac:dyDescent="0.25">
      <c r="J107" s="12" t="str">
        <f>IF(ISNUMBER(B107),Table1[[#This Row],[Date Logged]]+7,"")</f>
        <v/>
      </c>
      <c r="L107" s="13" t="str">
        <f>IF(ISNUMBER(K107), Table1[[#This Row],[Part 1 Completion Date]]-Table1[[#This Row],[Date Logged]], "OPEN")</f>
        <v>OPEN</v>
      </c>
      <c r="M107" s="8"/>
      <c r="O107" s="13" t="str">
        <f>IF(ISNUMBER(N107), Table1[[#This Row],[Date Closed]]-Table1[[#This Row],[Date Logged]], "OPEN")</f>
        <v>OPEN</v>
      </c>
    </row>
    <row r="108" spans="10:15" x14ac:dyDescent="0.25">
      <c r="J108" s="12" t="str">
        <f>IF(ISNUMBER(B108),Table1[[#This Row],[Date Logged]]+7,"")</f>
        <v/>
      </c>
      <c r="L108" s="13" t="str">
        <f>IF(ISNUMBER(K108), Table1[[#This Row],[Part 1 Completion Date]]-Table1[[#This Row],[Date Logged]], "OPEN")</f>
        <v>OPEN</v>
      </c>
      <c r="M108" s="8"/>
      <c r="O108" s="13" t="str">
        <f>IF(ISNUMBER(N108), Table1[[#This Row],[Date Closed]]-Table1[[#This Row],[Date Logged]], "OPEN")</f>
        <v>OPEN</v>
      </c>
    </row>
    <row r="109" spans="10:15" x14ac:dyDescent="0.25">
      <c r="J109" s="12" t="str">
        <f>IF(ISNUMBER(B109),Table1[[#This Row],[Date Logged]]+7,"")</f>
        <v/>
      </c>
      <c r="L109" s="13" t="str">
        <f>IF(ISNUMBER(K109), Table1[[#This Row],[Part 1 Completion Date]]-Table1[[#This Row],[Date Logged]], "OPEN")</f>
        <v>OPEN</v>
      </c>
      <c r="M109" s="8"/>
      <c r="O109" s="13" t="str">
        <f>IF(ISNUMBER(N109), Table1[[#This Row],[Date Closed]]-Table1[[#This Row],[Date Logged]], "OPEN")</f>
        <v>OPEN</v>
      </c>
    </row>
    <row r="110" spans="10:15" x14ac:dyDescent="0.25">
      <c r="J110" s="12" t="str">
        <f>IF(ISNUMBER(B110),Table1[[#This Row],[Date Logged]]+7,"")</f>
        <v/>
      </c>
      <c r="L110" s="13" t="str">
        <f>IF(ISNUMBER(K110), Table1[[#This Row],[Part 1 Completion Date]]-Table1[[#This Row],[Date Logged]], "OPEN")</f>
        <v>OPEN</v>
      </c>
      <c r="M110" s="8"/>
      <c r="O110" s="13" t="str">
        <f>IF(ISNUMBER(N110), Table1[[#This Row],[Date Closed]]-Table1[[#This Row],[Date Logged]], "OPEN")</f>
        <v>OPEN</v>
      </c>
    </row>
    <row r="111" spans="10:15" x14ac:dyDescent="0.25">
      <c r="J111" s="12" t="str">
        <f>IF(ISNUMBER(B111),Table1[[#This Row],[Date Logged]]+7,"")</f>
        <v/>
      </c>
      <c r="L111" s="13" t="str">
        <f>IF(ISNUMBER(K111), Table1[[#This Row],[Part 1 Completion Date]]-Table1[[#This Row],[Date Logged]], "OPEN")</f>
        <v>OPEN</v>
      </c>
      <c r="M111" s="8"/>
      <c r="O111" s="13" t="str">
        <f>IF(ISNUMBER(N111), Table1[[#This Row],[Date Closed]]-Table1[[#This Row],[Date Logged]], "OPEN")</f>
        <v>OPEN</v>
      </c>
    </row>
    <row r="112" spans="10:15" x14ac:dyDescent="0.25">
      <c r="J112" s="12" t="str">
        <f>IF(ISNUMBER(B112),Table1[[#This Row],[Date Logged]]+7,"")</f>
        <v/>
      </c>
      <c r="L112" s="13" t="str">
        <f>IF(ISNUMBER(K112), Table1[[#This Row],[Part 1 Completion Date]]-Table1[[#This Row],[Date Logged]], "OPEN")</f>
        <v>OPEN</v>
      </c>
      <c r="M112" s="8"/>
      <c r="O112" s="13" t="str">
        <f>IF(ISNUMBER(N112), Table1[[#This Row],[Date Closed]]-Table1[[#This Row],[Date Logged]], "OPEN")</f>
        <v>OPEN</v>
      </c>
    </row>
    <row r="113" spans="10:15" x14ac:dyDescent="0.25">
      <c r="J113" s="12" t="str">
        <f>IF(ISNUMBER(B113),Table1[[#This Row],[Date Logged]]+7,"")</f>
        <v/>
      </c>
      <c r="L113" s="13" t="str">
        <f>IF(ISNUMBER(K113), Table1[[#This Row],[Part 1 Completion Date]]-Table1[[#This Row],[Date Logged]], "OPEN")</f>
        <v>OPEN</v>
      </c>
      <c r="M113" s="8"/>
      <c r="O113" s="13" t="str">
        <f>IF(ISNUMBER(N113), Table1[[#This Row],[Date Closed]]-Table1[[#This Row],[Date Logged]], "OPEN")</f>
        <v>OPEN</v>
      </c>
    </row>
    <row r="114" spans="10:15" x14ac:dyDescent="0.25">
      <c r="J114" s="12" t="str">
        <f>IF(ISNUMBER(B114),Table1[[#This Row],[Date Logged]]+7,"")</f>
        <v/>
      </c>
      <c r="L114" s="13" t="str">
        <f>IF(ISNUMBER(K114), Table1[[#This Row],[Part 1 Completion Date]]-Table1[[#This Row],[Date Logged]], "OPEN")</f>
        <v>OPEN</v>
      </c>
      <c r="M114" s="8"/>
      <c r="O114" s="13" t="str">
        <f>IF(ISNUMBER(N114), Table1[[#This Row],[Date Closed]]-Table1[[#This Row],[Date Logged]], "OPEN")</f>
        <v>OPEN</v>
      </c>
    </row>
    <row r="115" spans="10:15" x14ac:dyDescent="0.25">
      <c r="J115" s="12" t="str">
        <f>IF(ISNUMBER(B115),Table1[[#This Row],[Date Logged]]+7,"")</f>
        <v/>
      </c>
      <c r="L115" s="13" t="str">
        <f>IF(ISNUMBER(K115), Table1[[#This Row],[Part 1 Completion Date]]-Table1[[#This Row],[Date Logged]], "OPEN")</f>
        <v>OPEN</v>
      </c>
      <c r="M115" s="8"/>
      <c r="O115" s="13" t="str">
        <f>IF(ISNUMBER(N115), Table1[[#This Row],[Date Closed]]-Table1[[#This Row],[Date Logged]], "OPEN")</f>
        <v>OPEN</v>
      </c>
    </row>
    <row r="116" spans="10:15" x14ac:dyDescent="0.25">
      <c r="J116" s="12" t="str">
        <f>IF(ISNUMBER(B116),Table1[[#This Row],[Date Logged]]+7,"")</f>
        <v/>
      </c>
      <c r="L116" s="13" t="str">
        <f>IF(ISNUMBER(K116), Table1[[#This Row],[Part 1 Completion Date]]-Table1[[#This Row],[Date Logged]], "OPEN")</f>
        <v>OPEN</v>
      </c>
      <c r="M116" s="8"/>
      <c r="O116" s="13" t="str">
        <f>IF(ISNUMBER(N116), Table1[[#This Row],[Date Closed]]-Table1[[#This Row],[Date Logged]], "OPEN")</f>
        <v>OPEN</v>
      </c>
    </row>
    <row r="117" spans="10:15" x14ac:dyDescent="0.25">
      <c r="J117" s="12" t="str">
        <f>IF(ISNUMBER(B117),Table1[[#This Row],[Date Logged]]+7,"")</f>
        <v/>
      </c>
      <c r="L117" s="13" t="str">
        <f>IF(ISNUMBER(K117), Table1[[#This Row],[Part 1 Completion Date]]-Table1[[#This Row],[Date Logged]], "OPEN")</f>
        <v>OPEN</v>
      </c>
      <c r="M117" s="8"/>
      <c r="O117" s="13" t="str">
        <f>IF(ISNUMBER(N117), Table1[[#This Row],[Date Closed]]-Table1[[#This Row],[Date Logged]], "OPEN")</f>
        <v>OPEN</v>
      </c>
    </row>
    <row r="118" spans="10:15" x14ac:dyDescent="0.25">
      <c r="J118" s="12" t="str">
        <f>IF(ISNUMBER(B118),Table1[[#This Row],[Date Logged]]+7,"")</f>
        <v/>
      </c>
      <c r="L118" s="13" t="str">
        <f>IF(ISNUMBER(K118), Table1[[#This Row],[Part 1 Completion Date]]-Table1[[#This Row],[Date Logged]], "OPEN")</f>
        <v>OPEN</v>
      </c>
      <c r="M118" s="8"/>
      <c r="O118" s="13" t="str">
        <f>IF(ISNUMBER(N118), Table1[[#This Row],[Date Closed]]-Table1[[#This Row],[Date Logged]], "OPEN")</f>
        <v>OPEN</v>
      </c>
    </row>
    <row r="119" spans="10:15" x14ac:dyDescent="0.25">
      <c r="J119" s="12" t="str">
        <f>IF(ISNUMBER(B119),Table1[[#This Row],[Date Logged]]+7,"")</f>
        <v/>
      </c>
      <c r="L119" s="13" t="str">
        <f>IF(ISNUMBER(K119), Table1[[#This Row],[Part 1 Completion Date]]-Table1[[#This Row],[Date Logged]], "OPEN")</f>
        <v>OPEN</v>
      </c>
      <c r="M119" s="8"/>
      <c r="O119" s="13" t="str">
        <f>IF(ISNUMBER(N119), Table1[[#This Row],[Date Closed]]-Table1[[#This Row],[Date Logged]], "OPEN")</f>
        <v>OPEN</v>
      </c>
    </row>
    <row r="120" spans="10:15" x14ac:dyDescent="0.25">
      <c r="J120" s="12" t="str">
        <f>IF(ISNUMBER(B120),Table1[[#This Row],[Date Logged]]+7,"")</f>
        <v/>
      </c>
      <c r="L120" s="13" t="str">
        <f>IF(ISNUMBER(K120), Table1[[#This Row],[Part 1 Completion Date]]-Table1[[#This Row],[Date Logged]], "OPEN")</f>
        <v>OPEN</v>
      </c>
      <c r="M120" s="8"/>
      <c r="O120" s="13" t="str">
        <f>IF(ISNUMBER(N120), Table1[[#This Row],[Date Closed]]-Table1[[#This Row],[Date Logged]], "OPEN")</f>
        <v>OPEN</v>
      </c>
    </row>
    <row r="121" spans="10:15" x14ac:dyDescent="0.25">
      <c r="J121" s="12" t="str">
        <f>IF(ISNUMBER(B121),Table1[[#This Row],[Date Logged]]+7,"")</f>
        <v/>
      </c>
      <c r="L121" s="13" t="str">
        <f>IF(ISNUMBER(K121), Table1[[#This Row],[Part 1 Completion Date]]-Table1[[#This Row],[Date Logged]], "OPEN")</f>
        <v>OPEN</v>
      </c>
      <c r="M121" s="8"/>
      <c r="O121" s="13" t="str">
        <f>IF(ISNUMBER(N121), Table1[[#This Row],[Date Closed]]-Table1[[#This Row],[Date Logged]], "OPEN")</f>
        <v>OPEN</v>
      </c>
    </row>
    <row r="122" spans="10:15" x14ac:dyDescent="0.25">
      <c r="J122" s="12" t="str">
        <f>IF(ISNUMBER(B122),Table1[[#This Row],[Date Logged]]+7,"")</f>
        <v/>
      </c>
      <c r="L122" s="13" t="str">
        <f>IF(ISNUMBER(K122), Table1[[#This Row],[Part 1 Completion Date]]-Table1[[#This Row],[Date Logged]], "OPEN")</f>
        <v>OPEN</v>
      </c>
      <c r="M122" s="8"/>
      <c r="O122" s="13" t="str">
        <f>IF(ISNUMBER(N122), Table1[[#This Row],[Date Closed]]-Table1[[#This Row],[Date Logged]], "OPEN")</f>
        <v>OPEN</v>
      </c>
    </row>
    <row r="123" spans="10:15" x14ac:dyDescent="0.25">
      <c r="J123" s="12" t="str">
        <f>IF(ISNUMBER(B123),Table1[[#This Row],[Date Logged]]+7,"")</f>
        <v/>
      </c>
      <c r="L123" s="13" t="str">
        <f>IF(ISNUMBER(K123), Table1[[#This Row],[Part 1 Completion Date]]-Table1[[#This Row],[Date Logged]], "OPEN")</f>
        <v>OPEN</v>
      </c>
      <c r="M123" s="8"/>
      <c r="O123" s="13" t="str">
        <f>IF(ISNUMBER(N123), Table1[[#This Row],[Date Closed]]-Table1[[#This Row],[Date Logged]], "OPEN")</f>
        <v>OPEN</v>
      </c>
    </row>
    <row r="124" spans="10:15" x14ac:dyDescent="0.25">
      <c r="J124" s="12" t="str">
        <f>IF(ISNUMBER(B124),Table1[[#This Row],[Date Logged]]+7,"")</f>
        <v/>
      </c>
      <c r="L124" s="13" t="str">
        <f>IF(ISNUMBER(K124), Table1[[#This Row],[Part 1 Completion Date]]-Table1[[#This Row],[Date Logged]], "OPEN")</f>
        <v>OPEN</v>
      </c>
      <c r="M124" s="8"/>
      <c r="O124" s="13" t="str">
        <f>IF(ISNUMBER(N124), Table1[[#This Row],[Date Closed]]-Table1[[#This Row],[Date Logged]], "OPEN")</f>
        <v>OPEN</v>
      </c>
    </row>
    <row r="125" spans="10:15" x14ac:dyDescent="0.25">
      <c r="J125" s="12" t="str">
        <f>IF(ISNUMBER(B125),Table1[[#This Row],[Date Logged]]+7,"")</f>
        <v/>
      </c>
      <c r="L125" s="13" t="str">
        <f>IF(ISNUMBER(K125), Table1[[#This Row],[Part 1 Completion Date]]-Table1[[#This Row],[Date Logged]], "OPEN")</f>
        <v>OPEN</v>
      </c>
      <c r="M125" s="8"/>
      <c r="O125" s="13" t="str">
        <f>IF(ISNUMBER(N125), Table1[[#This Row],[Date Closed]]-Table1[[#This Row],[Date Logged]], "OPEN")</f>
        <v>OPEN</v>
      </c>
    </row>
    <row r="126" spans="10:15" x14ac:dyDescent="0.25">
      <c r="J126" s="12" t="str">
        <f>IF(ISNUMBER(B126),Table1[[#This Row],[Date Logged]]+7,"")</f>
        <v/>
      </c>
      <c r="L126" s="13" t="str">
        <f>IF(ISNUMBER(K126), Table1[[#This Row],[Part 1 Completion Date]]-Table1[[#This Row],[Date Logged]], "OPEN")</f>
        <v>OPEN</v>
      </c>
      <c r="M126" s="8"/>
      <c r="O126" s="13" t="str">
        <f>IF(ISNUMBER(N126), Table1[[#This Row],[Date Closed]]-Table1[[#This Row],[Date Logged]], "OPEN")</f>
        <v>OPEN</v>
      </c>
    </row>
    <row r="127" spans="10:15" x14ac:dyDescent="0.25">
      <c r="J127" s="12" t="str">
        <f>IF(ISNUMBER(B127),Table1[[#This Row],[Date Logged]]+7,"")</f>
        <v/>
      </c>
      <c r="L127" s="13" t="str">
        <f>IF(ISNUMBER(K127), Table1[[#This Row],[Part 1 Completion Date]]-Table1[[#This Row],[Date Logged]], "OPEN")</f>
        <v>OPEN</v>
      </c>
      <c r="M127" s="8"/>
      <c r="O127" s="13" t="str">
        <f>IF(ISNUMBER(N127), Table1[[#This Row],[Date Closed]]-Table1[[#This Row],[Date Logged]], "OPEN")</f>
        <v>OPEN</v>
      </c>
    </row>
    <row r="128" spans="10:15" x14ac:dyDescent="0.25">
      <c r="J128" s="12" t="str">
        <f>IF(ISNUMBER(B128),Table1[[#This Row],[Date Logged]]+7,"")</f>
        <v/>
      </c>
      <c r="L128" s="13" t="str">
        <f>IF(ISNUMBER(K128), Table1[[#This Row],[Part 1 Completion Date]]-Table1[[#This Row],[Date Logged]], "OPEN")</f>
        <v>OPEN</v>
      </c>
      <c r="M128" s="8"/>
      <c r="O128" s="13" t="str">
        <f>IF(ISNUMBER(N128), Table1[[#This Row],[Date Closed]]-Table1[[#This Row],[Date Logged]], "OPEN")</f>
        <v>OPEN</v>
      </c>
    </row>
    <row r="129" spans="10:15" x14ac:dyDescent="0.25">
      <c r="J129" s="12" t="str">
        <f>IF(ISNUMBER(B129),Table1[[#This Row],[Date Logged]]+7,"")</f>
        <v/>
      </c>
      <c r="L129" s="13" t="str">
        <f>IF(ISNUMBER(K129), Table1[[#This Row],[Part 1 Completion Date]]-Table1[[#This Row],[Date Logged]], "OPEN")</f>
        <v>OPEN</v>
      </c>
      <c r="M129" s="8"/>
      <c r="O129" s="13" t="str">
        <f>IF(ISNUMBER(N129), Table1[[#This Row],[Date Closed]]-Table1[[#This Row],[Date Logged]], "OPEN")</f>
        <v>OPEN</v>
      </c>
    </row>
    <row r="130" spans="10:15" x14ac:dyDescent="0.25">
      <c r="J130" s="12" t="str">
        <f>IF(ISNUMBER(B130),Table1[[#This Row],[Date Logged]]+7,"")</f>
        <v/>
      </c>
      <c r="L130" s="13" t="str">
        <f>IF(ISNUMBER(K130), Table1[[#This Row],[Part 1 Completion Date]]-Table1[[#This Row],[Date Logged]], "OPEN")</f>
        <v>OPEN</v>
      </c>
      <c r="M130" s="8"/>
      <c r="O130" s="13" t="str">
        <f>IF(ISNUMBER(N130), Table1[[#This Row],[Date Closed]]-Table1[[#This Row],[Date Logged]], "OPEN")</f>
        <v>OPEN</v>
      </c>
    </row>
    <row r="131" spans="10:15" x14ac:dyDescent="0.25">
      <c r="J131" s="12" t="str">
        <f>IF(ISNUMBER(B131),Table1[[#This Row],[Date Logged]]+7,"")</f>
        <v/>
      </c>
      <c r="L131" s="13" t="str">
        <f>IF(ISNUMBER(K131), Table1[[#This Row],[Part 1 Completion Date]]-Table1[[#This Row],[Date Logged]], "OPEN")</f>
        <v>OPEN</v>
      </c>
      <c r="M131" s="8"/>
      <c r="O131" s="13" t="str">
        <f>IF(ISNUMBER(N131), Table1[[#This Row],[Date Closed]]-Table1[[#This Row],[Date Logged]], "OPEN")</f>
        <v>OPEN</v>
      </c>
    </row>
    <row r="132" spans="10:15" x14ac:dyDescent="0.25">
      <c r="J132" s="12" t="str">
        <f>IF(ISNUMBER(B132),Table1[[#This Row],[Date Logged]]+7,"")</f>
        <v/>
      </c>
      <c r="L132" s="13" t="str">
        <f>IF(ISNUMBER(K132), Table1[[#This Row],[Part 1 Completion Date]]-Table1[[#This Row],[Date Logged]], "OPEN")</f>
        <v>OPEN</v>
      </c>
      <c r="M132" s="8"/>
      <c r="O132" s="13" t="str">
        <f>IF(ISNUMBER(N132), Table1[[#This Row],[Date Closed]]-Table1[[#This Row],[Date Logged]], "OPEN")</f>
        <v>OPEN</v>
      </c>
    </row>
    <row r="133" spans="10:15" x14ac:dyDescent="0.25">
      <c r="J133" s="12" t="str">
        <f>IF(ISNUMBER(B133),Table1[[#This Row],[Date Logged]]+7,"")</f>
        <v/>
      </c>
      <c r="L133" s="13" t="str">
        <f>IF(ISNUMBER(K133), Table1[[#This Row],[Part 1 Completion Date]]-Table1[[#This Row],[Date Logged]], "OPEN")</f>
        <v>OPEN</v>
      </c>
      <c r="M133" s="8"/>
      <c r="O133" s="13" t="str">
        <f>IF(ISNUMBER(N133), Table1[[#This Row],[Date Closed]]-Table1[[#This Row],[Date Logged]], "OPEN")</f>
        <v>OPEN</v>
      </c>
    </row>
    <row r="134" spans="10:15" x14ac:dyDescent="0.25">
      <c r="J134" s="12" t="str">
        <f>IF(ISNUMBER(B134),Table1[[#This Row],[Date Logged]]+7,"")</f>
        <v/>
      </c>
      <c r="L134" s="13" t="str">
        <f>IF(ISNUMBER(K134), Table1[[#This Row],[Part 1 Completion Date]]-Table1[[#This Row],[Date Logged]], "OPEN")</f>
        <v>OPEN</v>
      </c>
      <c r="M134" s="8"/>
      <c r="O134" s="13" t="str">
        <f>IF(ISNUMBER(N134), Table1[[#This Row],[Date Closed]]-Table1[[#This Row],[Date Logged]], "OPEN")</f>
        <v>OPEN</v>
      </c>
    </row>
    <row r="135" spans="10:15" x14ac:dyDescent="0.25">
      <c r="J135" s="12" t="str">
        <f>IF(ISNUMBER(B135),Table1[[#This Row],[Date Logged]]+7,"")</f>
        <v/>
      </c>
      <c r="L135" s="13" t="str">
        <f>IF(ISNUMBER(K135), Table1[[#This Row],[Part 1 Completion Date]]-Table1[[#This Row],[Date Logged]], "OPEN")</f>
        <v>OPEN</v>
      </c>
      <c r="M135" s="8"/>
      <c r="O135" s="13" t="str">
        <f>IF(ISNUMBER(N135), Table1[[#This Row],[Date Closed]]-Table1[[#This Row],[Date Logged]], "OPEN")</f>
        <v>OPEN</v>
      </c>
    </row>
    <row r="136" spans="10:15" x14ac:dyDescent="0.25">
      <c r="J136" s="12" t="str">
        <f>IF(ISNUMBER(B136),Table1[[#This Row],[Date Logged]]+7,"")</f>
        <v/>
      </c>
      <c r="L136" s="13" t="str">
        <f>IF(ISNUMBER(K136), Table1[[#This Row],[Part 1 Completion Date]]-Table1[[#This Row],[Date Logged]], "OPEN")</f>
        <v>OPEN</v>
      </c>
      <c r="M136" s="8"/>
      <c r="O136" s="13" t="str">
        <f>IF(ISNUMBER(N136), Table1[[#This Row],[Date Closed]]-Table1[[#This Row],[Date Logged]], "OPEN")</f>
        <v>OPEN</v>
      </c>
    </row>
    <row r="137" spans="10:15" x14ac:dyDescent="0.25">
      <c r="J137" s="12" t="str">
        <f>IF(ISNUMBER(B137),Table1[[#This Row],[Date Logged]]+7,"")</f>
        <v/>
      </c>
      <c r="L137" s="13" t="str">
        <f>IF(ISNUMBER(K137), Table1[[#This Row],[Part 1 Completion Date]]-Table1[[#This Row],[Date Logged]], "OPEN")</f>
        <v>OPEN</v>
      </c>
      <c r="M137" s="8"/>
      <c r="O137" s="13" t="str">
        <f>IF(ISNUMBER(N137), Table1[[#This Row],[Date Closed]]-Table1[[#This Row],[Date Logged]], "OPEN")</f>
        <v>OPEN</v>
      </c>
    </row>
    <row r="138" spans="10:15" x14ac:dyDescent="0.25">
      <c r="J138" s="12" t="str">
        <f>IF(ISNUMBER(B138),Table1[[#This Row],[Date Logged]]+7,"")</f>
        <v/>
      </c>
      <c r="L138" s="13" t="str">
        <f>IF(ISNUMBER(K138), Table1[[#This Row],[Part 1 Completion Date]]-Table1[[#This Row],[Date Logged]], "OPEN")</f>
        <v>OPEN</v>
      </c>
      <c r="M138" s="8"/>
      <c r="O138" s="13" t="str">
        <f>IF(ISNUMBER(N138), Table1[[#This Row],[Date Closed]]-Table1[[#This Row],[Date Logged]], "OPEN")</f>
        <v>OPEN</v>
      </c>
    </row>
    <row r="139" spans="10:15" x14ac:dyDescent="0.25">
      <c r="J139" s="12" t="str">
        <f>IF(ISNUMBER(B139),Table1[[#This Row],[Date Logged]]+7,"")</f>
        <v/>
      </c>
      <c r="L139" s="13" t="str">
        <f>IF(ISNUMBER(K139), Table1[[#This Row],[Part 1 Completion Date]]-Table1[[#This Row],[Date Logged]], "OPEN")</f>
        <v>OPEN</v>
      </c>
      <c r="M139" s="8"/>
      <c r="O139" s="13" t="str">
        <f>IF(ISNUMBER(N139), Table1[[#This Row],[Date Closed]]-Table1[[#This Row],[Date Logged]], "OPEN")</f>
        <v>OPEN</v>
      </c>
    </row>
    <row r="140" spans="10:15" x14ac:dyDescent="0.25">
      <c r="J140" s="12" t="str">
        <f>IF(ISNUMBER(B140),Table1[[#This Row],[Date Logged]]+7,"")</f>
        <v/>
      </c>
      <c r="L140" s="13" t="str">
        <f>IF(ISNUMBER(K140), Table1[[#This Row],[Part 1 Completion Date]]-Table1[[#This Row],[Date Logged]], "OPEN")</f>
        <v>OPEN</v>
      </c>
      <c r="M140" s="8"/>
      <c r="O140" s="13" t="str">
        <f>IF(ISNUMBER(N140), Table1[[#This Row],[Date Closed]]-Table1[[#This Row],[Date Logged]], "OPEN")</f>
        <v>OPEN</v>
      </c>
    </row>
    <row r="141" spans="10:15" x14ac:dyDescent="0.25">
      <c r="J141" s="12" t="str">
        <f>IF(ISNUMBER(B141),Table1[[#This Row],[Date Logged]]+7,"")</f>
        <v/>
      </c>
      <c r="L141" s="13" t="str">
        <f>IF(ISNUMBER(K141), Table1[[#This Row],[Part 1 Completion Date]]-Table1[[#This Row],[Date Logged]], "OPEN")</f>
        <v>OPEN</v>
      </c>
      <c r="M141" s="8"/>
      <c r="O141" s="13" t="str">
        <f>IF(ISNUMBER(N141), Table1[[#This Row],[Date Closed]]-Table1[[#This Row],[Date Logged]], "OPEN")</f>
        <v>OPEN</v>
      </c>
    </row>
    <row r="142" spans="10:15" x14ac:dyDescent="0.25">
      <c r="J142" s="12" t="str">
        <f>IF(ISNUMBER(B142),Table1[[#This Row],[Date Logged]]+7,"")</f>
        <v/>
      </c>
      <c r="L142" s="13" t="str">
        <f>IF(ISNUMBER(K142), Table1[[#This Row],[Part 1 Completion Date]]-Table1[[#This Row],[Date Logged]], "OPEN")</f>
        <v>OPEN</v>
      </c>
      <c r="M142" s="8"/>
      <c r="O142" s="13" t="str">
        <f>IF(ISNUMBER(N142), Table1[[#This Row],[Date Closed]]-Table1[[#This Row],[Date Logged]], "OPEN")</f>
        <v>OPEN</v>
      </c>
    </row>
    <row r="143" spans="10:15" x14ac:dyDescent="0.25">
      <c r="J143" s="12" t="str">
        <f>IF(ISNUMBER(B143),Table1[[#This Row],[Date Logged]]+7,"")</f>
        <v/>
      </c>
      <c r="L143" s="13" t="str">
        <f>IF(ISNUMBER(K143), Table1[[#This Row],[Part 1 Completion Date]]-Table1[[#This Row],[Date Logged]], "OPEN")</f>
        <v>OPEN</v>
      </c>
      <c r="M143" s="8"/>
      <c r="O143" s="13" t="str">
        <f>IF(ISNUMBER(N143), Table1[[#This Row],[Date Closed]]-Table1[[#This Row],[Date Logged]], "OPEN")</f>
        <v>OPEN</v>
      </c>
    </row>
    <row r="144" spans="10:15" x14ac:dyDescent="0.25">
      <c r="J144" s="12" t="str">
        <f>IF(ISNUMBER(B144),Table1[[#This Row],[Date Logged]]+7,"")</f>
        <v/>
      </c>
      <c r="L144" s="13" t="str">
        <f>IF(ISNUMBER(K144), Table1[[#This Row],[Part 1 Completion Date]]-Table1[[#This Row],[Date Logged]], "OPEN")</f>
        <v>OPEN</v>
      </c>
      <c r="M144" s="8"/>
      <c r="O144" s="13" t="str">
        <f>IF(ISNUMBER(N144), Table1[[#This Row],[Date Closed]]-Table1[[#This Row],[Date Logged]], "OPEN")</f>
        <v>OPEN</v>
      </c>
    </row>
    <row r="145" spans="10:15" x14ac:dyDescent="0.25">
      <c r="J145" s="12" t="str">
        <f>IF(ISNUMBER(B145),Table1[[#This Row],[Date Logged]]+7,"")</f>
        <v/>
      </c>
      <c r="L145" s="13" t="str">
        <f>IF(ISNUMBER(K145), Table1[[#This Row],[Part 1 Completion Date]]-Table1[[#This Row],[Date Logged]], "OPEN")</f>
        <v>OPEN</v>
      </c>
      <c r="M145" s="8"/>
      <c r="O145" s="13" t="str">
        <f>IF(ISNUMBER(N145), Table1[[#This Row],[Date Closed]]-Table1[[#This Row],[Date Logged]], "OPEN")</f>
        <v>OPEN</v>
      </c>
    </row>
    <row r="146" spans="10:15" x14ac:dyDescent="0.25">
      <c r="J146" s="12" t="str">
        <f>IF(ISNUMBER(B146),Table1[[#This Row],[Date Logged]]+7,"")</f>
        <v/>
      </c>
      <c r="L146" s="13" t="str">
        <f>IF(ISNUMBER(K146), Table1[[#This Row],[Part 1 Completion Date]]-Table1[[#This Row],[Date Logged]], "OPEN")</f>
        <v>OPEN</v>
      </c>
      <c r="M146" s="8"/>
      <c r="O146" s="13" t="str">
        <f>IF(ISNUMBER(N146), Table1[[#This Row],[Date Closed]]-Table1[[#This Row],[Date Logged]], "OPEN")</f>
        <v>OPEN</v>
      </c>
    </row>
    <row r="147" spans="10:15" x14ac:dyDescent="0.25">
      <c r="J147" s="12" t="str">
        <f>IF(ISNUMBER(B147),Table1[[#This Row],[Date Logged]]+7,"")</f>
        <v/>
      </c>
      <c r="L147" s="13" t="str">
        <f>IF(ISNUMBER(K147), Table1[[#This Row],[Part 1 Completion Date]]-Table1[[#This Row],[Date Logged]], "OPEN")</f>
        <v>OPEN</v>
      </c>
      <c r="M147" s="8"/>
      <c r="O147" s="13" t="str">
        <f>IF(ISNUMBER(N147), Table1[[#This Row],[Date Closed]]-Table1[[#This Row],[Date Logged]], "OPEN")</f>
        <v>OPEN</v>
      </c>
    </row>
    <row r="148" spans="10:15" x14ac:dyDescent="0.25">
      <c r="J148" s="12" t="str">
        <f>IF(ISNUMBER(B148),Table1[[#This Row],[Date Logged]]+7,"")</f>
        <v/>
      </c>
      <c r="L148" s="13" t="str">
        <f>IF(ISNUMBER(K148), Table1[[#This Row],[Part 1 Completion Date]]-Table1[[#This Row],[Date Logged]], "OPEN")</f>
        <v>OPEN</v>
      </c>
      <c r="M148" s="8"/>
      <c r="O148" s="13" t="str">
        <f>IF(ISNUMBER(N148), Table1[[#This Row],[Date Closed]]-Table1[[#This Row],[Date Logged]], "OPEN")</f>
        <v>OPEN</v>
      </c>
    </row>
    <row r="149" spans="10:15" x14ac:dyDescent="0.25">
      <c r="J149" s="12" t="str">
        <f>IF(ISNUMBER(B149),Table1[[#This Row],[Date Logged]]+7,"")</f>
        <v/>
      </c>
      <c r="L149" s="13" t="str">
        <f>IF(ISNUMBER(K149), Table1[[#This Row],[Part 1 Completion Date]]-Table1[[#This Row],[Date Logged]], "OPEN")</f>
        <v>OPEN</v>
      </c>
      <c r="M149" s="8"/>
      <c r="O149" s="13" t="str">
        <f>IF(ISNUMBER(N149), Table1[[#This Row],[Date Closed]]-Table1[[#This Row],[Date Logged]], "OPEN")</f>
        <v>OPEN</v>
      </c>
    </row>
    <row r="150" spans="10:15" x14ac:dyDescent="0.25">
      <c r="J150" s="12" t="str">
        <f>IF(ISNUMBER(B150),Table1[[#This Row],[Date Logged]]+7,"")</f>
        <v/>
      </c>
      <c r="L150" s="13" t="str">
        <f>IF(ISNUMBER(K150), Table1[[#This Row],[Part 1 Completion Date]]-Table1[[#This Row],[Date Logged]], "OPEN")</f>
        <v>OPEN</v>
      </c>
      <c r="M150" s="8"/>
      <c r="O150" s="13" t="str">
        <f>IF(ISNUMBER(N150), Table1[[#This Row],[Date Closed]]-Table1[[#This Row],[Date Logged]], "OPEN")</f>
        <v>OPEN</v>
      </c>
    </row>
    <row r="151" spans="10:15" x14ac:dyDescent="0.25">
      <c r="J151" s="12" t="str">
        <f>IF(ISNUMBER(B151),Table1[[#This Row],[Date Logged]]+7,"")</f>
        <v/>
      </c>
      <c r="L151" s="13" t="str">
        <f>IF(ISNUMBER(K151), Table1[[#This Row],[Part 1 Completion Date]]-Table1[[#This Row],[Date Logged]], "OPEN")</f>
        <v>OPEN</v>
      </c>
      <c r="M151" s="8"/>
      <c r="O151" s="13" t="str">
        <f>IF(ISNUMBER(N151), Table1[[#This Row],[Date Closed]]-Table1[[#This Row],[Date Logged]], "OPEN")</f>
        <v>OPEN</v>
      </c>
    </row>
    <row r="152" spans="10:15" x14ac:dyDescent="0.25">
      <c r="J152" s="12" t="str">
        <f>IF(ISNUMBER(B152),Table1[[#This Row],[Date Logged]]+7,"")</f>
        <v/>
      </c>
      <c r="L152" s="13" t="str">
        <f>IF(ISNUMBER(K152), Table1[[#This Row],[Part 1 Completion Date]]-Table1[[#This Row],[Date Logged]], "OPEN")</f>
        <v>OPEN</v>
      </c>
      <c r="M152" s="8"/>
      <c r="O152" s="13" t="str">
        <f>IF(ISNUMBER(N152), Table1[[#This Row],[Date Closed]]-Table1[[#This Row],[Date Logged]], "OPEN")</f>
        <v>OPEN</v>
      </c>
    </row>
    <row r="153" spans="10:15" x14ac:dyDescent="0.25">
      <c r="J153" s="12" t="str">
        <f>IF(ISNUMBER(B153),Table1[[#This Row],[Date Logged]]+7,"")</f>
        <v/>
      </c>
      <c r="L153" s="13" t="str">
        <f>IF(ISNUMBER(K153), Table1[[#This Row],[Part 1 Completion Date]]-Table1[[#This Row],[Date Logged]], "OPEN")</f>
        <v>OPEN</v>
      </c>
      <c r="M153" s="8"/>
      <c r="O153" s="13" t="str">
        <f>IF(ISNUMBER(N153), Table1[[#This Row],[Date Closed]]-Table1[[#This Row],[Date Logged]], "OPEN")</f>
        <v>OPEN</v>
      </c>
    </row>
    <row r="154" spans="10:15" x14ac:dyDescent="0.25">
      <c r="J154" s="12" t="str">
        <f>IF(ISNUMBER(B154),Table1[[#This Row],[Date Logged]]+7,"")</f>
        <v/>
      </c>
      <c r="L154" s="13" t="str">
        <f>IF(ISNUMBER(K154), Table1[[#This Row],[Part 1 Completion Date]]-Table1[[#This Row],[Date Logged]], "OPEN")</f>
        <v>OPEN</v>
      </c>
      <c r="M154" s="8"/>
      <c r="O154" s="13" t="str">
        <f>IF(ISNUMBER(N154), Table1[[#This Row],[Date Closed]]-Table1[[#This Row],[Date Logged]], "OPEN")</f>
        <v>OPEN</v>
      </c>
    </row>
    <row r="155" spans="10:15" x14ac:dyDescent="0.25">
      <c r="J155" s="12" t="str">
        <f>IF(ISNUMBER(B155),Table1[[#This Row],[Date Logged]]+7,"")</f>
        <v/>
      </c>
      <c r="L155" s="13" t="str">
        <f>IF(ISNUMBER(K155), Table1[[#This Row],[Part 1 Completion Date]]-Table1[[#This Row],[Date Logged]], "OPEN")</f>
        <v>OPEN</v>
      </c>
      <c r="M155" s="8"/>
      <c r="O155" s="13" t="str">
        <f>IF(ISNUMBER(N155), Table1[[#This Row],[Date Closed]]-Table1[[#This Row],[Date Logged]], "OPEN")</f>
        <v>OPEN</v>
      </c>
    </row>
    <row r="156" spans="10:15" x14ac:dyDescent="0.25">
      <c r="J156" s="12" t="str">
        <f>IF(ISNUMBER(B156),Table1[[#This Row],[Date Logged]]+7,"")</f>
        <v/>
      </c>
      <c r="L156" s="13" t="str">
        <f>IF(ISNUMBER(K156), Table1[[#This Row],[Part 1 Completion Date]]-Table1[[#This Row],[Date Logged]], "OPEN")</f>
        <v>OPEN</v>
      </c>
      <c r="M156" s="8"/>
      <c r="O156" s="13" t="str">
        <f>IF(ISNUMBER(N156), Table1[[#This Row],[Date Closed]]-Table1[[#This Row],[Date Logged]], "OPEN")</f>
        <v>OPEN</v>
      </c>
    </row>
    <row r="157" spans="10:15" x14ac:dyDescent="0.25">
      <c r="J157" s="12" t="str">
        <f>IF(ISNUMBER(B157),Table1[[#This Row],[Date Logged]]+7,"")</f>
        <v/>
      </c>
      <c r="L157" s="13" t="str">
        <f>IF(ISNUMBER(K157), Table1[[#This Row],[Part 1 Completion Date]]-Table1[[#This Row],[Date Logged]], "OPEN")</f>
        <v>OPEN</v>
      </c>
      <c r="M157" s="8"/>
      <c r="O157" s="13" t="str">
        <f>IF(ISNUMBER(N157), Table1[[#This Row],[Date Closed]]-Table1[[#This Row],[Date Logged]], "OPEN")</f>
        <v>OPEN</v>
      </c>
    </row>
    <row r="158" spans="10:15" x14ac:dyDescent="0.25">
      <c r="J158" s="12" t="str">
        <f>IF(ISNUMBER(B158),Table1[[#This Row],[Date Logged]]+7,"")</f>
        <v/>
      </c>
      <c r="L158" s="13" t="str">
        <f>IF(ISNUMBER(K158), Table1[[#This Row],[Part 1 Completion Date]]-Table1[[#This Row],[Date Logged]], "OPEN")</f>
        <v>OPEN</v>
      </c>
      <c r="M158" s="8"/>
      <c r="O158" s="13" t="str">
        <f>IF(ISNUMBER(N158), Table1[[#This Row],[Date Closed]]-Table1[[#This Row],[Date Logged]], "OPEN")</f>
        <v>OPEN</v>
      </c>
    </row>
    <row r="159" spans="10:15" x14ac:dyDescent="0.25">
      <c r="J159" s="12" t="str">
        <f>IF(ISNUMBER(B159),Table1[[#This Row],[Date Logged]]+7,"")</f>
        <v/>
      </c>
      <c r="L159" s="13" t="str">
        <f>IF(ISNUMBER(K159), Table1[[#This Row],[Part 1 Completion Date]]-Table1[[#This Row],[Date Logged]], "OPEN")</f>
        <v>OPEN</v>
      </c>
      <c r="M159" s="8"/>
      <c r="O159" s="13" t="str">
        <f>IF(ISNUMBER(N159), Table1[[#This Row],[Date Closed]]-Table1[[#This Row],[Date Logged]], "OPEN")</f>
        <v>OPEN</v>
      </c>
    </row>
    <row r="160" spans="10:15" x14ac:dyDescent="0.25">
      <c r="J160" s="12" t="str">
        <f>IF(ISNUMBER(B160),Table1[[#This Row],[Date Logged]]+7,"")</f>
        <v/>
      </c>
      <c r="L160" s="13" t="str">
        <f>IF(ISNUMBER(K160), Table1[[#This Row],[Part 1 Completion Date]]-Table1[[#This Row],[Date Logged]], "OPEN")</f>
        <v>OPEN</v>
      </c>
      <c r="M160" s="8"/>
      <c r="O160" s="13" t="str">
        <f>IF(ISNUMBER(N160), Table1[[#This Row],[Date Closed]]-Table1[[#This Row],[Date Logged]], "OPEN")</f>
        <v>OPEN</v>
      </c>
    </row>
    <row r="161" spans="10:15" x14ac:dyDescent="0.25">
      <c r="J161" s="12" t="str">
        <f>IF(ISNUMBER(B161),Table1[[#This Row],[Date Logged]]+7,"")</f>
        <v/>
      </c>
      <c r="L161" s="13" t="str">
        <f>IF(ISNUMBER(K161), Table1[[#This Row],[Part 1 Completion Date]]-Table1[[#This Row],[Date Logged]], "OPEN")</f>
        <v>OPEN</v>
      </c>
      <c r="M161" s="8"/>
      <c r="O161" s="13" t="str">
        <f>IF(ISNUMBER(N161), Table1[[#This Row],[Date Closed]]-Table1[[#This Row],[Date Logged]], "OPEN")</f>
        <v>OPEN</v>
      </c>
    </row>
    <row r="162" spans="10:15" x14ac:dyDescent="0.25">
      <c r="J162" s="12" t="str">
        <f>IF(ISNUMBER(B162),Table1[[#This Row],[Date Logged]]+7,"")</f>
        <v/>
      </c>
      <c r="L162" s="13" t="str">
        <f>IF(ISNUMBER(K162), Table1[[#This Row],[Part 1 Completion Date]]-Table1[[#This Row],[Date Logged]], "OPEN")</f>
        <v>OPEN</v>
      </c>
      <c r="M162" s="8"/>
      <c r="O162" s="13" t="str">
        <f>IF(ISNUMBER(N162), Table1[[#This Row],[Date Closed]]-Table1[[#This Row],[Date Logged]], "OPEN")</f>
        <v>OPEN</v>
      </c>
    </row>
    <row r="163" spans="10:15" x14ac:dyDescent="0.25">
      <c r="J163" s="12" t="str">
        <f>IF(ISNUMBER(B163),Table1[[#This Row],[Date Logged]]+7,"")</f>
        <v/>
      </c>
      <c r="L163" s="13" t="str">
        <f>IF(ISNUMBER(K163), Table1[[#This Row],[Part 1 Completion Date]]-Table1[[#This Row],[Date Logged]], "OPEN")</f>
        <v>OPEN</v>
      </c>
      <c r="M163" s="8"/>
      <c r="O163" s="13" t="str">
        <f>IF(ISNUMBER(N163), Table1[[#This Row],[Date Closed]]-Table1[[#This Row],[Date Logged]], "OPEN")</f>
        <v>OPEN</v>
      </c>
    </row>
    <row r="164" spans="10:15" x14ac:dyDescent="0.25">
      <c r="J164" s="12" t="str">
        <f>IF(ISNUMBER(B164),Table1[[#This Row],[Date Logged]]+7,"")</f>
        <v/>
      </c>
      <c r="L164" s="13" t="str">
        <f>IF(ISNUMBER(K164), Table1[[#This Row],[Part 1 Completion Date]]-Table1[[#This Row],[Date Logged]], "OPEN")</f>
        <v>OPEN</v>
      </c>
      <c r="M164" s="8"/>
      <c r="O164" s="13" t="str">
        <f>IF(ISNUMBER(N164), Table1[[#This Row],[Date Closed]]-Table1[[#This Row],[Date Logged]], "OPEN")</f>
        <v>OPEN</v>
      </c>
    </row>
    <row r="165" spans="10:15" x14ac:dyDescent="0.25">
      <c r="J165" s="12" t="str">
        <f>IF(ISNUMBER(B165),Table1[[#This Row],[Date Logged]]+7,"")</f>
        <v/>
      </c>
      <c r="L165" s="13" t="str">
        <f>IF(ISNUMBER(K165), Table1[[#This Row],[Part 1 Completion Date]]-Table1[[#This Row],[Date Logged]], "OPEN")</f>
        <v>OPEN</v>
      </c>
      <c r="M165" s="8"/>
      <c r="O165" s="13" t="str">
        <f>IF(ISNUMBER(N165), Table1[[#This Row],[Date Closed]]-Table1[[#This Row],[Date Logged]], "OPEN")</f>
        <v>OPEN</v>
      </c>
    </row>
    <row r="166" spans="10:15" x14ac:dyDescent="0.25">
      <c r="J166" s="12" t="str">
        <f>IF(ISNUMBER(B166),Table1[[#This Row],[Date Logged]]+7,"")</f>
        <v/>
      </c>
      <c r="L166" s="13" t="str">
        <f>IF(ISNUMBER(K166), Table1[[#This Row],[Part 1 Completion Date]]-Table1[[#This Row],[Date Logged]], "OPEN")</f>
        <v>OPEN</v>
      </c>
      <c r="M166" s="8"/>
      <c r="O166" s="13" t="str">
        <f>IF(ISNUMBER(N166), Table1[[#This Row],[Date Closed]]-Table1[[#This Row],[Date Logged]], "OPEN")</f>
        <v>OPEN</v>
      </c>
    </row>
    <row r="167" spans="10:15" x14ac:dyDescent="0.25">
      <c r="J167" s="12" t="str">
        <f>IF(ISNUMBER(B167),Table1[[#This Row],[Date Logged]]+7,"")</f>
        <v/>
      </c>
      <c r="L167" s="13" t="str">
        <f>IF(ISNUMBER(K167), Table1[[#This Row],[Part 1 Completion Date]]-Table1[[#This Row],[Date Logged]], "OPEN")</f>
        <v>OPEN</v>
      </c>
      <c r="M167" s="8"/>
      <c r="O167" s="13" t="str">
        <f>IF(ISNUMBER(N167), Table1[[#This Row],[Date Closed]]-Table1[[#This Row],[Date Logged]], "OPEN")</f>
        <v>OPEN</v>
      </c>
    </row>
    <row r="168" spans="10:15" x14ac:dyDescent="0.25">
      <c r="J168" s="12" t="str">
        <f>IF(ISNUMBER(B168),Table1[[#This Row],[Date Logged]]+7,"")</f>
        <v/>
      </c>
      <c r="L168" s="13" t="str">
        <f>IF(ISNUMBER(K168), Table1[[#This Row],[Part 1 Completion Date]]-Table1[[#This Row],[Date Logged]], "OPEN")</f>
        <v>OPEN</v>
      </c>
      <c r="M168" s="8"/>
      <c r="O168" s="13" t="str">
        <f>IF(ISNUMBER(N168), Table1[[#This Row],[Date Closed]]-Table1[[#This Row],[Date Logged]], "OPEN")</f>
        <v>OPEN</v>
      </c>
    </row>
    <row r="169" spans="10:15" x14ac:dyDescent="0.25">
      <c r="J169" s="12" t="str">
        <f>IF(ISNUMBER(B169),Table1[[#This Row],[Date Logged]]+7,"")</f>
        <v/>
      </c>
      <c r="L169" s="13" t="str">
        <f>IF(ISNUMBER(K169), Table1[[#This Row],[Part 1 Completion Date]]-Table1[[#This Row],[Date Logged]], "OPEN")</f>
        <v>OPEN</v>
      </c>
      <c r="M169" s="8"/>
      <c r="O169" s="13" t="str">
        <f>IF(ISNUMBER(N169), Table1[[#This Row],[Date Closed]]-Table1[[#This Row],[Date Logged]], "OPEN")</f>
        <v>OPEN</v>
      </c>
    </row>
    <row r="170" spans="10:15" x14ac:dyDescent="0.25">
      <c r="J170" s="12" t="str">
        <f>IF(ISNUMBER(B170),Table1[[#This Row],[Date Logged]]+7,"")</f>
        <v/>
      </c>
      <c r="L170" s="13" t="str">
        <f>IF(ISNUMBER(K170), Table1[[#This Row],[Part 1 Completion Date]]-Table1[[#This Row],[Date Logged]], "OPEN")</f>
        <v>OPEN</v>
      </c>
      <c r="M170" s="8"/>
      <c r="O170" s="13" t="str">
        <f>IF(ISNUMBER(N170), Table1[[#This Row],[Date Closed]]-Table1[[#This Row],[Date Logged]], "OPEN")</f>
        <v>OPEN</v>
      </c>
    </row>
    <row r="171" spans="10:15" x14ac:dyDescent="0.25">
      <c r="J171" s="12" t="str">
        <f>IF(ISNUMBER(B171),Table1[[#This Row],[Date Logged]]+7,"")</f>
        <v/>
      </c>
      <c r="L171" s="13" t="str">
        <f>IF(ISNUMBER(K171), Table1[[#This Row],[Part 1 Completion Date]]-Table1[[#This Row],[Date Logged]], "OPEN")</f>
        <v>OPEN</v>
      </c>
      <c r="M171" s="8"/>
      <c r="O171" s="13" t="str">
        <f>IF(ISNUMBER(N171), Table1[[#This Row],[Date Closed]]-Table1[[#This Row],[Date Logged]], "OPEN")</f>
        <v>OPEN</v>
      </c>
    </row>
    <row r="172" spans="10:15" x14ac:dyDescent="0.25">
      <c r="J172" s="12" t="str">
        <f>IF(ISNUMBER(B172),Table1[[#This Row],[Date Logged]]+7,"")</f>
        <v/>
      </c>
      <c r="L172" s="13" t="str">
        <f>IF(ISNUMBER(K172), Table1[[#This Row],[Part 1 Completion Date]]-Table1[[#This Row],[Date Logged]], "OPEN")</f>
        <v>OPEN</v>
      </c>
      <c r="M172" s="8"/>
      <c r="O172" s="13" t="str">
        <f>IF(ISNUMBER(N172), Table1[[#This Row],[Date Closed]]-Table1[[#This Row],[Date Logged]], "OPEN")</f>
        <v>OPEN</v>
      </c>
    </row>
    <row r="173" spans="10:15" x14ac:dyDescent="0.25">
      <c r="J173" s="12" t="str">
        <f>IF(ISNUMBER(B173),Table1[[#This Row],[Date Logged]]+7,"")</f>
        <v/>
      </c>
      <c r="L173" s="13" t="str">
        <f>IF(ISNUMBER(K173), Table1[[#This Row],[Part 1 Completion Date]]-Table1[[#This Row],[Date Logged]], "OPEN")</f>
        <v>OPEN</v>
      </c>
      <c r="M173" s="8"/>
      <c r="O173" s="13" t="str">
        <f>IF(ISNUMBER(N173), Table1[[#This Row],[Date Closed]]-Table1[[#This Row],[Date Logged]], "OPEN")</f>
        <v>OPEN</v>
      </c>
    </row>
    <row r="174" spans="10:15" x14ac:dyDescent="0.25">
      <c r="J174" s="12" t="str">
        <f>IF(ISNUMBER(B174),Table1[[#This Row],[Date Logged]]+7,"")</f>
        <v/>
      </c>
      <c r="L174" s="13" t="str">
        <f>IF(ISNUMBER(K174), Table1[[#This Row],[Part 1 Completion Date]]-Table1[[#This Row],[Date Logged]], "OPEN")</f>
        <v>OPEN</v>
      </c>
      <c r="M174" s="8"/>
      <c r="O174" s="13" t="str">
        <f>IF(ISNUMBER(N174), Table1[[#This Row],[Date Closed]]-Table1[[#This Row],[Date Logged]], "OPEN")</f>
        <v>OPEN</v>
      </c>
    </row>
    <row r="175" spans="10:15" x14ac:dyDescent="0.25">
      <c r="J175" s="12" t="str">
        <f>IF(ISNUMBER(B175),Table1[[#This Row],[Date Logged]]+7,"")</f>
        <v/>
      </c>
      <c r="L175" s="13" t="str">
        <f>IF(ISNUMBER(K175), Table1[[#This Row],[Part 1 Completion Date]]-Table1[[#This Row],[Date Logged]], "OPEN")</f>
        <v>OPEN</v>
      </c>
      <c r="M175" s="8"/>
      <c r="O175" s="13" t="str">
        <f>IF(ISNUMBER(N175), Table1[[#This Row],[Date Closed]]-Table1[[#This Row],[Date Logged]], "OPEN")</f>
        <v>OPEN</v>
      </c>
    </row>
    <row r="176" spans="10:15" x14ac:dyDescent="0.25">
      <c r="J176" s="12" t="str">
        <f>IF(ISNUMBER(B176),Table1[[#This Row],[Date Logged]]+7,"")</f>
        <v/>
      </c>
      <c r="L176" s="13" t="str">
        <f>IF(ISNUMBER(K176), Table1[[#This Row],[Part 1 Completion Date]]-Table1[[#This Row],[Date Logged]], "OPEN")</f>
        <v>OPEN</v>
      </c>
      <c r="M176" s="8"/>
      <c r="O176" s="13" t="str">
        <f>IF(ISNUMBER(N176), Table1[[#This Row],[Date Closed]]-Table1[[#This Row],[Date Logged]], "OPEN")</f>
        <v>OPEN</v>
      </c>
    </row>
    <row r="177" spans="10:15" x14ac:dyDescent="0.25">
      <c r="J177" s="12" t="str">
        <f>IF(ISNUMBER(B177),Table1[[#This Row],[Date Logged]]+7,"")</f>
        <v/>
      </c>
      <c r="L177" s="13" t="str">
        <f>IF(ISNUMBER(K177), Table1[[#This Row],[Part 1 Completion Date]]-Table1[[#This Row],[Date Logged]], "OPEN")</f>
        <v>OPEN</v>
      </c>
      <c r="M177" s="8"/>
      <c r="O177" s="13" t="str">
        <f>IF(ISNUMBER(N177), Table1[[#This Row],[Date Closed]]-Table1[[#This Row],[Date Logged]], "OPEN")</f>
        <v>OPEN</v>
      </c>
    </row>
    <row r="178" spans="10:15" x14ac:dyDescent="0.25">
      <c r="J178" s="12" t="str">
        <f>IF(ISNUMBER(B178),Table1[[#This Row],[Date Logged]]+7,"")</f>
        <v/>
      </c>
      <c r="L178" s="13" t="str">
        <f>IF(ISNUMBER(K178), Table1[[#This Row],[Part 1 Completion Date]]-Table1[[#This Row],[Date Logged]], "OPEN")</f>
        <v>OPEN</v>
      </c>
      <c r="M178" s="8"/>
      <c r="O178" s="13" t="str">
        <f>IF(ISNUMBER(N178), Table1[[#This Row],[Date Closed]]-Table1[[#This Row],[Date Logged]], "OPEN")</f>
        <v>OPEN</v>
      </c>
    </row>
    <row r="179" spans="10:15" x14ac:dyDescent="0.25">
      <c r="J179" s="12" t="str">
        <f>IF(ISNUMBER(B179),Table1[[#This Row],[Date Logged]]+7,"")</f>
        <v/>
      </c>
      <c r="L179" s="13" t="str">
        <f>IF(ISNUMBER(K179), Table1[[#This Row],[Part 1 Completion Date]]-Table1[[#This Row],[Date Logged]], "OPEN")</f>
        <v>OPEN</v>
      </c>
      <c r="M179" s="8"/>
      <c r="O179" s="13" t="str">
        <f>IF(ISNUMBER(N179), Table1[[#This Row],[Date Closed]]-Table1[[#This Row],[Date Logged]], "OPEN")</f>
        <v>OPEN</v>
      </c>
    </row>
    <row r="180" spans="10:15" x14ac:dyDescent="0.25">
      <c r="J180" s="12" t="str">
        <f>IF(ISNUMBER(B180),Table1[[#This Row],[Date Logged]]+7,"")</f>
        <v/>
      </c>
      <c r="L180" s="13" t="str">
        <f>IF(ISNUMBER(K180), Table1[[#This Row],[Part 1 Completion Date]]-Table1[[#This Row],[Date Logged]], "OPEN")</f>
        <v>OPEN</v>
      </c>
      <c r="M180" s="8"/>
      <c r="O180" s="13" t="str">
        <f>IF(ISNUMBER(N180), Table1[[#This Row],[Date Closed]]-Table1[[#This Row],[Date Logged]], "OPEN")</f>
        <v>OPEN</v>
      </c>
    </row>
  </sheetData>
  <sheetProtection sheet="1" formatCells="0" formatColumns="0" formatRows="0" insertColumns="0" insertRows="0" insertHyperlinks="0" deleteColumns="0" deleteRows="0" sort="0" autoFilter="0" pivotTables="0"/>
  <phoneticPr fontId="5" type="noConversion"/>
  <conditionalFormatting sqref="J1:J1048576">
    <cfRule type="cellIs" dxfId="9" priority="9" operator="between">
      <formula>TODAY()</formula>
      <formula>TODAY()+7</formula>
    </cfRule>
    <cfRule type="cellIs" dxfId="8" priority="10" operator="lessThan">
      <formula>TODAY()</formula>
    </cfRule>
  </conditionalFormatting>
  <conditionalFormatting sqref="L2:L180">
    <cfRule type="cellIs" dxfId="7" priority="7" operator="greaterThan">
      <formula>7</formula>
    </cfRule>
    <cfRule type="cellIs" dxfId="6" priority="8" operator="lessThan">
      <formula>8</formula>
    </cfRule>
  </conditionalFormatting>
  <conditionalFormatting sqref="P1:P1048576">
    <cfRule type="containsText" dxfId="5" priority="5" operator="containsText" text="Completed">
      <formula>NOT(ISERROR(SEARCH("Completed",P1)))</formula>
    </cfRule>
    <cfRule type="containsText" dxfId="4" priority="6" operator="containsText" text="In-Progress">
      <formula>NOT(ISERROR(SEARCH("In-Progress",P1)))</formula>
    </cfRule>
  </conditionalFormatting>
  <conditionalFormatting sqref="R2:R4 R5:S5 R6:R1048576">
    <cfRule type="containsText" dxfId="3" priority="1" operator="containsText" text="Effectiveness Check File">
      <formula>NOT(ISERROR(SEARCH("Effectiveness Check File",R2)))</formula>
    </cfRule>
    <cfRule type="containsText" dxfId="2" priority="2" operator="containsText" text="Closed Supplier Complaints File">
      <formula>NOT(ISERROR(SEARCH("Closed Supplier Complaints File",R2)))</formula>
    </cfRule>
    <cfRule type="containsText" dxfId="1" priority="3" operator="containsText" text="E-Copy">
      <formula>NOT(ISERROR(SEARCH("E-Copy",R2)))</formula>
    </cfRule>
    <cfRule type="containsText" dxfId="0" priority="4" operator="containsText" text="Part 1 Completed">
      <formula>NOT(ISERROR(SEARCH("Part 1 Completed",R2)))</formula>
    </cfRule>
  </conditionalFormatting>
  <dataValidations count="3">
    <dataValidation type="list" allowBlank="1" showInputMessage="1" showErrorMessage="1" sqref="H2:H180" xr:uid="{B723A8B5-107B-4D3B-B275-AD8C45DDD373}">
      <formula1>"Critical, Major, Minor"</formula1>
    </dataValidation>
    <dataValidation type="list" allowBlank="1" showInputMessage="1" showErrorMessage="1" sqref="P2:P180" xr:uid="{4F84ABA9-7E13-4FBA-BD3E-FC6ED2760468}">
      <formula1>"Completed, In-Progress"</formula1>
    </dataValidation>
    <dataValidation type="list" allowBlank="1" showInputMessage="1" showErrorMessage="1" sqref="R2:R4 R6:R180 S5" xr:uid="{BD3AD2E9-3886-47F5-8B07-15E5BF17FBEA}">
      <formula1>"E-Copy, Part 1 Completed, Closed Supplier Complaints File, Effectiveness Check File"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Ahmed</dc:creator>
  <cp:lastModifiedBy>Adam Hafeji</cp:lastModifiedBy>
  <dcterms:created xsi:type="dcterms:W3CDTF">2023-06-20T11:03:41Z</dcterms:created>
  <dcterms:modified xsi:type="dcterms:W3CDTF">2026-09-01T13:58:50Z</dcterms:modified>
</cp:coreProperties>
</file>