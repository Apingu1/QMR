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N:\Quality\QA\Quality Metrics\"/>
    </mc:Choice>
  </mc:AlternateContent>
  <xr:revisionPtr revIDLastSave="0" documentId="13_ncr:1_{E6169861-D52E-4714-B9ED-F558CDA552EC}" xr6:coauthVersionLast="47" xr6:coauthVersionMax="47" xr10:uidLastSave="{00000000-0000-0000-0000-000000000000}"/>
  <bookViews>
    <workbookView xWindow="57480" yWindow="-120" windowWidth="29040" windowHeight="15720" firstSheet="1" activeTab="3" xr2:uid="{926F8A50-2E81-43D8-A957-2A57F10FA6BB}"/>
  </bookViews>
  <sheets>
    <sheet name="Static Data" sheetId="4" state="hidden" r:id="rId1"/>
    <sheet name="Deviation RC Data" sheetId="2" r:id="rId2"/>
    <sheet name="Deviation Root Cause Trending" sheetId="5" r:id="rId3"/>
    <sheet name="Complaint RC Data" sheetId="3" r:id="rId4"/>
    <sheet name="Complaint Root Cause Trending" sheetId="7" r:id="rId5"/>
  </sheets>
  <definedNames>
    <definedName name="_xlnm._FilterDatabase" localSheetId="0" hidden="1">'Static Data'!$A$1:$B$1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7" l="1"/>
  <c r="B8" i="7" s="1"/>
  <c r="K8" i="7" l="1"/>
  <c r="I8" i="7"/>
  <c r="G8" i="7"/>
  <c r="P5" i="7"/>
  <c r="P8" i="7"/>
  <c r="O8" i="7"/>
  <c r="C8" i="7"/>
  <c r="M8" i="7"/>
  <c r="L8" i="7"/>
  <c r="J8" i="7"/>
  <c r="H8" i="7"/>
  <c r="F8" i="7"/>
  <c r="E8" i="7"/>
  <c r="D8" i="7"/>
  <c r="N8" i="7"/>
  <c r="B1" i="5" l="1"/>
  <c r="F16" i="5" s="1"/>
  <c r="G5" i="7"/>
  <c r="F11" i="7" l="1"/>
  <c r="D5" i="7"/>
  <c r="R30" i="5"/>
  <c r="N15" i="7"/>
  <c r="B17" i="7"/>
  <c r="B16" i="7"/>
  <c r="P15" i="7"/>
  <c r="J13" i="7"/>
  <c r="G11" i="7"/>
  <c r="O15" i="7"/>
  <c r="M13" i="7"/>
  <c r="B4" i="7"/>
  <c r="I19" i="7"/>
  <c r="E5" i="7"/>
  <c r="I7" i="7"/>
  <c r="M9" i="7"/>
  <c r="B12" i="7"/>
  <c r="N13" i="7"/>
  <c r="J19" i="7"/>
  <c r="F5" i="7"/>
  <c r="J7" i="7"/>
  <c r="N9" i="7"/>
  <c r="C12" i="7"/>
  <c r="O13" i="7"/>
  <c r="C16" i="7"/>
  <c r="E17" i="7"/>
  <c r="K7" i="7"/>
  <c r="O9" i="7"/>
  <c r="D12" i="7"/>
  <c r="H14" i="7"/>
  <c r="D16" i="7"/>
  <c r="F17" i="7"/>
  <c r="L19" i="7"/>
  <c r="O5" i="7"/>
  <c r="L7" i="7"/>
  <c r="P9" i="7"/>
  <c r="E12" i="7"/>
  <c r="I14" i="7"/>
  <c r="E16" i="7"/>
  <c r="M19" i="7"/>
  <c r="M7" i="7"/>
  <c r="F12" i="7"/>
  <c r="J14" i="7"/>
  <c r="M16" i="7"/>
  <c r="H17" i="7"/>
  <c r="N19" i="7"/>
  <c r="C10" i="7"/>
  <c r="G12" i="7"/>
  <c r="O16" i="7"/>
  <c r="I17" i="7"/>
  <c r="O19" i="7"/>
  <c r="D10" i="7"/>
  <c r="H12" i="7"/>
  <c r="P16" i="7"/>
  <c r="C18" i="7"/>
  <c r="P19" i="7"/>
  <c r="N10" i="7"/>
  <c r="O14" i="7"/>
  <c r="D18" i="7"/>
  <c r="D4" i="7"/>
  <c r="O10" i="7"/>
  <c r="L12" i="7"/>
  <c r="E18" i="7"/>
  <c r="F4" i="7"/>
  <c r="P10" i="7"/>
  <c r="B15" i="7"/>
  <c r="F18" i="7"/>
  <c r="I6" i="7"/>
  <c r="B11" i="7"/>
  <c r="F13" i="7"/>
  <c r="C15" i="7"/>
  <c r="G18" i="7"/>
  <c r="M4" i="7"/>
  <c r="J6" i="7"/>
  <c r="C11" i="7"/>
  <c r="G13" i="7"/>
  <c r="K15" i="7"/>
  <c r="H18" i="7"/>
  <c r="N4" i="7"/>
  <c r="D11" i="7"/>
  <c r="H13" i="7"/>
  <c r="L15" i="7"/>
  <c r="I18" i="7"/>
  <c r="D7" i="7"/>
  <c r="E11" i="7"/>
  <c r="I13" i="7"/>
  <c r="K19" i="7"/>
  <c r="G17" i="7"/>
  <c r="B10" i="7"/>
  <c r="B6" i="7"/>
  <c r="K14" i="7"/>
  <c r="C6" i="7"/>
  <c r="N14" i="7"/>
  <c r="F6" i="7"/>
  <c r="I12" i="7"/>
  <c r="G6" i="7"/>
  <c r="P14" i="7"/>
  <c r="H6" i="7"/>
  <c r="E13" i="7"/>
  <c r="L4" i="7"/>
  <c r="C7" i="7"/>
  <c r="O4" i="7"/>
  <c r="K18" i="7"/>
  <c r="J18" i="7"/>
  <c r="D17" i="7"/>
  <c r="B5" i="7"/>
  <c r="L9" i="7"/>
  <c r="K9" i="7"/>
  <c r="H7" i="7"/>
  <c r="G7" i="7"/>
  <c r="C17" i="7"/>
  <c r="P4" i="7"/>
  <c r="B18" i="7"/>
  <c r="L16" i="7"/>
  <c r="J15" i="7"/>
  <c r="D13" i="7"/>
  <c r="P11" i="7"/>
  <c r="M10" i="7"/>
  <c r="J9" i="7"/>
  <c r="B7" i="7"/>
  <c r="N5" i="7"/>
  <c r="K4" i="7"/>
  <c r="H19" i="7"/>
  <c r="O17" i="7"/>
  <c r="K16" i="7"/>
  <c r="F14" i="7"/>
  <c r="O11" i="7"/>
  <c r="I9" i="7"/>
  <c r="P6" i="7"/>
  <c r="J4" i="7"/>
  <c r="P18" i="7"/>
  <c r="H15" i="7"/>
  <c r="B13" i="7"/>
  <c r="F9" i="7"/>
  <c r="O6" i="7"/>
  <c r="F19" i="7"/>
  <c r="O18" i="7"/>
  <c r="M17" i="7"/>
  <c r="I16" i="7"/>
  <c r="G15" i="7"/>
  <c r="D14" i="7"/>
  <c r="P12" i="7"/>
  <c r="M11" i="7"/>
  <c r="J10" i="7"/>
  <c r="E9" i="7"/>
  <c r="N6" i="7"/>
  <c r="K5" i="7"/>
  <c r="H4" i="7"/>
  <c r="E19" i="7"/>
  <c r="I15" i="7"/>
  <c r="C13" i="7"/>
  <c r="L10" i="7"/>
  <c r="M5" i="7"/>
  <c r="G19" i="7"/>
  <c r="N17" i="7"/>
  <c r="J16" i="7"/>
  <c r="E14" i="7"/>
  <c r="N11" i="7"/>
  <c r="K10" i="7"/>
  <c r="L5" i="7"/>
  <c r="I4" i="7"/>
  <c r="N18" i="7"/>
  <c r="L17" i="7"/>
  <c r="H16" i="7"/>
  <c r="F15" i="7"/>
  <c r="C14" i="7"/>
  <c r="O12" i="7"/>
  <c r="L11" i="7"/>
  <c r="G10" i="7"/>
  <c r="D9" i="7"/>
  <c r="P7" i="7"/>
  <c r="M6" i="7"/>
  <c r="J5" i="7"/>
  <c r="G4" i="7"/>
  <c r="D19" i="7"/>
  <c r="G14" i="7"/>
  <c r="M18" i="7"/>
  <c r="K17" i="7"/>
  <c r="G16" i="7"/>
  <c r="E15" i="7"/>
  <c r="B14" i="7"/>
  <c r="N12" i="7"/>
  <c r="K11" i="7"/>
  <c r="F10" i="7"/>
  <c r="C9" i="7"/>
  <c r="O7" i="7"/>
  <c r="L6" i="7"/>
  <c r="I5" i="7"/>
  <c r="C19" i="7"/>
  <c r="L18" i="7"/>
  <c r="J17" i="7"/>
  <c r="F16" i="7"/>
  <c r="D15" i="7"/>
  <c r="P13" i="7"/>
  <c r="M12" i="7"/>
  <c r="H11" i="7"/>
  <c r="E10" i="7"/>
  <c r="B9" i="7"/>
  <c r="N7" i="7"/>
  <c r="K6" i="7"/>
  <c r="H5" i="7"/>
  <c r="E4" i="7"/>
  <c r="B19" i="7"/>
  <c r="M14" i="7"/>
  <c r="L13" i="7"/>
  <c r="K12" i="7"/>
  <c r="J11" i="7"/>
  <c r="I10" i="7"/>
  <c r="H9" i="7"/>
  <c r="F7" i="7"/>
  <c r="E6" i="7"/>
  <c r="C4" i="7"/>
  <c r="P17" i="7"/>
  <c r="N16" i="7"/>
  <c r="M15" i="7"/>
  <c r="L14" i="7"/>
  <c r="K13" i="7"/>
  <c r="J12" i="7"/>
  <c r="I11" i="7"/>
  <c r="H10" i="7"/>
  <c r="G9" i="7"/>
  <c r="E7" i="7"/>
  <c r="D6" i="7"/>
  <c r="C5" i="7"/>
  <c r="B3" i="7"/>
  <c r="O3" i="7"/>
  <c r="H3" i="7"/>
  <c r="F3" i="7"/>
  <c r="D3" i="7"/>
  <c r="P3" i="7"/>
  <c r="N3" i="7"/>
  <c r="M3" i="7"/>
  <c r="L3" i="7"/>
  <c r="K3" i="7"/>
  <c r="J3" i="7"/>
  <c r="I3" i="7"/>
  <c r="G3" i="7"/>
  <c r="E3" i="7"/>
  <c r="C3" i="7"/>
  <c r="M10" i="5"/>
  <c r="S12" i="5"/>
  <c r="R13" i="5"/>
  <c r="T13" i="5"/>
  <c r="C26" i="5"/>
  <c r="G27" i="5"/>
  <c r="C14" i="5"/>
  <c r="I29" i="5"/>
  <c r="B14" i="5"/>
  <c r="B30" i="5"/>
  <c r="N17" i="5"/>
  <c r="M5" i="5"/>
  <c r="T17" i="5"/>
  <c r="N5" i="5"/>
  <c r="B18" i="5"/>
  <c r="Q5" i="5"/>
  <c r="C18" i="5"/>
  <c r="R5" i="5"/>
  <c r="Q21" i="5"/>
  <c r="E6" i="5"/>
  <c r="R21" i="5"/>
  <c r="E9" i="5"/>
  <c r="E22" i="5"/>
  <c r="F9" i="5"/>
  <c r="F22" i="5"/>
  <c r="L9" i="5"/>
  <c r="Q25" i="5"/>
  <c r="K10" i="5"/>
  <c r="B26" i="5"/>
  <c r="O10" i="5"/>
  <c r="K27" i="5"/>
  <c r="G7" i="5"/>
  <c r="R23" i="5"/>
  <c r="R3" i="5"/>
  <c r="H7" i="5"/>
  <c r="N15" i="5"/>
  <c r="S3" i="5"/>
  <c r="F11" i="5"/>
  <c r="C28" i="5"/>
  <c r="L7" i="5"/>
  <c r="C24" i="5"/>
  <c r="D4" i="5"/>
  <c r="R7" i="5"/>
  <c r="G12" i="5"/>
  <c r="T15" i="5"/>
  <c r="D20" i="5"/>
  <c r="F25" i="5"/>
  <c r="E4" i="5"/>
  <c r="Q8" i="5"/>
  <c r="H12" i="5"/>
  <c r="G16" i="5"/>
  <c r="E20" i="5"/>
  <c r="L25" i="5"/>
  <c r="P29" i="5"/>
  <c r="H27" i="5"/>
  <c r="F18" i="5"/>
  <c r="L23" i="5"/>
  <c r="O19" i="5"/>
  <c r="P19" i="5"/>
  <c r="O15" i="5"/>
  <c r="S15" i="5"/>
  <c r="S8" i="5"/>
  <c r="H16" i="5"/>
  <c r="J21" i="5"/>
  <c r="M25" i="5"/>
  <c r="Q29" i="5"/>
  <c r="D7" i="5"/>
  <c r="K23" i="5"/>
  <c r="G14" i="5"/>
  <c r="M14" i="5"/>
  <c r="S23" i="5"/>
  <c r="R19" i="5"/>
  <c r="S19" i="5"/>
  <c r="L12" i="5"/>
  <c r="L21" i="5"/>
  <c r="N25" i="5"/>
  <c r="R29" i="5"/>
  <c r="E18" i="5"/>
  <c r="G23" i="5"/>
  <c r="N10" i="5"/>
  <c r="F14" i="5"/>
  <c r="J27" i="5"/>
  <c r="F7" i="5"/>
  <c r="N19" i="5"/>
  <c r="P3" i="5"/>
  <c r="R10" i="5"/>
  <c r="O27" i="5"/>
  <c r="S10" i="5"/>
  <c r="P27" i="5"/>
  <c r="K7" i="5"/>
  <c r="T23" i="5"/>
  <c r="T3" i="5"/>
  <c r="E12" i="5"/>
  <c r="E29" i="5"/>
  <c r="K4" i="5"/>
  <c r="I12" i="5"/>
  <c r="J5" i="5"/>
  <c r="T8" i="5"/>
  <c r="I16" i="5"/>
  <c r="L5" i="5"/>
  <c r="B9" i="5"/>
  <c r="M12" i="5"/>
  <c r="M17" i="5"/>
  <c r="M21" i="5"/>
  <c r="P25" i="5"/>
  <c r="T29" i="5"/>
  <c r="F30" i="5"/>
  <c r="B3" i="5"/>
  <c r="M4" i="5"/>
  <c r="G6" i="5"/>
  <c r="T7" i="5"/>
  <c r="N9" i="5"/>
  <c r="H11" i="5"/>
  <c r="B13" i="5"/>
  <c r="O14" i="5"/>
  <c r="L16" i="5"/>
  <c r="K18" i="5"/>
  <c r="L20" i="5"/>
  <c r="I22" i="5"/>
  <c r="H24" i="5"/>
  <c r="I26" i="5"/>
  <c r="E28" i="5"/>
  <c r="G30" i="5"/>
  <c r="C3" i="5"/>
  <c r="O4" i="5"/>
  <c r="I6" i="5"/>
  <c r="C8" i="5"/>
  <c r="P9" i="5"/>
  <c r="J11" i="5"/>
  <c r="D13" i="5"/>
  <c r="Q14" i="5"/>
  <c r="P16" i="5"/>
  <c r="Q18" i="5"/>
  <c r="M20" i="5"/>
  <c r="J22" i="5"/>
  <c r="I24" i="5"/>
  <c r="J26" i="5"/>
  <c r="G28" i="5"/>
  <c r="I30" i="5"/>
  <c r="D3" i="5"/>
  <c r="P4" i="5"/>
  <c r="J6" i="5"/>
  <c r="D8" i="5"/>
  <c r="Q9" i="5"/>
  <c r="K11" i="5"/>
  <c r="E13" i="5"/>
  <c r="R14" i="5"/>
  <c r="Q16" i="5"/>
  <c r="R18" i="5"/>
  <c r="O20" i="5"/>
  <c r="N22" i="5"/>
  <c r="O24" i="5"/>
  <c r="K26" i="5"/>
  <c r="H28" i="5"/>
  <c r="M30" i="5"/>
  <c r="G3" i="5"/>
  <c r="Q4" i="5"/>
  <c r="K6" i="5"/>
  <c r="E8" i="5"/>
  <c r="R9" i="5"/>
  <c r="L11" i="5"/>
  <c r="F13" i="5"/>
  <c r="C15" i="5"/>
  <c r="D17" i="5"/>
  <c r="S18" i="5"/>
  <c r="P20" i="5"/>
  <c r="O22" i="5"/>
  <c r="P24" i="5"/>
  <c r="M26" i="5"/>
  <c r="L28" i="5"/>
  <c r="N30" i="5"/>
  <c r="H3" i="5"/>
  <c r="T4" i="5"/>
  <c r="N6" i="5"/>
  <c r="H8" i="5"/>
  <c r="B10" i="5"/>
  <c r="O11" i="5"/>
  <c r="I13" i="5"/>
  <c r="D15" i="5"/>
  <c r="E17" i="5"/>
  <c r="B19" i="5"/>
  <c r="T20" i="5"/>
  <c r="B23" i="5"/>
  <c r="Q24" i="5"/>
  <c r="N26" i="5"/>
  <c r="S28" i="5"/>
  <c r="O30" i="5"/>
  <c r="P11" i="5"/>
  <c r="L4" i="5"/>
  <c r="F6" i="5"/>
  <c r="S7" i="5"/>
  <c r="M9" i="5"/>
  <c r="G11" i="5"/>
  <c r="T12" i="5"/>
  <c r="N14" i="5"/>
  <c r="K16" i="5"/>
  <c r="J18" i="5"/>
  <c r="G22" i="5"/>
  <c r="D24" i="5"/>
  <c r="D28" i="5"/>
  <c r="I3" i="5"/>
  <c r="B5" i="5"/>
  <c r="O6" i="5"/>
  <c r="I8" i="5"/>
  <c r="C10" i="5"/>
  <c r="J13" i="5"/>
  <c r="J15" i="5"/>
  <c r="F17" i="5"/>
  <c r="C19" i="5"/>
  <c r="B21" i="5"/>
  <c r="C23" i="5"/>
  <c r="S24" i="5"/>
  <c r="R26" i="5"/>
  <c r="T28" i="5"/>
  <c r="Q30" i="5"/>
  <c r="N3" i="5"/>
  <c r="H5" i="5"/>
  <c r="B7" i="5"/>
  <c r="O8" i="5"/>
  <c r="I10" i="5"/>
  <c r="C12" i="5"/>
  <c r="P13" i="5"/>
  <c r="K15" i="5"/>
  <c r="H17" i="5"/>
  <c r="G19" i="5"/>
  <c r="H21" i="5"/>
  <c r="D23" i="5"/>
  <c r="T24" i="5"/>
  <c r="S26" i="5"/>
  <c r="B29" i="5"/>
  <c r="S30" i="5"/>
  <c r="O3" i="5"/>
  <c r="I5" i="5"/>
  <c r="C7" i="5"/>
  <c r="P8" i="5"/>
  <c r="J10" i="5"/>
  <c r="D12" i="5"/>
  <c r="Q13" i="5"/>
  <c r="L15" i="5"/>
  <c r="I17" i="5"/>
  <c r="H19" i="5"/>
  <c r="I21" i="5"/>
  <c r="F23" i="5"/>
  <c r="E25" i="5"/>
  <c r="F27" i="5"/>
  <c r="D29" i="5"/>
  <c r="T30" i="5"/>
  <c r="S14" i="5"/>
  <c r="P15" i="5"/>
  <c r="M16" i="5"/>
  <c r="J17" i="5"/>
  <c r="G18" i="5"/>
  <c r="D19" i="5"/>
  <c r="T19" i="5"/>
  <c r="Q20" i="5"/>
  <c r="N21" i="5"/>
  <c r="K22" i="5"/>
  <c r="H23" i="5"/>
  <c r="E24" i="5"/>
  <c r="B25" i="5"/>
  <c r="R25" i="5"/>
  <c r="O26" i="5"/>
  <c r="L27" i="5"/>
  <c r="I28" i="5"/>
  <c r="F29" i="5"/>
  <c r="C30" i="5"/>
  <c r="E3" i="5"/>
  <c r="B4" i="5"/>
  <c r="R4" i="5"/>
  <c r="O5" i="5"/>
  <c r="L6" i="5"/>
  <c r="I7" i="5"/>
  <c r="F8" i="5"/>
  <c r="C9" i="5"/>
  <c r="S9" i="5"/>
  <c r="P10" i="5"/>
  <c r="M11" i="5"/>
  <c r="J12" i="5"/>
  <c r="G13" i="5"/>
  <c r="D14" i="5"/>
  <c r="T14" i="5"/>
  <c r="Q15" i="5"/>
  <c r="N16" i="5"/>
  <c r="K17" i="5"/>
  <c r="H18" i="5"/>
  <c r="E19" i="5"/>
  <c r="R20" i="5"/>
  <c r="O21" i="5"/>
  <c r="L22" i="5"/>
  <c r="I23" i="5"/>
  <c r="F24" i="5"/>
  <c r="C25" i="5"/>
  <c r="S25" i="5"/>
  <c r="P26" i="5"/>
  <c r="M27" i="5"/>
  <c r="J28" i="5"/>
  <c r="G29" i="5"/>
  <c r="D30" i="5"/>
  <c r="F3" i="5"/>
  <c r="C4" i="5"/>
  <c r="S4" i="5"/>
  <c r="P5" i="5"/>
  <c r="M6" i="5"/>
  <c r="J7" i="5"/>
  <c r="G8" i="5"/>
  <c r="D9" i="5"/>
  <c r="T9" i="5"/>
  <c r="Q10" i="5"/>
  <c r="N11" i="5"/>
  <c r="K12" i="5"/>
  <c r="H13" i="5"/>
  <c r="E14" i="5"/>
  <c r="B15" i="5"/>
  <c r="R15" i="5"/>
  <c r="O16" i="5"/>
  <c r="L17" i="5"/>
  <c r="I18" i="5"/>
  <c r="F19" i="5"/>
  <c r="C20" i="5"/>
  <c r="S20" i="5"/>
  <c r="P21" i="5"/>
  <c r="M22" i="5"/>
  <c r="J23" i="5"/>
  <c r="G24" i="5"/>
  <c r="D25" i="5"/>
  <c r="T25" i="5"/>
  <c r="Q26" i="5"/>
  <c r="N27" i="5"/>
  <c r="K28" i="5"/>
  <c r="H29" i="5"/>
  <c r="E30" i="5"/>
  <c r="H30" i="5"/>
  <c r="S21" i="5"/>
  <c r="C5" i="5"/>
  <c r="P6" i="5"/>
  <c r="J8" i="5"/>
  <c r="G9" i="5"/>
  <c r="T10" i="5"/>
  <c r="N12" i="5"/>
  <c r="H14" i="5"/>
  <c r="B16" i="5"/>
  <c r="R16" i="5"/>
  <c r="L18" i="5"/>
  <c r="I19" i="5"/>
  <c r="C21" i="5"/>
  <c r="M23" i="5"/>
  <c r="G25" i="5"/>
  <c r="D26" i="5"/>
  <c r="Q27" i="5"/>
  <c r="N28" i="5"/>
  <c r="J3" i="5"/>
  <c r="D5" i="5"/>
  <c r="T5" i="5"/>
  <c r="N7" i="5"/>
  <c r="H9" i="5"/>
  <c r="R11" i="5"/>
  <c r="L13" i="5"/>
  <c r="F15" i="5"/>
  <c r="P17" i="5"/>
  <c r="M18" i="5"/>
  <c r="G20" i="5"/>
  <c r="T21" i="5"/>
  <c r="N23" i="5"/>
  <c r="H25" i="5"/>
  <c r="E26" i="5"/>
  <c r="R27" i="5"/>
  <c r="O28" i="5"/>
  <c r="K3" i="5"/>
  <c r="E5" i="5"/>
  <c r="B6" i="5"/>
  <c r="O7" i="5"/>
  <c r="I9" i="5"/>
  <c r="S11" i="5"/>
  <c r="M13" i="5"/>
  <c r="G15" i="5"/>
  <c r="T16" i="5"/>
  <c r="N18" i="5"/>
  <c r="B22" i="5"/>
  <c r="R22" i="5"/>
  <c r="L24" i="5"/>
  <c r="F26" i="5"/>
  <c r="C27" i="5"/>
  <c r="P28" i="5"/>
  <c r="J30" i="5"/>
  <c r="L3" i="5"/>
  <c r="I4" i="5"/>
  <c r="F5" i="5"/>
  <c r="C6" i="5"/>
  <c r="S6" i="5"/>
  <c r="P7" i="5"/>
  <c r="M8" i="5"/>
  <c r="J9" i="5"/>
  <c r="G10" i="5"/>
  <c r="D11" i="5"/>
  <c r="T11" i="5"/>
  <c r="Q12" i="5"/>
  <c r="N13" i="5"/>
  <c r="K14" i="5"/>
  <c r="H15" i="5"/>
  <c r="E16" i="5"/>
  <c r="B17" i="5"/>
  <c r="R17" i="5"/>
  <c r="O18" i="5"/>
  <c r="L19" i="5"/>
  <c r="I20" i="5"/>
  <c r="F21" i="5"/>
  <c r="C22" i="5"/>
  <c r="S22" i="5"/>
  <c r="P23" i="5"/>
  <c r="M24" i="5"/>
  <c r="J25" i="5"/>
  <c r="G26" i="5"/>
  <c r="D27" i="5"/>
  <c r="T27" i="5"/>
  <c r="Q28" i="5"/>
  <c r="N29" i="5"/>
  <c r="K30" i="5"/>
  <c r="M28" i="5"/>
  <c r="J29" i="5"/>
  <c r="F4" i="5"/>
  <c r="S5" i="5"/>
  <c r="M7" i="5"/>
  <c r="D10" i="5"/>
  <c r="Q11" i="5"/>
  <c r="K13" i="5"/>
  <c r="E15" i="5"/>
  <c r="O17" i="5"/>
  <c r="F20" i="5"/>
  <c r="P22" i="5"/>
  <c r="J24" i="5"/>
  <c r="T26" i="5"/>
  <c r="K29" i="5"/>
  <c r="G4" i="5"/>
  <c r="Q6" i="5"/>
  <c r="K8" i="5"/>
  <c r="E10" i="5"/>
  <c r="B11" i="5"/>
  <c r="O12" i="5"/>
  <c r="I14" i="5"/>
  <c r="C16" i="5"/>
  <c r="S16" i="5"/>
  <c r="J19" i="5"/>
  <c r="D21" i="5"/>
  <c r="Q22" i="5"/>
  <c r="K24" i="5"/>
  <c r="B27" i="5"/>
  <c r="L29" i="5"/>
  <c r="H4" i="5"/>
  <c r="R6" i="5"/>
  <c r="L8" i="5"/>
  <c r="F10" i="5"/>
  <c r="C11" i="5"/>
  <c r="P12" i="5"/>
  <c r="J14" i="5"/>
  <c r="D16" i="5"/>
  <c r="Q17" i="5"/>
  <c r="K19" i="5"/>
  <c r="E21" i="5"/>
  <c r="O23" i="5"/>
  <c r="I25" i="5"/>
  <c r="S27" i="5"/>
  <c r="M29" i="5"/>
  <c r="M3" i="5"/>
  <c r="J4" i="5"/>
  <c r="G5" i="5"/>
  <c r="D6" i="5"/>
  <c r="T6" i="5"/>
  <c r="Q7" i="5"/>
  <c r="N8" i="5"/>
  <c r="K9" i="5"/>
  <c r="H10" i="5"/>
  <c r="E11" i="5"/>
  <c r="B12" i="5"/>
  <c r="R12" i="5"/>
  <c r="O13" i="5"/>
  <c r="L14" i="5"/>
  <c r="I15" i="5"/>
  <c r="C17" i="5"/>
  <c r="S17" i="5"/>
  <c r="P18" i="5"/>
  <c r="M19" i="5"/>
  <c r="J20" i="5"/>
  <c r="G21" i="5"/>
  <c r="D22" i="5"/>
  <c r="T22" i="5"/>
  <c r="Q23" i="5"/>
  <c r="N24" i="5"/>
  <c r="K25" i="5"/>
  <c r="H26" i="5"/>
  <c r="E27" i="5"/>
  <c r="B28" i="5"/>
  <c r="R28" i="5"/>
  <c r="O29" i="5"/>
  <c r="L30" i="5"/>
  <c r="Q3" i="5"/>
  <c r="N4" i="5"/>
  <c r="K5" i="5"/>
  <c r="H6" i="5"/>
  <c r="E7" i="5"/>
  <c r="B8" i="5"/>
  <c r="R8" i="5"/>
  <c r="O9" i="5"/>
  <c r="L10" i="5"/>
  <c r="I11" i="5"/>
  <c r="F12" i="5"/>
  <c r="C13" i="5"/>
  <c r="S13" i="5"/>
  <c r="P14" i="5"/>
  <c r="M15" i="5"/>
  <c r="J16" i="5"/>
  <c r="G17" i="5"/>
  <c r="D18" i="5"/>
  <c r="T18" i="5"/>
  <c r="Q19" i="5"/>
  <c r="N20" i="5"/>
  <c r="K21" i="5"/>
  <c r="H22" i="5"/>
  <c r="E23" i="5"/>
  <c r="B24" i="5"/>
  <c r="R24" i="5"/>
  <c r="O25" i="5"/>
  <c r="L26" i="5"/>
  <c r="I27" i="5"/>
  <c r="F28" i="5"/>
  <c r="C29" i="5"/>
  <c r="S29" i="5"/>
  <c r="P30" i="5"/>
</calcChain>
</file>

<file path=xl/sharedStrings.xml><?xml version="1.0" encoding="utf-8"?>
<sst xmlns="http://schemas.openxmlformats.org/spreadsheetml/2006/main" count="1205" uniqueCount="360">
  <si>
    <t>DEV.2024.040</t>
  </si>
  <si>
    <t>DEV.2024.039</t>
  </si>
  <si>
    <t>DEV.2024.038</t>
  </si>
  <si>
    <t>DEV.2024.037</t>
  </si>
  <si>
    <t>DEV.2024.036</t>
  </si>
  <si>
    <t>DEV.2024.035</t>
  </si>
  <si>
    <t>DEV.2024.034</t>
  </si>
  <si>
    <t>DEV.2024.033</t>
  </si>
  <si>
    <t>DEV.2024.032</t>
  </si>
  <si>
    <t>DEV.2024.031</t>
  </si>
  <si>
    <t>DEV.2024.030</t>
  </si>
  <si>
    <t>DEV.2024.029</t>
  </si>
  <si>
    <t>DEV.2024.028</t>
  </si>
  <si>
    <t>DEV.2024.027</t>
  </si>
  <si>
    <t>DEV.2024.026</t>
  </si>
  <si>
    <t>DEV.2024.025</t>
  </si>
  <si>
    <t>DEV.2024.024</t>
  </si>
  <si>
    <t>DEV.2024.023</t>
  </si>
  <si>
    <t>DEV.2024.022</t>
  </si>
  <si>
    <t>DEV.2024.021</t>
  </si>
  <si>
    <t>DEV.2024.020</t>
  </si>
  <si>
    <t>DEV.2024.019</t>
  </si>
  <si>
    <t>DEV.2024.018</t>
  </si>
  <si>
    <t>DEV.2024.017</t>
  </si>
  <si>
    <t>DEV.2024.016</t>
  </si>
  <si>
    <t>DEV.2024.015</t>
  </si>
  <si>
    <t>DEV.2024.014</t>
  </si>
  <si>
    <t>DEV.2024.013</t>
  </si>
  <si>
    <t>DEV.2024.012</t>
  </si>
  <si>
    <t>DEV.2024.011</t>
  </si>
  <si>
    <t>x</t>
  </si>
  <si>
    <t>DEV.2024.010</t>
  </si>
  <si>
    <t>Product manufacturing</t>
  </si>
  <si>
    <t>DEV.2024.009</t>
  </si>
  <si>
    <t>DEV.2024.008</t>
  </si>
  <si>
    <t>DEV.2024.007</t>
  </si>
  <si>
    <t>DEV.2024.006</t>
  </si>
  <si>
    <t>DEV.2024.005</t>
  </si>
  <si>
    <t>DEV.2024.004</t>
  </si>
  <si>
    <t>QC Annual performance qualification</t>
  </si>
  <si>
    <t>DEV.2024.003</t>
  </si>
  <si>
    <t>DEV.2024.002</t>
  </si>
  <si>
    <t>QC testing</t>
  </si>
  <si>
    <t>DEV.2024.001</t>
  </si>
  <si>
    <t>No procedure in place</t>
  </si>
  <si>
    <t>Equipment Fault - wear and tear</t>
  </si>
  <si>
    <t>Procedure is defficient</t>
  </si>
  <si>
    <t>Root Causes Identified</t>
  </si>
  <si>
    <t>Deviation area (Processes and activities)</t>
  </si>
  <si>
    <t xml:space="preserve">Document Reference </t>
  </si>
  <si>
    <t>GMP.CPL.2024.001</t>
  </si>
  <si>
    <t>GMP.CPL.2024.002</t>
  </si>
  <si>
    <t>GMP.CPL.2024.003</t>
  </si>
  <si>
    <t>GMP.CPL.2024.004</t>
  </si>
  <si>
    <t>GMP.CPL.2024.005</t>
  </si>
  <si>
    <t>GMP.CPL.2024.006</t>
  </si>
  <si>
    <t>GMP.CPL.2024.007</t>
  </si>
  <si>
    <t>GMP.CPL.2024.008</t>
  </si>
  <si>
    <t>GMP.CPL.2024.009</t>
  </si>
  <si>
    <t>GMP.CPL.2024.010</t>
  </si>
  <si>
    <t>GMP.CPL.2023.001</t>
  </si>
  <si>
    <t>GMP.CPL.2023.002</t>
  </si>
  <si>
    <t>GMP.CPL.2023.003</t>
  </si>
  <si>
    <t>GMP.CPL.2023.004</t>
  </si>
  <si>
    <t>GMP.CPL.2023.005</t>
  </si>
  <si>
    <t>GMP.CPL.2023.006</t>
  </si>
  <si>
    <t>GMP.CPL.2023.007</t>
  </si>
  <si>
    <t>GMP.CPL.2023.008</t>
  </si>
  <si>
    <t>GMP.CPL.2023.009</t>
  </si>
  <si>
    <t>GMP.CPL.2023.010</t>
  </si>
  <si>
    <t>GMP.CPL.2023.011</t>
  </si>
  <si>
    <t>GMP.CPL.2023.012</t>
  </si>
  <si>
    <t>GMP.CPL.2023.013</t>
  </si>
  <si>
    <t>GMP.CPL.2023.014</t>
  </si>
  <si>
    <t>GMP.CPL.2023.015</t>
  </si>
  <si>
    <t>GMP.CPL.2023.016</t>
  </si>
  <si>
    <t>GMP.CPL.2023.017</t>
  </si>
  <si>
    <t>GMP.CPL.2023.018</t>
  </si>
  <si>
    <t>GMP.CPL.2023.019</t>
  </si>
  <si>
    <t>GMP.CPL.2023.020</t>
  </si>
  <si>
    <t>GMP.CPL.2023.021</t>
  </si>
  <si>
    <t>GMP.CPL.2023.022</t>
  </si>
  <si>
    <t>GMP.CPL.2024.011</t>
  </si>
  <si>
    <t xml:space="preserve">Document reference </t>
  </si>
  <si>
    <t>ROOT CAUSES IDENTIFIED</t>
  </si>
  <si>
    <t>Type of GMP Complaint</t>
  </si>
  <si>
    <t>Root cause not determined</t>
  </si>
  <si>
    <t>Validation /Calibration</t>
  </si>
  <si>
    <t>Human error</t>
  </si>
  <si>
    <t>Other</t>
  </si>
  <si>
    <t>Equipment</t>
  </si>
  <si>
    <t>Environmental factors</t>
  </si>
  <si>
    <t>Stability</t>
  </si>
  <si>
    <t xml:space="preserve">Lack of response from customer </t>
  </si>
  <si>
    <t>AE / ADRs</t>
  </si>
  <si>
    <t>Strength</t>
  </si>
  <si>
    <t>Product Appearance</t>
  </si>
  <si>
    <t>Delivery</t>
  </si>
  <si>
    <t>Labelling / PIL</t>
  </si>
  <si>
    <t>OTHER</t>
  </si>
  <si>
    <t>Faulty product</t>
  </si>
  <si>
    <t>Product storage</t>
  </si>
  <si>
    <t>QC</t>
  </si>
  <si>
    <t>QA</t>
  </si>
  <si>
    <t>BMR</t>
  </si>
  <si>
    <t>Internal Audits</t>
  </si>
  <si>
    <t>QC samples</t>
  </si>
  <si>
    <t>QC Standards</t>
  </si>
  <si>
    <t>Third party Product Release</t>
  </si>
  <si>
    <t>R&amp;D</t>
  </si>
  <si>
    <t>Production</t>
  </si>
  <si>
    <t>Quality Assurance</t>
  </si>
  <si>
    <t>Dispatch</t>
  </si>
  <si>
    <t>Customer Service</t>
  </si>
  <si>
    <t>CBPM</t>
  </si>
  <si>
    <t>Procurement</t>
  </si>
  <si>
    <t>Finance</t>
  </si>
  <si>
    <t>Labelling</t>
  </si>
  <si>
    <t>Cleaning</t>
  </si>
  <si>
    <t>Documentation</t>
  </si>
  <si>
    <t>Environmental Monitoring</t>
  </si>
  <si>
    <t>Temperature excursion</t>
  </si>
  <si>
    <t>Final release</t>
  </si>
  <si>
    <t xml:space="preserve">BMR generation </t>
  </si>
  <si>
    <t>GMP.CPL.2024.012</t>
  </si>
  <si>
    <t xml:space="preserve"> </t>
  </si>
  <si>
    <t>Product processing</t>
  </si>
  <si>
    <t>Production, R&amp;D</t>
  </si>
  <si>
    <t>Production2</t>
  </si>
  <si>
    <t>Non-Conforming Product</t>
  </si>
  <si>
    <t>Event Logging Procedure</t>
  </si>
  <si>
    <t>Temperature monitoring</t>
  </si>
  <si>
    <t>SLT</t>
  </si>
  <si>
    <t xml:space="preserve">Dispatch cleaning procedure </t>
  </si>
  <si>
    <t xml:space="preserve">Production </t>
  </si>
  <si>
    <t>DEV.2024.041</t>
  </si>
  <si>
    <t>DEV.2024.042</t>
  </si>
  <si>
    <t>DEV.2024.043</t>
  </si>
  <si>
    <t>DEV.2024.044</t>
  </si>
  <si>
    <t>DEV.2024.045</t>
  </si>
  <si>
    <t>DEV.2024.046</t>
  </si>
  <si>
    <t>DEV.2024.047</t>
  </si>
  <si>
    <t>DEV.2024.048</t>
  </si>
  <si>
    <t>CBPM Shipment</t>
  </si>
  <si>
    <t xml:space="preserve">Miscommunication with supplier </t>
  </si>
  <si>
    <t>Environmental monitoring</t>
  </si>
  <si>
    <t xml:space="preserve">Product mixup </t>
  </si>
  <si>
    <t xml:space="preserve">BMR Generation </t>
  </si>
  <si>
    <t>Product Efficacy</t>
  </si>
  <si>
    <t>Product quantity</t>
  </si>
  <si>
    <t>Product expiry</t>
  </si>
  <si>
    <t>Department that logged deviation</t>
  </si>
  <si>
    <t>Material</t>
  </si>
  <si>
    <t>R&amp;D2</t>
  </si>
  <si>
    <t>Finance2</t>
  </si>
  <si>
    <t xml:space="preserve">Customer Service </t>
  </si>
  <si>
    <t xml:space="preserve">Cant be established </t>
  </si>
  <si>
    <t xml:space="preserve">Customer mistake </t>
  </si>
  <si>
    <t xml:space="preserve">External </t>
  </si>
  <si>
    <t xml:space="preserve">Who is responsible for root cause </t>
  </si>
  <si>
    <t>Product formulation</t>
  </si>
  <si>
    <t>Data integrity</t>
  </si>
  <si>
    <t>Department Responsible for Root Causes</t>
  </si>
  <si>
    <t>Product scent</t>
  </si>
  <si>
    <t xml:space="preserve">Where the deviation happened </t>
  </si>
  <si>
    <t>Picking process and current dispensary stock</t>
  </si>
  <si>
    <t>product unsuitable for patient</t>
  </si>
  <si>
    <t>GMP.CPL.2024.013</t>
  </si>
  <si>
    <t>GMP.CPL.2024.014</t>
  </si>
  <si>
    <t>GMP.CPL.2024.015</t>
  </si>
  <si>
    <t xml:space="preserve">Training / skills / knowledge issue </t>
  </si>
  <si>
    <t>Environmental Conditions</t>
  </si>
  <si>
    <t>Facility Issue</t>
  </si>
  <si>
    <t>Date Raised</t>
  </si>
  <si>
    <t>DEV.2024.049</t>
  </si>
  <si>
    <t>DEV.2024.050</t>
  </si>
  <si>
    <t>DEV.2024.051</t>
  </si>
  <si>
    <t>DEV.2024.052</t>
  </si>
  <si>
    <t>DEV.2024.053</t>
  </si>
  <si>
    <t>DEV.2024.054</t>
  </si>
  <si>
    <t>DEV.2024.055</t>
  </si>
  <si>
    <t>DEV.2024.056</t>
  </si>
  <si>
    <t>DEV.2024.057</t>
  </si>
  <si>
    <t>DEV.2024.058</t>
  </si>
  <si>
    <t>DEV.2025.001</t>
  </si>
  <si>
    <t>DEV.2025.002</t>
  </si>
  <si>
    <t>DEV.2025.003</t>
  </si>
  <si>
    <t>X</t>
  </si>
  <si>
    <t xml:space="preserve">Formulation issue </t>
  </si>
  <si>
    <t>Communication issue</t>
  </si>
  <si>
    <t>Inadequate storage</t>
  </si>
  <si>
    <t>Equipment availability</t>
  </si>
  <si>
    <t>Staff Availability</t>
  </si>
  <si>
    <t>Inadequate Planning</t>
  </si>
  <si>
    <t>IT/System Issues</t>
  </si>
  <si>
    <t>GDocP not followed</t>
  </si>
  <si>
    <t>Material / Consumables Availability</t>
  </si>
  <si>
    <t>Inadequate Material / Consumables</t>
  </si>
  <si>
    <t xml:space="preserve">Final Release </t>
  </si>
  <si>
    <t>QA2</t>
  </si>
  <si>
    <t>QC2</t>
  </si>
  <si>
    <t>Dispatch2</t>
  </si>
  <si>
    <t>SLT2</t>
  </si>
  <si>
    <t>Customer Service2</t>
  </si>
  <si>
    <t>Procurement2</t>
  </si>
  <si>
    <t>Other Departments</t>
  </si>
  <si>
    <t>Equipment validation</t>
  </si>
  <si>
    <t>Planned deviation</t>
  </si>
  <si>
    <t>Other - Transport</t>
  </si>
  <si>
    <t xml:space="preserve">No alarm in the back door of the delivey van </t>
  </si>
  <si>
    <t>Transport</t>
  </si>
  <si>
    <t>location of the comark transmitter</t>
  </si>
  <si>
    <t>Product Formulation</t>
  </si>
  <si>
    <t>Product appearance</t>
  </si>
  <si>
    <t xml:space="preserve">Equipment Fault </t>
  </si>
  <si>
    <t>Training / skills / knowledge issue</t>
  </si>
  <si>
    <t>End user error</t>
  </si>
  <si>
    <t>Root cause inconclusive</t>
  </si>
  <si>
    <t>Damage during transportation/mishandled by courier</t>
  </si>
  <si>
    <t>Inadequate segregation of raw materials</t>
  </si>
  <si>
    <t>IT/System issues</t>
  </si>
  <si>
    <t>Formulation Issue</t>
  </si>
  <si>
    <t>Inadequate segregation of products</t>
  </si>
  <si>
    <t>Manufacturers processes are deficient</t>
  </si>
  <si>
    <t>Product codes are very similar and indistinguishable. require more segregation</t>
  </si>
  <si>
    <t>Poor segregation and identification of Medisource BMRs</t>
  </si>
  <si>
    <t>GMP.CPL.2024.016</t>
  </si>
  <si>
    <t>GMP.CPL.2025.003</t>
  </si>
  <si>
    <t>GMP.CPL.2025.001</t>
  </si>
  <si>
    <t>GMP.CPL.2025.002</t>
  </si>
  <si>
    <t>DEV.2025.004</t>
  </si>
  <si>
    <t>DEV.2025.005</t>
  </si>
  <si>
    <t>DEV.2025.006</t>
  </si>
  <si>
    <t>DEV.2025.007</t>
  </si>
  <si>
    <t>DEV.2025.008</t>
  </si>
  <si>
    <t>GMP.CPL.2025.004</t>
  </si>
  <si>
    <t>GMP.CPL.2025.005</t>
  </si>
  <si>
    <t>GMP.CPL.2025.006</t>
  </si>
  <si>
    <t>DEV.2025.009</t>
  </si>
  <si>
    <t>DEV.2025.010</t>
  </si>
  <si>
    <t>DEV.2025.011</t>
  </si>
  <si>
    <t>DEV.2025.012</t>
  </si>
  <si>
    <t>DEV.2025.013</t>
  </si>
  <si>
    <t>DEV.2025.014</t>
  </si>
  <si>
    <t>DEV.2025.015</t>
  </si>
  <si>
    <t>DEV.2025.016</t>
  </si>
  <si>
    <t>DEV.2025.017</t>
  </si>
  <si>
    <t>DEV.2025.018</t>
  </si>
  <si>
    <t>Temperature Monitoring</t>
  </si>
  <si>
    <t>Product Manufacturing</t>
  </si>
  <si>
    <t>Equipment calibration</t>
  </si>
  <si>
    <t>DEV.2025.019</t>
  </si>
  <si>
    <t>DEV.2025.020</t>
  </si>
  <si>
    <t>DEV.2025.021</t>
  </si>
  <si>
    <t>DEV.2025.022</t>
  </si>
  <si>
    <t>DEV.2025.023</t>
  </si>
  <si>
    <t>Validation</t>
  </si>
  <si>
    <t>QC Testing</t>
  </si>
  <si>
    <t>Product Packaging</t>
  </si>
  <si>
    <t>QC Samples</t>
  </si>
  <si>
    <t>QC Annual Performance Qualification</t>
  </si>
  <si>
    <t>Third Party Product Release</t>
  </si>
  <si>
    <t>Product Processing</t>
  </si>
  <si>
    <t>Temperature Excursion</t>
  </si>
  <si>
    <t>Product Storage</t>
  </si>
  <si>
    <t>Data Integrity</t>
  </si>
  <si>
    <t xml:space="preserve">Dispatch Cleaning Procedure </t>
  </si>
  <si>
    <t xml:space="preserve">Product Mixup </t>
  </si>
  <si>
    <t>Equipment Validation</t>
  </si>
  <si>
    <t>Human Error</t>
  </si>
  <si>
    <t xml:space="preserve">Formulation Issue </t>
  </si>
  <si>
    <t>Communication Issue</t>
  </si>
  <si>
    <t>Procedure Is Defficient</t>
  </si>
  <si>
    <t>Equipment Fault - Wear And Tear</t>
  </si>
  <si>
    <t>Inadequate Storage</t>
  </si>
  <si>
    <t>No Procedure In Place</t>
  </si>
  <si>
    <t>Equipment Availability</t>
  </si>
  <si>
    <t xml:space="preserve">Training / Skills / Knowledge Issue </t>
  </si>
  <si>
    <t>Gdocp Not Followed</t>
  </si>
  <si>
    <t>Date Today:</t>
  </si>
  <si>
    <t>Deviation Area</t>
  </si>
  <si>
    <t>Deviation Area List</t>
  </si>
  <si>
    <t>Business Central</t>
  </si>
  <si>
    <t>Complaint Area List</t>
  </si>
  <si>
    <t>Complaint Area</t>
  </si>
  <si>
    <t>Pharmacovigilance</t>
  </si>
  <si>
    <t>Product Mixup</t>
  </si>
  <si>
    <t>Product Scent</t>
  </si>
  <si>
    <t>Faulty Product</t>
  </si>
  <si>
    <t>Product Quantity</t>
  </si>
  <si>
    <t>Product Expiry</t>
  </si>
  <si>
    <t>Product Contamination</t>
  </si>
  <si>
    <t>Training / Skills / Knowledge Issue</t>
  </si>
  <si>
    <t>End User Error</t>
  </si>
  <si>
    <t>Manufacturers Processes Are Deficient</t>
  </si>
  <si>
    <t>Inadequate Segregation Of Products</t>
  </si>
  <si>
    <t>Root Cause Inconclusive</t>
  </si>
  <si>
    <t>Damage During Transportation/Mishandled By Courier</t>
  </si>
  <si>
    <t>It/System Issues</t>
  </si>
  <si>
    <t>Inadequate Segregation Of Raw Materials</t>
  </si>
  <si>
    <t>DEV.2025.024</t>
  </si>
  <si>
    <t>QA/PRODUCTION</t>
  </si>
  <si>
    <t>DEV.2025.025</t>
  </si>
  <si>
    <t>DEV.2025.026</t>
  </si>
  <si>
    <t>DEV.2025.027</t>
  </si>
  <si>
    <t>DEV.2025.028</t>
  </si>
  <si>
    <t>DEV.2025.029</t>
  </si>
  <si>
    <t>DEV.2025.030</t>
  </si>
  <si>
    <t>DEV.2025.031</t>
  </si>
  <si>
    <t>DEV.2025.032</t>
  </si>
  <si>
    <t>DEV.2025.033</t>
  </si>
  <si>
    <t>DEV.2025.034</t>
  </si>
  <si>
    <t>DEV.2025.035</t>
  </si>
  <si>
    <t>DEV.2025.036</t>
  </si>
  <si>
    <t>DEV.2025.037</t>
  </si>
  <si>
    <t>DEV.2025.038</t>
  </si>
  <si>
    <t>DEV.2025.039</t>
  </si>
  <si>
    <t>GMP.CPL.2025.009</t>
  </si>
  <si>
    <t>GMP.CPL.2025.007</t>
  </si>
  <si>
    <t>GMP.CPL.2025.008</t>
  </si>
  <si>
    <t>Complaint not confirmed</t>
  </si>
  <si>
    <t>DEV.2026.001</t>
  </si>
  <si>
    <t>DEV.2026.002</t>
  </si>
  <si>
    <t>DEV.2026.003</t>
  </si>
  <si>
    <t>DEV.2026.004</t>
  </si>
  <si>
    <t>DEV.2026.005</t>
  </si>
  <si>
    <t>GMP.CPL.2026.001</t>
  </si>
  <si>
    <t>GMP.CPL.2026.002</t>
  </si>
  <si>
    <t>DEV.2026.006</t>
  </si>
  <si>
    <t>DEV.2026.007</t>
  </si>
  <si>
    <t>GMP.CPL.2026.005</t>
  </si>
  <si>
    <t>GMP.CPL.2026.003</t>
  </si>
  <si>
    <t>DEV.2026.008</t>
  </si>
  <si>
    <t>GMP.CPL.2026.004</t>
  </si>
  <si>
    <t>DEV.2026.009</t>
  </si>
  <si>
    <t>DEV.2026.010</t>
  </si>
  <si>
    <t>DEV.2026.011</t>
  </si>
  <si>
    <t>DEV.2026.012</t>
  </si>
  <si>
    <t>DEV.2026.013</t>
  </si>
  <si>
    <t>DEV.2026.014</t>
  </si>
  <si>
    <t>DEV.2026.015</t>
  </si>
  <si>
    <t>DEV.2026.016</t>
  </si>
  <si>
    <t>DEV.2026.017</t>
  </si>
  <si>
    <t>DEV.2026.018</t>
  </si>
  <si>
    <t>DEV.2026.019</t>
  </si>
  <si>
    <t>DEV.2026.020</t>
  </si>
  <si>
    <t>DEV.2026.021</t>
  </si>
  <si>
    <t>DEV.2026.022</t>
  </si>
  <si>
    <t>DEV.2026.023</t>
  </si>
  <si>
    <t>DEV.2026.024</t>
  </si>
  <si>
    <t>DEV.2026.025</t>
  </si>
  <si>
    <t>DEV.2026.026</t>
  </si>
  <si>
    <t>DEV.2026.027</t>
  </si>
  <si>
    <t>DEV.2026.028</t>
  </si>
  <si>
    <t>DEV.2026.029</t>
  </si>
  <si>
    <t>GMP.CPL.2026.006</t>
  </si>
  <si>
    <t>Faulty packaging components</t>
  </si>
  <si>
    <t>Complaint invalid</t>
  </si>
  <si>
    <t>If OTHER state brief summary</t>
  </si>
  <si>
    <t>Different to what the patient has previously received from alternative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</si>
</sst>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9"/>
      <color rgb="FF000000"/>
      <name val="Arial"/>
      <family val="2"/>
    </font>
    <font>
      <b/>
      <sz val="12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 tint="4.9989318521683403E-2"/>
      <name val="Aptos Narrow"/>
      <family val="2"/>
      <scheme val="minor"/>
    </font>
    <font>
      <b/>
      <sz val="9"/>
      <color theme="1" tint="4.9989318521683403E-2"/>
      <name val="Aptos Narrow"/>
      <family val="2"/>
      <scheme val="minor"/>
    </font>
    <font>
      <b/>
      <sz val="2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11"/>
      <color rgb="FF000000"/>
      <name val="Aptos Narrow"/>
      <family val="2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A8E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D7DCE"/>
        <bgColor indexed="64"/>
      </patternFill>
    </fill>
    <fill>
      <patternFill patternType="solid">
        <fgColor rgb="FFFD7B87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62FAF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8" fillId="0" borderId="0" xfId="0" applyFont="1" applyAlignment="1">
      <alignment horizontal="center" vertical="center" wrapText="1"/>
    </xf>
    <xf numFmtId="0" fontId="6" fillId="0" borderId="0" xfId="0" applyFont="1"/>
    <xf numFmtId="0" fontId="18" fillId="18" borderId="21" xfId="0" applyFont="1" applyFill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0" fontId="18" fillId="18" borderId="22" xfId="0" applyFont="1" applyFill="1" applyBorder="1" applyAlignment="1">
      <alignment vertical="center" wrapText="1"/>
    </xf>
    <xf numFmtId="0" fontId="18" fillId="18" borderId="23" xfId="0" applyFont="1" applyFill="1" applyBorder="1" applyAlignment="1">
      <alignment vertical="center" wrapText="1"/>
    </xf>
    <xf numFmtId="0" fontId="6" fillId="0" borderId="19" xfId="0" applyFont="1" applyBorder="1"/>
    <xf numFmtId="0" fontId="0" fillId="4" borderId="2" xfId="0" applyFill="1" applyBorder="1" applyAlignment="1" applyProtection="1">
      <alignment horizontal="center" vertical="center"/>
      <protection locked="0"/>
    </xf>
    <xf numFmtId="15" fontId="0" fillId="4" borderId="2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horizontal="center" vertical="center"/>
      <protection locked="0"/>
    </xf>
    <xf numFmtId="0" fontId="16" fillId="2" borderId="3" xfId="0" applyFont="1" applyFill="1" applyBorder="1" applyAlignment="1" applyProtection="1">
      <alignment horizontal="center" vertical="center" wrapText="1"/>
      <protection locked="0"/>
    </xf>
    <xf numFmtId="0" fontId="0" fillId="9" borderId="1" xfId="0" applyFill="1" applyBorder="1" applyAlignment="1" applyProtection="1">
      <alignment horizontal="center" vertical="center" wrapText="1"/>
      <protection locked="0"/>
    </xf>
    <xf numFmtId="0" fontId="0" fillId="2" borderId="3" xfId="0" applyFill="1" applyBorder="1" applyAlignment="1" applyProtection="1">
      <alignment horizontal="center" vertical="center" wrapText="1"/>
      <protection locked="0"/>
    </xf>
    <xf numFmtId="0" fontId="3" fillId="5" borderId="2" xfId="0" applyFont="1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0" fontId="0" fillId="11" borderId="2" xfId="0" applyFill="1" applyBorder="1" applyAlignment="1" applyProtection="1">
      <alignment horizontal="center" vertical="center"/>
      <protection locked="0"/>
    </xf>
    <xf numFmtId="15" fontId="0" fillId="11" borderId="2" xfId="0" applyNumberForma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8" fillId="0" borderId="0" xfId="0" applyFont="1" applyProtection="1">
      <protection locked="0"/>
    </xf>
    <xf numFmtId="15" fontId="0" fillId="4" borderId="1" xfId="0" applyNumberFormat="1" applyFill="1" applyBorder="1" applyAlignment="1" applyProtection="1">
      <alignment horizontal="center" vertical="center"/>
      <protection locked="0"/>
    </xf>
    <xf numFmtId="0" fontId="10" fillId="9" borderId="1" xfId="0" applyFont="1" applyFill="1" applyBorder="1" applyAlignment="1" applyProtection="1">
      <alignment horizontal="center"/>
      <protection locked="0"/>
    </xf>
    <xf numFmtId="0" fontId="15" fillId="2" borderId="3" xfId="0" applyFont="1" applyFill="1" applyBorder="1" applyAlignment="1" applyProtection="1">
      <alignment horizontal="center" vertical="center" wrapText="1"/>
      <protection locked="0"/>
    </xf>
    <xf numFmtId="0" fontId="0" fillId="5" borderId="6" xfId="0" applyFill="1" applyBorder="1" applyAlignment="1" applyProtection="1">
      <alignment horizontal="center" vertical="center"/>
      <protection locked="0"/>
    </xf>
    <xf numFmtId="0" fontId="0" fillId="3" borderId="7" xfId="0" applyFill="1" applyBorder="1" applyAlignment="1" applyProtection="1">
      <alignment horizontal="center" vertical="center" wrapText="1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4" borderId="6" xfId="0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15" borderId="2" xfId="0" applyFill="1" applyBorder="1" applyAlignment="1" applyProtection="1">
      <alignment horizontal="center" vertical="center"/>
      <protection locked="0"/>
    </xf>
    <xf numFmtId="15" fontId="0" fillId="15" borderId="2" xfId="0" applyNumberForma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0" fillId="16" borderId="1" xfId="0" applyFill="1" applyBorder="1" applyAlignment="1" applyProtection="1">
      <alignment horizontal="center" vertical="center"/>
      <protection locked="0"/>
    </xf>
    <xf numFmtId="0" fontId="0" fillId="16" borderId="5" xfId="0" applyFill="1" applyBorder="1" applyAlignment="1" applyProtection="1">
      <alignment horizontal="center" vertical="center"/>
      <protection locked="0"/>
    </xf>
    <xf numFmtId="0" fontId="3" fillId="16" borderId="5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16" borderId="1" xfId="0" applyFont="1" applyFill="1" applyBorder="1" applyAlignment="1" applyProtection="1">
      <alignment horizontal="center" vertical="center"/>
      <protection locked="0"/>
    </xf>
    <xf numFmtId="0" fontId="3" fillId="9" borderId="1" xfId="0" applyFont="1" applyFill="1" applyBorder="1" applyAlignment="1" applyProtection="1">
      <alignment horizontal="center" vertical="center" wrapText="1"/>
      <protection locked="0"/>
    </xf>
    <xf numFmtId="0" fontId="5" fillId="16" borderId="1" xfId="0" applyFont="1" applyFill="1" applyBorder="1" applyAlignment="1" applyProtection="1">
      <alignment horizontal="center" vertical="center"/>
      <protection locked="0"/>
    </xf>
    <xf numFmtId="0" fontId="3" fillId="16" borderId="1" xfId="0" applyFont="1" applyFill="1" applyBorder="1" applyAlignment="1" applyProtection="1">
      <alignment horizontal="center" vertical="center" wrapText="1"/>
      <protection locked="0"/>
    </xf>
    <xf numFmtId="0" fontId="0" fillId="15" borderId="6" xfId="0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 applyProtection="1">
      <alignment horizontal="center" vertical="center" wrapText="1"/>
      <protection locked="0"/>
    </xf>
    <xf numFmtId="0" fontId="0" fillId="16" borderId="7" xfId="0" applyFill="1" applyBorder="1" applyAlignment="1" applyProtection="1">
      <alignment horizontal="center" vertical="center"/>
      <protection locked="0"/>
    </xf>
    <xf numFmtId="0" fontId="3" fillId="16" borderId="7" xfId="0" applyFont="1" applyFill="1" applyBorder="1" applyAlignment="1" applyProtection="1">
      <alignment horizontal="center" vertical="center"/>
      <protection locked="0"/>
    </xf>
    <xf numFmtId="0" fontId="0" fillId="6" borderId="2" xfId="0" applyFill="1" applyBorder="1" applyAlignment="1" applyProtection="1">
      <alignment horizontal="center" vertical="center"/>
      <protection locked="0"/>
    </xf>
    <xf numFmtId="0" fontId="0" fillId="17" borderId="3" xfId="0" applyFill="1" applyBorder="1" applyAlignment="1" applyProtection="1">
      <alignment horizontal="center" vertical="center"/>
      <protection locked="0"/>
    </xf>
    <xf numFmtId="15" fontId="0" fillId="17" borderId="10" xfId="0" applyNumberFormat="1" applyFill="1" applyBorder="1" applyAlignment="1" applyProtection="1">
      <alignment horizontal="center" vertical="center"/>
      <protection locked="0"/>
    </xf>
    <xf numFmtId="0" fontId="0" fillId="17" borderId="2" xfId="0" applyFill="1" applyBorder="1" applyAlignment="1" applyProtection="1">
      <alignment horizontal="center" vertical="center"/>
      <protection locked="0"/>
    </xf>
    <xf numFmtId="0" fontId="0" fillId="7" borderId="1" xfId="0" applyFill="1" applyBorder="1" applyAlignment="1" applyProtection="1">
      <alignment horizontal="center" vertical="center" wrapText="1"/>
      <protection locked="0"/>
    </xf>
    <xf numFmtId="0" fontId="0" fillId="17" borderId="1" xfId="0" applyFill="1" applyBorder="1" applyAlignment="1" applyProtection="1">
      <alignment horizontal="center" vertical="center"/>
      <protection locked="0"/>
    </xf>
    <xf numFmtId="14" fontId="0" fillId="17" borderId="10" xfId="0" applyNumberFormat="1" applyFill="1" applyBorder="1" applyAlignment="1" applyProtection="1">
      <alignment horizontal="center" vertical="center"/>
      <protection locked="0"/>
    </xf>
    <xf numFmtId="14" fontId="0" fillId="17" borderId="11" xfId="0" applyNumberFormat="1" applyFill="1" applyBorder="1" applyAlignment="1" applyProtection="1">
      <alignment horizontal="center" vertical="center"/>
      <protection locked="0"/>
    </xf>
    <xf numFmtId="0" fontId="0" fillId="17" borderId="6" xfId="0" applyFill="1" applyBorder="1" applyAlignment="1" applyProtection="1">
      <alignment horizontal="center" vertical="center"/>
      <protection locked="0"/>
    </xf>
    <xf numFmtId="0" fontId="0" fillId="17" borderId="8" xfId="0" applyFill="1" applyBorder="1" applyAlignment="1" applyProtection="1">
      <alignment horizontal="center" vertical="center"/>
      <protection locked="0"/>
    </xf>
    <xf numFmtId="0" fontId="0" fillId="7" borderId="7" xfId="0" applyFill="1" applyBorder="1" applyAlignment="1" applyProtection="1">
      <alignment horizontal="center" vertical="center" wrapText="1"/>
      <protection locked="0"/>
    </xf>
    <xf numFmtId="0" fontId="0" fillId="17" borderId="7" xfId="0" applyFill="1" applyBorder="1" applyAlignment="1" applyProtection="1">
      <alignment horizontal="center" vertical="center"/>
      <protection locked="0"/>
    </xf>
    <xf numFmtId="14" fontId="0" fillId="17" borderId="3" xfId="0" applyNumberFormat="1" applyFill="1" applyBorder="1" applyAlignment="1" applyProtection="1">
      <alignment horizontal="center" vertical="center"/>
      <protection locked="0"/>
    </xf>
    <xf numFmtId="15" fontId="0" fillId="17" borderId="3" xfId="0" applyNumberForma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5" borderId="0" xfId="0" applyFill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0" fillId="4" borderId="24" xfId="0" applyFill="1" applyBorder="1" applyAlignment="1" applyProtection="1">
      <alignment horizontal="center" vertical="center"/>
      <protection locked="0"/>
    </xf>
    <xf numFmtId="0" fontId="0" fillId="8" borderId="3" xfId="0" applyFill="1" applyBorder="1" applyAlignment="1" applyProtection="1">
      <alignment horizontal="center" vertical="center"/>
      <protection locked="0"/>
    </xf>
    <xf numFmtId="15" fontId="0" fillId="8" borderId="3" xfId="0" applyNumberFormat="1" applyFill="1" applyBorder="1" applyAlignment="1" applyProtection="1">
      <alignment horizontal="center" vertical="center"/>
      <protection locked="0"/>
    </xf>
    <xf numFmtId="15" fontId="0" fillId="4" borderId="24" xfId="0" applyNumberFormat="1" applyFill="1" applyBorder="1" applyAlignment="1" applyProtection="1">
      <alignment horizontal="center" vertical="center"/>
      <protection locked="0"/>
    </xf>
    <xf numFmtId="0" fontId="18" fillId="19" borderId="0" xfId="0" applyFont="1" applyFill="1" applyAlignment="1">
      <alignment vertical="center" wrapText="1"/>
    </xf>
    <xf numFmtId="0" fontId="0" fillId="19" borderId="0" xfId="0" applyFill="1"/>
    <xf numFmtId="0" fontId="0" fillId="19" borderId="0" xfId="0" applyFill="1" applyAlignment="1">
      <alignment vertical="center"/>
    </xf>
    <xf numFmtId="0" fontId="18" fillId="19" borderId="0" xfId="0" applyFont="1" applyFill="1" applyAlignment="1">
      <alignment horizontal="center" vertical="center" wrapText="1"/>
    </xf>
    <xf numFmtId="0" fontId="6" fillId="19" borderId="0" xfId="0" applyFont="1" applyFill="1"/>
    <xf numFmtId="14" fontId="6" fillId="19" borderId="0" xfId="0" applyNumberFormat="1" applyFont="1" applyFill="1"/>
    <xf numFmtId="0" fontId="0" fillId="5" borderId="2" xfId="0" applyFill="1" applyBorder="1" applyAlignment="1" applyProtection="1">
      <alignment horizontal="center" vertical="center"/>
      <protection locked="0"/>
    </xf>
    <xf numFmtId="15" fontId="0" fillId="5" borderId="2" xfId="0" applyNumberFormat="1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 vertical="center" wrapText="1"/>
      <protection locked="0"/>
    </xf>
    <xf numFmtId="0" fontId="0" fillId="15" borderId="10" xfId="0" applyFill="1" applyBorder="1" applyAlignment="1" applyProtection="1">
      <alignment horizontal="center" vertical="center"/>
      <protection locked="0"/>
    </xf>
    <xf numFmtId="0" fontId="0" fillId="15" borderId="3" xfId="0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0" fillId="15" borderId="8" xfId="0" applyFill="1" applyBorder="1" applyAlignment="1" applyProtection="1">
      <alignment horizontal="center" vertical="center"/>
      <protection locked="0"/>
    </xf>
    <xf numFmtId="0" fontId="9" fillId="14" borderId="0" xfId="0" applyFont="1" applyFill="1" applyAlignment="1">
      <alignment horizontal="center" vertical="center" wrapText="1"/>
    </xf>
    <xf numFmtId="0" fontId="0" fillId="2" borderId="25" xfId="0" applyFill="1" applyBorder="1" applyAlignment="1" applyProtection="1">
      <alignment horizontal="center" vertical="center"/>
      <protection locked="0"/>
    </xf>
    <xf numFmtId="0" fontId="18" fillId="21" borderId="0" xfId="0" applyFont="1" applyFill="1" applyAlignment="1">
      <alignment horizontal="center" vertical="center" wrapText="1"/>
    </xf>
    <xf numFmtId="0" fontId="0" fillId="21" borderId="0" xfId="0" applyFill="1"/>
    <xf numFmtId="0" fontId="14" fillId="12" borderId="15" xfId="0" applyFont="1" applyFill="1" applyBorder="1" applyAlignment="1">
      <alignment horizontal="center" vertical="center"/>
    </xf>
    <xf numFmtId="0" fontId="14" fillId="12" borderId="16" xfId="0" applyFont="1" applyFill="1" applyBorder="1" applyAlignment="1">
      <alignment horizontal="center" vertical="center"/>
    </xf>
    <xf numFmtId="0" fontId="14" fillId="12" borderId="17" xfId="0" applyFont="1" applyFill="1" applyBorder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14" fillId="12" borderId="19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 wrapText="1"/>
    </xf>
    <xf numFmtId="0" fontId="9" fillId="8" borderId="13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13" fillId="8" borderId="12" xfId="0" applyFont="1" applyFill="1" applyBorder="1" applyAlignment="1">
      <alignment horizontal="center"/>
    </xf>
    <xf numFmtId="0" fontId="13" fillId="8" borderId="13" xfId="0" applyFont="1" applyFill="1" applyBorder="1" applyAlignment="1">
      <alignment horizontal="center"/>
    </xf>
    <xf numFmtId="0" fontId="13" fillId="8" borderId="14" xfId="0" applyFont="1" applyFill="1" applyBorder="1" applyAlignment="1">
      <alignment horizontal="center"/>
    </xf>
    <xf numFmtId="0" fontId="13" fillId="13" borderId="15" xfId="0" applyFont="1" applyFill="1" applyBorder="1" applyAlignment="1">
      <alignment horizontal="center" vertical="center" wrapText="1"/>
    </xf>
    <xf numFmtId="0" fontId="13" fillId="13" borderId="16" xfId="0" applyFont="1" applyFill="1" applyBorder="1" applyAlignment="1">
      <alignment horizontal="center" vertical="center" wrapText="1"/>
    </xf>
    <xf numFmtId="0" fontId="13" fillId="13" borderId="17" xfId="0" applyFont="1" applyFill="1" applyBorder="1" applyAlignment="1">
      <alignment horizontal="center" vertical="center" wrapText="1"/>
    </xf>
    <xf numFmtId="0" fontId="13" fillId="13" borderId="18" xfId="0" applyFont="1" applyFill="1" applyBorder="1" applyAlignment="1">
      <alignment horizontal="center" vertical="center" wrapText="1"/>
    </xf>
    <xf numFmtId="0" fontId="13" fillId="13" borderId="19" xfId="0" applyFont="1" applyFill="1" applyBorder="1" applyAlignment="1">
      <alignment horizontal="center" vertical="center" wrapText="1"/>
    </xf>
    <xf numFmtId="0" fontId="13" fillId="13" borderId="20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9" fillId="14" borderId="3" xfId="0" applyFont="1" applyFill="1" applyBorder="1" applyAlignment="1">
      <alignment horizontal="center" vertical="center" wrapText="1"/>
    </xf>
    <xf numFmtId="0" fontId="9" fillId="14" borderId="10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6" fillId="10" borderId="9" xfId="0" applyFont="1" applyFill="1" applyBorder="1" applyAlignment="1">
      <alignment horizontal="center"/>
    </xf>
    <xf numFmtId="0" fontId="6" fillId="10" borderId="0" xfId="0" applyFont="1" applyFill="1" applyAlignment="1">
      <alignment horizontal="center"/>
    </xf>
  </cellXfs>
  <cellStyles count="1">
    <cellStyle name="Normal" xfId="0" builtinId="0"/>
  </cellStyles>
  <dxfs count="1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3" tint="0.399975585192419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ill>
        <patternFill patternType="solid">
          <fgColor indexed="64"/>
          <bgColor theme="3" tint="0.399975585192419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center" textRotation="0" wrapText="1" 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protection locked="1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1" 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FFFFCC"/>
      <color rgb="FF70A8E0"/>
      <color rgb="FF62FAF3"/>
      <color rgb="FFFD7B87"/>
      <color rgb="FF00CC99"/>
      <color rgb="FF2D7D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9EA381-8B4B-48B7-A4FF-DF5F503B92E3}" name="Table4" displayName="Table4" ref="A1:A30" totalsRowShown="0" headerRowDxfId="136" dataDxfId="134" headerRowBorderDxfId="135" tableBorderDxfId="133">
  <autoFilter ref="A1:A30" xr:uid="{C89EA381-8B4B-48B7-A4FF-DF5F503B92E3}"/>
  <tableColumns count="1">
    <tableColumn id="1" xr3:uid="{DFF133EB-CDE5-4947-9BAF-AA86594E22E4}" name="Deviation Area List" dataDxfId="132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857AF6A-1DD1-47AA-AE2F-9979B99D16D5}" name="Table6" displayName="Table6" ref="B1:B19" totalsRowShown="0" headerRowDxfId="131">
  <autoFilter ref="B1:B19" xr:uid="{E857AF6A-1DD1-47AA-AE2F-9979B99D16D5}"/>
  <tableColumns count="1">
    <tableColumn id="1" xr3:uid="{CA761D04-4957-4E36-98C2-F20976E55D1A}" name="Complaint Area List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A77EBE-3AD0-4503-9C42-AC1AB6CFFAA9}" name="Table2" displayName="Table2" ref="B3:AT134" totalsRowShown="0" headerRowDxfId="130" dataDxfId="128" headerRowBorderDxfId="129" tableBorderDxfId="127" totalsRowBorderDxfId="126">
  <autoFilter ref="B3:AT134" xr:uid="{13A77EBE-3AD0-4503-9C42-AC1AB6CFFAA9}">
    <filterColumn colId="13">
      <filters>
        <filter val="Equipment"/>
      </filters>
    </filterColumn>
  </autoFilter>
  <tableColumns count="45">
    <tableColumn id="1" xr3:uid="{2A0C603B-16FA-422B-ABC8-20970CAC2C64}" name="Date Raised" dataDxfId="125"/>
    <tableColumn id="46" xr3:uid="{3774BFAB-1B99-4E02-8A11-30EB3D3369C9}" name="Department that logged deviation" dataDxfId="124"/>
    <tableColumn id="45" xr3:uid="{C4196874-7FE8-42AC-A608-D0C6BA8037AD}" name="Finance" dataDxfId="123"/>
    <tableColumn id="19" xr3:uid="{A56C24EB-8F60-4972-A56C-1D1E5CF00E43}" name="Procurement" dataDxfId="122"/>
    <tableColumn id="44" xr3:uid="{5AA5377E-4179-4BD1-9AAC-CD92221BC7F4}" name="Customer Service" dataDxfId="121"/>
    <tableColumn id="43" xr3:uid="{80BCCCD7-13B1-499B-ACCB-36ED34D4186F}" name="R&amp;D" dataDxfId="120"/>
    <tableColumn id="32" xr3:uid="{A6542D1C-F7B3-4E93-9726-8E3B853F35A7}" name="SLT" dataDxfId="119"/>
    <tableColumn id="38" xr3:uid="{6C55CFDF-EF56-427C-9B40-2775EF0F892E}" name="Production" dataDxfId="118"/>
    <tableColumn id="37" xr3:uid="{4503FDA9-1A2E-4744-B036-347514A3FF01}" name="Dispatch" dataDxfId="117"/>
    <tableColumn id="36" xr3:uid="{6F6504AF-3419-473C-B97A-A5A976FD381F}" name="QA" dataDxfId="116"/>
    <tableColumn id="35" xr3:uid="{B159CE08-D1D2-4F6F-90B0-54AEA8269BA5}" name="QC" dataDxfId="115"/>
    <tableColumn id="34" xr3:uid="{C262868A-A105-4DF4-8248-D8AC8D257688}" name="BMR generation " dataDxfId="114"/>
    <tableColumn id="33" xr3:uid="{331DCCC6-BAC3-4B4C-BA63-DB0342ECF20D}" name="Final release" dataDxfId="113"/>
    <tableColumn id="2" xr3:uid="{886FCA2C-D2A8-4416-A34C-1CF32DFA5578}" name="Deviation area (Processes and activities)" dataDxfId="112"/>
    <tableColumn id="4" xr3:uid="{C6BD5A7E-4949-48FF-9FE9-7A425E4B3E5E}" name="Human error" dataDxfId="111"/>
    <tableColumn id="5" xr3:uid="{95D4188F-CD86-44F0-BE63-BDEAAFD63666}" name="Formulation issue " dataDxfId="110"/>
    <tableColumn id="6" xr3:uid="{61B532E3-0E0A-4E09-BA6E-B7AAF77D7CD5}" name="Material / Consumables Availability" dataDxfId="109"/>
    <tableColumn id="9" xr3:uid="{9C5D4AE5-9876-4287-BA71-0C2B290C2FD4}" name="Inadequate Material / Consumables" dataDxfId="108"/>
    <tableColumn id="7" xr3:uid="{FB23B665-CD1B-4EF2-89BB-297E9FF43AD9}" name="Communication issue" dataDxfId="107"/>
    <tableColumn id="3" xr3:uid="{DBE04D3D-2ABC-43C3-9AED-AEAA3EE7C7D9}" name="Inadequate Planning" dataDxfId="106"/>
    <tableColumn id="8" xr3:uid="{61C99A66-C7AA-43DF-9B55-2021350AE6AD}" name="Procedure is defficient" dataDxfId="105"/>
    <tableColumn id="10" xr3:uid="{385A7CF9-13B2-40B8-9B4D-5C50BFC6087F}" name="Equipment Fault - wear and tear" dataDxfId="104"/>
    <tableColumn id="11" xr3:uid="{9D9F7D3A-F914-45B7-819C-7EBE854BF59D}" name="Inadequate storage" dataDxfId="103"/>
    <tableColumn id="13" xr3:uid="{71511EF3-83C4-4905-A53A-8FAF9227C3EB}" name="No procedure in place" dataDxfId="102"/>
    <tableColumn id="14" xr3:uid="{11CF64C9-EA94-49A1-AD59-F8AC6D9FBE4A}" name="Equipment availability" dataDxfId="101"/>
    <tableColumn id="15" xr3:uid="{99E6F4DF-2348-4D21-9BC3-B1B61CDE73A6}" name="Training / skills / knowledge issue " dataDxfId="100"/>
    <tableColumn id="16" xr3:uid="{E2B1FB6A-E216-4B30-A994-D5B755FD7464}" name="Staff Availability" dataDxfId="99"/>
    <tableColumn id="12" xr3:uid="{1784D3AD-1A6F-4F59-8C7B-6A83DD646A34}" name="IT/System Issues" dataDxfId="98"/>
    <tableColumn id="48" xr3:uid="{620EB2A9-D371-41DB-B426-A5752F68405E}" name="Facility Issue" dataDxfId="97"/>
    <tableColumn id="47" xr3:uid="{F5D0BC51-6A73-44BE-AF66-E2347FDF6618}" name="Environmental Conditions" dataDxfId="96"/>
    <tableColumn id="18" xr3:uid="{6E6D6ADF-5598-4A86-BEB1-49358D19A5A9}" name="Validation /Calibration" dataDxfId="95"/>
    <tableColumn id="17" xr3:uid="{5106B2DF-4D8A-47B6-B82C-F9DB57FA405F}" name="GDocP not followed" dataDxfId="94"/>
    <tableColumn id="21" xr3:uid="{93BF851B-619E-4D37-844F-88D9941EE8F0}" name="Other" dataDxfId="93"/>
    <tableColumn id="23" xr3:uid="{6762040C-111F-4B9B-87B8-11A05C7E6CCC}" name="Final Release " dataDxfId="92"/>
    <tableColumn id="40" xr3:uid="{722E4E8C-4A95-476A-A1B6-F84681BD2A64}" name="BMR" dataDxfId="91"/>
    <tableColumn id="39" xr3:uid="{8E5F12C4-29F0-4A6C-A3D0-5B37CEFF7FD3}" name="QA2" dataDxfId="90"/>
    <tableColumn id="24" xr3:uid="{99B23BF3-215C-4FD6-A15D-A11AF1E2C980}" name="Production2" dataDxfId="89"/>
    <tableColumn id="30" xr3:uid="{3CFC6896-5F8A-4432-BD2D-E4AEDB2DEB45}" name="QC2" dataDxfId="88"/>
    <tableColumn id="25" xr3:uid="{154A9338-A884-4A9A-93BE-A623BAEC9BE5}" name="Dispatch2" dataDxfId="87"/>
    <tableColumn id="26" xr3:uid="{E5459A05-201C-43AE-933C-D96CD8AC0363}" name="R&amp;D2" dataDxfId="86"/>
    <tableColumn id="27" xr3:uid="{4D728EF5-CEC2-41A3-A3D5-9E6702FFB71B}" name="Customer Service2" dataDxfId="85"/>
    <tableColumn id="28" xr3:uid="{18984623-DC8B-4968-A90B-2F09043E6A73}" name="CBPM" dataDxfId="84"/>
    <tableColumn id="29" xr3:uid="{3369C9F9-6F4F-4932-95B9-886E5E799F9F}" name="Procurement2" dataDxfId="83"/>
    <tableColumn id="42" xr3:uid="{DC88D231-1167-4E7C-8435-3FF5BB1DBDD4}" name="SLT2" dataDxfId="82"/>
    <tableColumn id="31" xr3:uid="{6780C926-0595-4E8F-8AA7-596A28340378}" name="Finance2" dataDxfId="8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BE771F-1E8C-4D21-809B-F659DE8DA8A7}" name="Table3" displayName="Table3" ref="A2:T30" totalsRowShown="0" headerRowDxfId="80" dataDxfId="79">
  <autoFilter ref="A2:T30" xr:uid="{10BE771F-1E8C-4D21-809B-F659DE8DA8A7}"/>
  <tableColumns count="20">
    <tableColumn id="1" xr3:uid="{98658899-9806-4401-A8C2-E79880B8088C}" name="Deviation Area" dataDxfId="78"/>
    <tableColumn id="2" xr3:uid="{77E9C63B-28F5-4924-97F9-2D50C8AFBC72}" name="Human Error" dataDxfId="77">
      <calculatedColumnFormula>_xlfn.LET(
  _xlpm.result,
  COUNTIFS(
    'Deviation RC Data'!$O:$O, $A3,
    'Deviation RC Data'!P:P, "x",
    'Deviation RC Data'!$B:$B, "&gt;=" &amp; EDATE($B$1, -12),
    'Deviation RC Data'!$B:$B, "&lt;=" &amp; $B$1
  ),
  IF(_xlpm.result = 0, "", _xlpm.result)
)</calculatedColumnFormula>
    </tableColumn>
    <tableColumn id="3" xr3:uid="{6795D43B-C043-42AE-8511-50B9CFA652A6}" name="Formulation Issue " dataDxfId="76">
      <calculatedColumnFormula>_xlfn.LET(
  _xlpm.result,
  COUNTIFS(
    'Deviation RC Data'!$O:$O, $A3,
    'Deviation RC Data'!Q:Q, "x",
    'Deviation RC Data'!$B:$B, "&gt;=" &amp; EDATE($B$1, -12),
    'Deviation RC Data'!$B:$B, "&lt;=" &amp; $B$1
  ),
  IF(_xlpm.result = 0, "", _xlpm.result)
)</calculatedColumnFormula>
    </tableColumn>
    <tableColumn id="4" xr3:uid="{3113711F-3BB6-45D4-BFCF-4104D34AE0A7}" name="Material / Consumables Availability" dataDxfId="75">
      <calculatedColumnFormula>_xlfn.LET(
  _xlpm.result,
  COUNTIFS(
    'Deviation RC Data'!$O:$O, $A3,
    'Deviation RC Data'!R:R, "x",
    'Deviation RC Data'!$B:$B, "&gt;=" &amp; EDATE($B$1, -12),
    'Deviation RC Data'!$B:$B, "&lt;=" &amp; $B$1
  ),
  IF(_xlpm.result = 0, "", _xlpm.result)
)</calculatedColumnFormula>
    </tableColumn>
    <tableColumn id="5" xr3:uid="{C5FF688C-03C0-4B2A-8184-41F8E18A2F66}" name="Inadequate Material / Consumables" dataDxfId="74">
      <calculatedColumnFormula>_xlfn.LET(
  _xlpm.result,
  COUNTIFS(
    'Deviation RC Data'!$O:$O, $A3,
    'Deviation RC Data'!S:S, "x",
    'Deviation RC Data'!$B:$B, "&gt;=" &amp; EDATE($B$1, -12),
    'Deviation RC Data'!$B:$B, "&lt;=" &amp; $B$1
  ),
  IF(_xlpm.result = 0, "", _xlpm.result)
)</calculatedColumnFormula>
    </tableColumn>
    <tableColumn id="6" xr3:uid="{682B5641-C9A5-4EF1-BA2E-11B51A5BC68B}" name="Communication Issue" dataDxfId="73">
      <calculatedColumnFormula>_xlfn.LET(
  _xlpm.result,
  COUNTIFS(
    'Deviation RC Data'!$O:$O, $A3,
    'Deviation RC Data'!T:T, "x",
    'Deviation RC Data'!$B:$B, "&gt;=" &amp; EDATE($B$1, -12),
    'Deviation RC Data'!$B:$B, "&lt;=" &amp; $B$1
  ),
  IF(_xlpm.result = 0, "", _xlpm.result)
)</calculatedColumnFormula>
    </tableColumn>
    <tableColumn id="7" xr3:uid="{5A26C634-BA94-4FAD-935D-3B96190DD8C6}" name="Inadequate Planning" dataDxfId="72">
      <calculatedColumnFormula>_xlfn.LET(
  _xlpm.result,
  COUNTIFS(
    'Deviation RC Data'!$O:$O, $A3,
    'Deviation RC Data'!U:U, "x",
    'Deviation RC Data'!$B:$B, "&gt;=" &amp; EDATE($B$1, -12),
    'Deviation RC Data'!$B:$B, "&lt;=" &amp; $B$1
  ),
  IF(_xlpm.result = 0, "", _xlpm.result)
)</calculatedColumnFormula>
    </tableColumn>
    <tableColumn id="8" xr3:uid="{746CCE22-A805-4EEC-B656-06B27CBCA12A}" name="Procedure Is Defficient" dataDxfId="71">
      <calculatedColumnFormula>_xlfn.LET(
  _xlpm.result,
  COUNTIFS(
    'Deviation RC Data'!$O:$O, $A3,
    'Deviation RC Data'!V:V, "x",
    'Deviation RC Data'!$B:$B, "&gt;=" &amp; EDATE($B$1, -12),
    'Deviation RC Data'!$B:$B, "&lt;=" &amp; $B$1
  ),
  IF(_xlpm.result = 0, "", _xlpm.result)
)</calculatedColumnFormula>
    </tableColumn>
    <tableColumn id="9" xr3:uid="{63CAA4DE-C409-49E4-AC97-55AB18051112}" name="Equipment Fault - Wear And Tear" dataDxfId="70">
      <calculatedColumnFormula>_xlfn.LET(
  _xlpm.result,
  COUNTIFS(
    'Deviation RC Data'!$O:$O, $A3,
    'Deviation RC Data'!W:W, "x",
    'Deviation RC Data'!$B:$B, "&gt;=" &amp; EDATE($B$1, -12),
    'Deviation RC Data'!$B:$B, "&lt;=" &amp; $B$1
  ),
  IF(_xlpm.result = 0, "", _xlpm.result)
)</calculatedColumnFormula>
    </tableColumn>
    <tableColumn id="10" xr3:uid="{E5632E68-CE78-4D9A-AB2F-56343A580A7C}" name="Inadequate Storage" dataDxfId="69">
      <calculatedColumnFormula>_xlfn.LET(
  _xlpm.result,
  COUNTIFS(
    'Deviation RC Data'!$O:$O, $A3,
    'Deviation RC Data'!X:X, "x",
    'Deviation RC Data'!$B:$B, "&gt;=" &amp; EDATE($B$1, -12),
    'Deviation RC Data'!$B:$B, "&lt;=" &amp; $B$1
  ),
  IF(_xlpm.result = 0, "", _xlpm.result)
)</calculatedColumnFormula>
    </tableColumn>
    <tableColumn id="11" xr3:uid="{3A4FEC75-3D67-49D1-B078-0B6832A93DDF}" name="No Procedure In Place" dataDxfId="68">
      <calculatedColumnFormula>_xlfn.LET(
  _xlpm.result,
  COUNTIFS(
    'Deviation RC Data'!$O:$O, $A3,
    'Deviation RC Data'!Y:Y, "x",
    'Deviation RC Data'!$B:$B, "&gt;=" &amp; EDATE($B$1, -12),
    'Deviation RC Data'!$B:$B, "&lt;=" &amp; $B$1
  ),
  IF(_xlpm.result = 0, "", _xlpm.result)
)</calculatedColumnFormula>
    </tableColumn>
    <tableColumn id="12" xr3:uid="{D325A3F0-8325-4AD4-B480-2414F0E914F3}" name="Equipment Availability" dataDxfId="67">
      <calculatedColumnFormula>_xlfn.LET(
  _xlpm.result,
  COUNTIFS(
    'Deviation RC Data'!$O:$O, $A3,
    'Deviation RC Data'!Z:Z, "x",
    'Deviation RC Data'!$B:$B, "&gt;=" &amp; EDATE($B$1, -12),
    'Deviation RC Data'!$B:$B, "&lt;=" &amp; $B$1
  ),
  IF(_xlpm.result = 0, "", _xlpm.result)
)</calculatedColumnFormula>
    </tableColumn>
    <tableColumn id="13" xr3:uid="{B7F26518-D403-4CD1-BDA6-69EA74B5E64F}" name="Training / Skills / Knowledge Issue " dataDxfId="66">
      <calculatedColumnFormula>_xlfn.LET(
  _xlpm.result,
  COUNTIFS(
    'Deviation RC Data'!$O:$O, $A3,
    'Deviation RC Data'!AA:AA, "x",
    'Deviation RC Data'!$B:$B, "&gt;=" &amp; EDATE($B$1, -12),
    'Deviation RC Data'!$B:$B, "&lt;=" &amp; $B$1
  ),
  IF(_xlpm.result = 0, "", _xlpm.result)
)</calculatedColumnFormula>
    </tableColumn>
    <tableColumn id="14" xr3:uid="{F747A1FA-42E0-4C21-8602-3CD0F99F00C7}" name="Staff Availability" dataDxfId="65">
      <calculatedColumnFormula>_xlfn.LET(
  _xlpm.result,
  COUNTIFS(
    'Deviation RC Data'!$O:$O, $A3,
    'Deviation RC Data'!AB:AB, "x",
    'Deviation RC Data'!$B:$B, "&gt;=" &amp; EDATE($B$1, -12),
    'Deviation RC Data'!$B:$B, "&lt;=" &amp; $B$1
  ),
  IF(_xlpm.result = 0, "", _xlpm.result)
)</calculatedColumnFormula>
    </tableColumn>
    <tableColumn id="15" xr3:uid="{7225B91E-96DF-46B6-85A1-581A3D966B53}" name="IT/System Issues" dataDxfId="64">
      <calculatedColumnFormula>_xlfn.LET(
  _xlpm.result,
  COUNTIFS(
    'Deviation RC Data'!$O:$O, $A3,
    'Deviation RC Data'!AC:AC, "x",
    'Deviation RC Data'!$B:$B, "&gt;=" &amp; EDATE($B$1, -12),
    'Deviation RC Data'!$B:$B, "&lt;=" &amp; $B$1
  ),
  IF(_xlpm.result = 0, "", _xlpm.result)
)</calculatedColumnFormula>
    </tableColumn>
    <tableColumn id="16" xr3:uid="{4AB46BD5-F2B7-4FD0-9979-CCCC1E7F09A0}" name="Facility Issue" dataDxfId="63">
      <calculatedColumnFormula>_xlfn.LET(
  _xlpm.result,
  COUNTIFS(
    'Deviation RC Data'!$O:$O, $A3,
    'Deviation RC Data'!AD:AD, "x",
    'Deviation RC Data'!$B:$B, "&gt;=" &amp; EDATE($B$1, -12),
    'Deviation RC Data'!$B:$B, "&lt;=" &amp; $B$1
  ),
  IF(_xlpm.result = 0, "", _xlpm.result)
)</calculatedColumnFormula>
    </tableColumn>
    <tableColumn id="17" xr3:uid="{0BCFE33D-AE78-4C4D-8B46-00EBBD00D491}" name="Environmental Conditions" dataDxfId="62">
      <calculatedColumnFormula>_xlfn.LET(
  _xlpm.result,
  COUNTIFS(
    'Deviation RC Data'!$O:$O, $A3,
    'Deviation RC Data'!AE:AE, "x",
    'Deviation RC Data'!$B:$B, "&gt;=" &amp; EDATE($B$1, -12),
    'Deviation RC Data'!$B:$B, "&lt;=" &amp; $B$1
  ),
  IF(_xlpm.result = 0, "", _xlpm.result)
)</calculatedColumnFormula>
    </tableColumn>
    <tableColumn id="18" xr3:uid="{E9EA39B4-B30D-469D-BB7C-5817D073FEA5}" name="Validation /Calibration" dataDxfId="61">
      <calculatedColumnFormula>_xlfn.LET(
  _xlpm.result,
  COUNTIFS(
    'Deviation RC Data'!$O:$O, $A3,
    'Deviation RC Data'!AF:AF, "x",
    'Deviation RC Data'!$B:$B, "&gt;=" &amp; EDATE($B$1, -12),
    'Deviation RC Data'!$B:$B, "&lt;=" &amp; $B$1
  ),
  IF(_xlpm.result = 0, "", _xlpm.result)
)</calculatedColumnFormula>
    </tableColumn>
    <tableColumn id="19" xr3:uid="{C4CEC5B9-B14F-4A99-BEA1-4076681FA3D2}" name="Gdocp Not Followed" dataDxfId="60">
      <calculatedColumnFormula>_xlfn.LET(
  _xlpm.result,
  COUNTIFS(
    'Deviation RC Data'!$O:$O, $A3,
    'Deviation RC Data'!AG:AG, "x",
    'Deviation RC Data'!$B:$B, "&gt;=" &amp; EDATE($B$1, -12),
    'Deviation RC Data'!$B:$B, "&lt;=" &amp; $B$1
  ),
  IF(_xlpm.result = 0, "", _xlpm.result)
)</calculatedColumnFormula>
    </tableColumn>
    <tableColumn id="20" xr3:uid="{00C7C97D-D719-4CF8-A891-93FBBDC491F6}" name="Other" dataDxfId="59">
      <calculatedColumnFormula>_xlfn.LET(
  _xlpm.result,
  COUNTIFS(
    'Deviation RC Data'!$O:$O, $A3,
    'Deviation RC Data'!AH:AH, "x",
    'Deviation RC Data'!$B:$B, "&gt;=" &amp; EDATE($B$1, -12),
    'Deviation RC Data'!$B:$B, "&lt;=" &amp; $B$1
  ),
  IF(_xlpm.result = 0, "", _xlpm.result)
)</calculatedColumnFormula>
    </tableColumn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9BA267-1800-4235-9EE1-8159AE29749A}" name="Table1" displayName="Table1" ref="A2:AE201" totalsRowShown="0" headerRowDxfId="58" dataDxfId="56" headerRowBorderDxfId="57" tableBorderDxfId="55" totalsRowBorderDxfId="54">
  <autoFilter ref="A2:AE201" xr:uid="{E39BA267-1800-4235-9EE1-8159AE29749A}"/>
  <tableColumns count="31">
    <tableColumn id="1" xr3:uid="{2FAE84D0-6D9F-4ECF-9528-0611F4A6C806}" name="Document reference " dataDxfId="53"/>
    <tableColumn id="4" xr3:uid="{18B83ED4-15BB-4F39-8E97-E15C2E1F6AC8}" name="Date Raised" dataDxfId="52"/>
    <tableColumn id="2" xr3:uid="{BC751959-BC26-4BC8-AC79-51231D97FB22}" name="Type of GMP Complaint" dataDxfId="51"/>
    <tableColumn id="3" xr3:uid="{BF0E5FDB-401C-49AE-80F1-5B58D428FA59}" name="Equipment Fault " dataDxfId="50"/>
    <tableColumn id="9" xr3:uid="{954B4168-662E-4D49-942F-C61F497E1096}" name="No procedure in place" dataDxfId="49"/>
    <tableColumn id="10" xr3:uid="{0680CD67-C680-41C6-9332-83CE0D031799}" name="Procedure is defficient" dataDxfId="48"/>
    <tableColumn id="13" xr3:uid="{40ECEF62-F302-4CD1-BC9D-EEF1E026E40B}" name="Training / skills / knowledge issue" dataDxfId="47"/>
    <tableColumn id="15" xr3:uid="{4974A1E5-DD69-4DA4-AFC1-7BC4BE392833}" name="Human error" dataDxfId="46"/>
    <tableColumn id="17" xr3:uid="{03EDD6DD-7D76-4FA1-833A-5CF938A76BD0}" name="End user error" dataDxfId="45"/>
    <tableColumn id="37" xr3:uid="{00207356-B18C-474F-8E7F-5D1E5E387E1E}" name="Manufacturers processes are deficient" dataDxfId="44"/>
    <tableColumn id="36" xr3:uid="{3612E04A-DA35-4555-8019-B1FFD283B321}" name="Inadequate segregation of products" dataDxfId="43"/>
    <tableColumn id="35" xr3:uid="{1CF3BC01-30E8-4204-8DA9-2B7CF256EEB1}" name="Formulation Issue" dataDxfId="42"/>
    <tableColumn id="54" xr3:uid="{66D14396-A79E-4B86-85A7-190A9F08CE15}" name="Root cause inconclusive" dataDxfId="41"/>
    <tableColumn id="6" xr3:uid="{9346D925-5894-4804-A2C1-15FF339146E4}" name="Damage during transportation/mishandled by courier" dataDxfId="40"/>
    <tableColumn id="5" xr3:uid="{935F733E-B7C6-4A4D-87DC-76573492630F}" name="Equipment availability" dataDxfId="39"/>
    <tableColumn id="34" xr3:uid="{4AB0CD08-BA7B-469A-857E-FC8402583F47}" name="IT/System issues" dataDxfId="38"/>
    <tableColumn id="28" xr3:uid="{94B06E68-9914-4079-9C4C-B9A0BA711DF3}" name="Inadequate segregation of raw materials" dataDxfId="37"/>
    <tableColumn id="20" xr3:uid="{7A2781F6-25E1-458F-B484-4B7CDE828F85}" name="OTHER" dataDxfId="36"/>
    <tableColumn id="7" xr3:uid="{32A8FD1E-0034-42CA-ABF4-DD06522FA54C}" name="If OTHER state brief summary" dataDxfId="35"/>
    <tableColumn id="21" xr3:uid="{C302B1B2-A586-47EB-8DB0-712D100B9FDB}" name="BMR Generation " dataDxfId="34"/>
    <tableColumn id="22" xr3:uid="{FC60694F-30DA-431E-8EE9-D0D56CC0AF04}" name="Customer Service " dataDxfId="33"/>
    <tableColumn id="23" xr3:uid="{60E0FD03-6D42-42FA-A811-6A21D056212E}" name="QC" dataDxfId="32"/>
    <tableColumn id="24" xr3:uid="{9DD8D657-3B19-4486-B965-D76DA823A9FD}" name="Production " dataDxfId="31"/>
    <tableColumn id="25" xr3:uid="{913A68DE-54CC-464C-B648-C8E0C3D07C19}" name="Customer mistake " dataDxfId="30"/>
    <tableColumn id="26" xr3:uid="{1080F1C2-2EA0-40ED-88C0-A9E8F03A389A}" name="Dispatch" dataDxfId="29"/>
    <tableColumn id="29" xr3:uid="{D5B076B7-7FE2-4AE3-B001-EDA52E8E8C7D}" name="Final release" dataDxfId="28"/>
    <tableColumn id="31" xr3:uid="{4D48E197-4D1F-4B14-8D1C-D4D4BB4914E2}" name="Finance" dataDxfId="27"/>
    <tableColumn id="33" xr3:uid="{566DF881-CE3C-4794-9EFF-D1AD12B4A6AF}" name="R&amp;D" dataDxfId="26"/>
    <tableColumn id="30" xr3:uid="{7E080367-7D97-4BA4-B02A-D325F1DF071E}" name="QA" dataDxfId="25"/>
    <tableColumn id="32" xr3:uid="{9D613DC2-0A99-4A45-B213-F58FD61C35D0}" name="Cant be established " dataDxfId="24"/>
    <tableColumn id="27" xr3:uid="{02FA02E3-7A85-486E-8317-C1DA9D61BF9A}" name="External " dataDxfId="2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67E7BF4-F33C-4569-A1A4-59CA3CEA7B03}" name="Table36" displayName="Table36" ref="A2:P19" totalsRowShown="0" headerRowDxfId="154" dataDxfId="153">
  <autoFilter ref="A2:P19" xr:uid="{10BE771F-1E8C-4D21-809B-F659DE8DA8A7}"/>
  <tableColumns count="16">
    <tableColumn id="1" xr3:uid="{13C6243A-DCB2-4078-B618-5A1C1A4C2893}" name="Complaint Area" dataDxfId="152"/>
    <tableColumn id="2" xr3:uid="{94F1EA77-8DE9-44FA-8774-EE841081660B}" name="Equipment Fault " dataDxfId="151">
      <calculatedColumnFormula>_xlfn.LET(
  _xlpm.result,
  COUNTIFS(
    'Complaint RC Data'!$C:$C, $A3,
    'Complaint RC Data'!D:D, "x",
    'Complaint RC Data'!$B:$B, "&gt;=" &amp; EDATE($B$1, -12),
    'Complaint RC Data'!$B:$B, "&lt;=" &amp; $B$1
  ),
  IF(_xlpm.result = 0, "", _xlpm.result)
)</calculatedColumnFormula>
    </tableColumn>
    <tableColumn id="3" xr3:uid="{CBD55335-35DA-4F09-B20D-9E5C68E774C9}" name="No Procedure In Place" dataDxfId="150">
      <calculatedColumnFormula>_xlfn.LET(
  _xlpm.result,
  COUNTIFS(
    'Complaint RC Data'!$C:$C, $A3,
    'Complaint RC Data'!E:E, "x",
    'Complaint RC Data'!$B:$B, "&gt;=" &amp; EDATE($B$1, -12),
    'Complaint RC Data'!$B:$B, "&lt;=" &amp; $B$1
  ),
  IF(_xlpm.result = 0, "", _xlpm.result)
)</calculatedColumnFormula>
    </tableColumn>
    <tableColumn id="4" xr3:uid="{B6E8BF99-8A81-4BF8-AF23-585A69EF5D59}" name="Procedure Is Defficient" dataDxfId="149">
      <calculatedColumnFormula>_xlfn.LET(
  _xlpm.result,
  COUNTIFS(
    'Complaint RC Data'!$C:$C, $A3,
    'Complaint RC Data'!F:F, "x",
    'Complaint RC Data'!$B:$B, "&gt;=" &amp; EDATE($B$1, -12),
    'Complaint RC Data'!$B:$B, "&lt;=" &amp; $B$1
  ),
  IF(_xlpm.result = 0, "", _xlpm.result)
)</calculatedColumnFormula>
    </tableColumn>
    <tableColumn id="5" xr3:uid="{7EA42D2C-6F34-4434-83B9-E7B65029387A}" name="Training / Skills / Knowledge Issue" dataDxfId="148">
      <calculatedColumnFormula>_xlfn.LET(
  _xlpm.result,
  COUNTIFS(
    'Complaint RC Data'!$C:$C, $A3,
    'Complaint RC Data'!G:G, "x",
    'Complaint RC Data'!$B:$B, "&gt;=" &amp; EDATE($B$1, -12),
    'Complaint RC Data'!$B:$B, "&lt;=" &amp; $B$1
  ),
  IF(_xlpm.result = 0, "", _xlpm.result)
)</calculatedColumnFormula>
    </tableColumn>
    <tableColumn id="6" xr3:uid="{AC378565-2844-45FD-84F3-D9640EC793AD}" name="Human Error" dataDxfId="147">
      <calculatedColumnFormula>_xlfn.LET(
  _xlpm.result,
  COUNTIFS(
    'Complaint RC Data'!$C:$C, $A3,
    'Complaint RC Data'!H:H, "x",
    'Complaint RC Data'!$B:$B, "&gt;=" &amp; EDATE($B$1, -12),
    'Complaint RC Data'!$B:$B, "&lt;=" &amp; $B$1
  ),
  IF(_xlpm.result = 0, "", _xlpm.result)
)</calculatedColumnFormula>
    </tableColumn>
    <tableColumn id="7" xr3:uid="{98FA6758-23C3-43F0-9E21-5C88CA01048A}" name="End User Error" dataDxfId="146">
      <calculatedColumnFormula>_xlfn.LET(
  _xlpm.result,
  COUNTIFS(
    'Complaint RC Data'!$C:$C, $A3,
    'Complaint RC Data'!I:I, "x",
    'Complaint RC Data'!$B:$B, "&gt;=" &amp; EDATE($B$1, -12),
    'Complaint RC Data'!$B:$B, "&lt;=" &amp; $B$1
  ),
  IF(_xlpm.result = 0, "", _xlpm.result)
)</calculatedColumnFormula>
    </tableColumn>
    <tableColumn id="8" xr3:uid="{66B1F7EE-30A9-4745-9FB6-C615DA0F8EFE}" name="Manufacturers Processes Are Deficient" dataDxfId="145">
      <calculatedColumnFormula>_xlfn.LET(
  _xlpm.result,
  COUNTIFS(
    'Complaint RC Data'!$C:$C, $A3,
    'Complaint RC Data'!J:J, "x",
    'Complaint RC Data'!$B:$B, "&gt;=" &amp; EDATE($B$1, -12),
    'Complaint RC Data'!$B:$B, "&lt;=" &amp; $B$1
  ),
  IF(_xlpm.result = 0, "", _xlpm.result)
)</calculatedColumnFormula>
    </tableColumn>
    <tableColumn id="9" xr3:uid="{8302DE1D-59FF-4B71-9895-28BA00A97D2F}" name="Inadequate Segregation Of Products" dataDxfId="144">
      <calculatedColumnFormula>_xlfn.LET(
  _xlpm.result,
  COUNTIFS(
    'Complaint RC Data'!$C:$C, $A3,
    'Complaint RC Data'!K:K, "x",
    'Complaint RC Data'!$B:$B, "&gt;=" &amp; EDATE($B$1, -12),
    'Complaint RC Data'!$B:$B, "&lt;=" &amp; $B$1
  ),
  IF(_xlpm.result = 0, "", _xlpm.result)
)</calculatedColumnFormula>
    </tableColumn>
    <tableColumn id="10" xr3:uid="{6709E786-9835-43B7-A7A6-36FE33353B13}" name="Formulation Issue" dataDxfId="143">
      <calculatedColumnFormula>_xlfn.LET(
  _xlpm.result,
  COUNTIFS(
    'Complaint RC Data'!$C:$C, $A3,
    'Complaint RC Data'!L:L, "x",
    'Complaint RC Data'!$B:$B, "&gt;=" &amp; EDATE($B$1, -12),
    'Complaint RC Data'!$B:$B, "&lt;=" &amp; $B$1
  ),
  IF(_xlpm.result = 0, "", _xlpm.result)
)</calculatedColumnFormula>
    </tableColumn>
    <tableColumn id="11" xr3:uid="{B8F9891C-5A08-44A3-AA9E-AB0F9B09025C}" name="Root Cause Inconclusive" dataDxfId="142">
      <calculatedColumnFormula>_xlfn.LET(
  _xlpm.result,
  COUNTIFS(
    'Complaint RC Data'!$C:$C, $A3,
    'Complaint RC Data'!M:M, "x",
    'Complaint RC Data'!$B:$B, "&gt;=" &amp; EDATE($B$1, -12),
    'Complaint RC Data'!$B:$B, "&lt;=" &amp; $B$1
  ),
  IF(_xlpm.result = 0, "", _xlpm.result)
)</calculatedColumnFormula>
    </tableColumn>
    <tableColumn id="12" xr3:uid="{8D6BC9D3-64A3-4338-AEFB-080E219CAD54}" name="Damage During Transportation/Mishandled By Courier" dataDxfId="141">
      <calculatedColumnFormula>_xlfn.LET(
  _xlpm.result,
  COUNTIFS(
    'Complaint RC Data'!$C:$C, $A3,
    'Complaint RC Data'!N:N, "x",
    'Complaint RC Data'!$B:$B, "&gt;=" &amp; EDATE($B$1, -12),
    'Complaint RC Data'!$B:$B, "&lt;=" &amp; $B$1
  ),
  IF(_xlpm.result = 0, "", _xlpm.result)
)</calculatedColumnFormula>
    </tableColumn>
    <tableColumn id="13" xr3:uid="{BEF412C7-1CF9-48E5-9889-03ED0D75BDFB}" name="Equipment Availability" dataDxfId="140">
      <calculatedColumnFormula>_xlfn.LET(
  _xlpm.result,
  COUNTIFS(
    'Complaint RC Data'!$C:$C, $A3,
    'Complaint RC Data'!O:O, "x",
    'Complaint RC Data'!$B:$B, "&gt;=" &amp; EDATE($B$1, -12),
    'Complaint RC Data'!$B:$B, "&lt;=" &amp; $B$1
  ),
  IF(_xlpm.result = 0, "", _xlpm.result)
)</calculatedColumnFormula>
    </tableColumn>
    <tableColumn id="14" xr3:uid="{7A672519-6528-405A-99FE-7D03B580279A}" name="It/System Issues" dataDxfId="139">
      <calculatedColumnFormula>_xlfn.LET(
  _xlpm.result,
  COUNTIFS(
    'Complaint RC Data'!$C:$C, $A3,
    'Complaint RC Data'!P:P, "x",
    'Complaint RC Data'!$B:$B, "&gt;=" &amp; EDATE($B$1, -12),
    'Complaint RC Data'!$B:$B, "&lt;=" &amp; $B$1
  ),
  IF(_xlpm.result = 0, "", _xlpm.result)
)</calculatedColumnFormula>
    </tableColumn>
    <tableColumn id="15" xr3:uid="{BD826018-B81D-4DF6-89D2-F99AF058C4ED}" name="Inadequate Segregation Of Raw Materials" dataDxfId="138">
      <calculatedColumnFormula>_xlfn.LET(
  _xlpm.result,
  COUNTIFS(
    'Complaint RC Data'!$C:$C, $A3,
    'Complaint RC Data'!Q:Q, "x",
    'Complaint RC Data'!$B:$B, "&gt;=" &amp; EDATE($B$1, -12),
    'Complaint RC Data'!$B:$B, "&lt;=" &amp; $B$1
  ),
  IF(_xlpm.result = 0, "", _xlpm.result)
)</calculatedColumnFormula>
    </tableColumn>
    <tableColumn id="16" xr3:uid="{35763AD1-6375-4878-9C74-AF1FEB711558}" name="Other" dataDxfId="137">
      <calculatedColumnFormula>_xlfn.LET(
  _xlpm.result,
  COUNTIFS(
    'Complaint RC Data'!$C:$C, $A3,
    'Complaint RC Data'!R:R, "x",
    'Complaint RC Data'!$B:$B, "&gt;=" &amp; EDATE($B$1, -12),
    'Complaint RC Data'!$B:$B, "&lt;=" &amp; $B$1
  ),
  IF(_xlpm.result = 0, "", _xlpm.result)
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4AB87-8ECE-4537-8A18-A60A256B848E}">
  <sheetPr codeName="Sheet1"/>
  <dimension ref="A1:B47"/>
  <sheetViews>
    <sheetView workbookViewId="0">
      <selection activeCell="B17" sqref="B17"/>
    </sheetView>
  </sheetViews>
  <sheetFormatPr defaultRowHeight="14.4" x14ac:dyDescent="0.3"/>
  <cols>
    <col min="1" max="1" width="39.6640625" customWidth="1"/>
    <col min="2" max="2" width="47.33203125" customWidth="1"/>
    <col min="4" max="4" width="36.44140625" customWidth="1"/>
  </cols>
  <sheetData>
    <row r="1" spans="1:2" ht="15" thickBot="1" x14ac:dyDescent="0.35">
      <c r="A1" s="7" t="s">
        <v>281</v>
      </c>
      <c r="B1" s="2" t="s">
        <v>283</v>
      </c>
    </row>
    <row r="2" spans="1:2" ht="19.95" customHeight="1" x14ac:dyDescent="0.3">
      <c r="A2" s="6" t="s">
        <v>257</v>
      </c>
      <c r="B2" t="s">
        <v>95</v>
      </c>
    </row>
    <row r="3" spans="1:2" ht="19.95" customHeight="1" x14ac:dyDescent="0.3">
      <c r="A3" s="4" t="s">
        <v>259</v>
      </c>
      <c r="B3" t="s">
        <v>286</v>
      </c>
    </row>
    <row r="4" spans="1:2" ht="19.95" customHeight="1" x14ac:dyDescent="0.3">
      <c r="A4" s="3" t="s">
        <v>260</v>
      </c>
      <c r="B4" t="s">
        <v>96</v>
      </c>
    </row>
    <row r="5" spans="1:2" ht="19.95" customHeight="1" x14ac:dyDescent="0.3">
      <c r="A5" s="4" t="s">
        <v>107</v>
      </c>
      <c r="B5" t="s">
        <v>285</v>
      </c>
    </row>
    <row r="6" spans="1:2" ht="19.95" customHeight="1" x14ac:dyDescent="0.3">
      <c r="A6" s="3" t="s">
        <v>105</v>
      </c>
      <c r="B6" t="s">
        <v>94</v>
      </c>
    </row>
    <row r="7" spans="1:2" ht="19.95" customHeight="1" x14ac:dyDescent="0.3">
      <c r="A7" s="4" t="s">
        <v>261</v>
      </c>
      <c r="B7" t="s">
        <v>258</v>
      </c>
    </row>
    <row r="8" spans="1:2" ht="19.95" customHeight="1" x14ac:dyDescent="0.3">
      <c r="A8" s="3" t="s">
        <v>262</v>
      </c>
      <c r="B8" t="s">
        <v>212</v>
      </c>
    </row>
    <row r="9" spans="1:2" ht="19.95" customHeight="1" x14ac:dyDescent="0.3">
      <c r="A9" s="4" t="s">
        <v>249</v>
      </c>
      <c r="B9" t="s">
        <v>97</v>
      </c>
    </row>
    <row r="10" spans="1:2" ht="19.95" customHeight="1" x14ac:dyDescent="0.3">
      <c r="A10" s="3" t="s">
        <v>263</v>
      </c>
      <c r="B10" t="s">
        <v>287</v>
      </c>
    </row>
    <row r="11" spans="1:2" ht="19.95" customHeight="1" x14ac:dyDescent="0.3">
      <c r="A11" s="4" t="s">
        <v>117</v>
      </c>
      <c r="B11" t="s">
        <v>98</v>
      </c>
    </row>
    <row r="12" spans="1:2" ht="19.95" customHeight="1" x14ac:dyDescent="0.3">
      <c r="A12" s="3" t="s">
        <v>118</v>
      </c>
      <c r="B12" t="s">
        <v>119</v>
      </c>
    </row>
    <row r="13" spans="1:2" ht="19.95" customHeight="1" x14ac:dyDescent="0.3">
      <c r="A13" s="4" t="s">
        <v>119</v>
      </c>
      <c r="B13" t="s">
        <v>288</v>
      </c>
    </row>
    <row r="14" spans="1:2" ht="28.95" customHeight="1" x14ac:dyDescent="0.3">
      <c r="A14" s="3" t="s">
        <v>264</v>
      </c>
      <c r="B14" t="s">
        <v>289</v>
      </c>
    </row>
    <row r="15" spans="1:2" ht="19.95" customHeight="1" x14ac:dyDescent="0.3">
      <c r="A15" s="4" t="s">
        <v>265</v>
      </c>
      <c r="B15" t="s">
        <v>290</v>
      </c>
    </row>
    <row r="16" spans="1:2" ht="19.95" customHeight="1" x14ac:dyDescent="0.3">
      <c r="A16" s="3" t="s">
        <v>120</v>
      </c>
      <c r="B16" t="s">
        <v>258</v>
      </c>
    </row>
    <row r="17" spans="1:2" ht="19.95" customHeight="1" x14ac:dyDescent="0.3">
      <c r="A17" s="4" t="s">
        <v>129</v>
      </c>
      <c r="B17" t="s">
        <v>148</v>
      </c>
    </row>
    <row r="18" spans="1:2" ht="19.95" customHeight="1" x14ac:dyDescent="0.3">
      <c r="A18" s="3" t="s">
        <v>130</v>
      </c>
      <c r="B18" t="s">
        <v>291</v>
      </c>
    </row>
    <row r="19" spans="1:2" ht="19.95" customHeight="1" x14ac:dyDescent="0.3">
      <c r="A19" s="4" t="s">
        <v>248</v>
      </c>
      <c r="B19" t="s">
        <v>89</v>
      </c>
    </row>
    <row r="20" spans="1:2" ht="19.95" customHeight="1" x14ac:dyDescent="0.3">
      <c r="A20" s="3" t="s">
        <v>90</v>
      </c>
    </row>
    <row r="21" spans="1:2" ht="19.95" customHeight="1" x14ac:dyDescent="0.3">
      <c r="A21" s="4" t="s">
        <v>266</v>
      </c>
    </row>
    <row r="22" spans="1:2" ht="19.95" customHeight="1" x14ac:dyDescent="0.3">
      <c r="A22" s="3" t="s">
        <v>92</v>
      </c>
    </row>
    <row r="23" spans="1:2" ht="19.95" customHeight="1" x14ac:dyDescent="0.3">
      <c r="A23" s="4" t="s">
        <v>143</v>
      </c>
    </row>
    <row r="24" spans="1:2" ht="29.4" customHeight="1" x14ac:dyDescent="0.3">
      <c r="A24" s="3" t="s">
        <v>267</v>
      </c>
    </row>
    <row r="25" spans="1:2" ht="19.95" customHeight="1" x14ac:dyDescent="0.3">
      <c r="A25" s="4" t="s">
        <v>268</v>
      </c>
    </row>
    <row r="26" spans="1:2" ht="19.95" customHeight="1" x14ac:dyDescent="0.3">
      <c r="A26" s="3" t="s">
        <v>210</v>
      </c>
    </row>
    <row r="27" spans="1:2" ht="19.95" customHeight="1" x14ac:dyDescent="0.3">
      <c r="A27" s="4" t="s">
        <v>256</v>
      </c>
    </row>
    <row r="28" spans="1:2" ht="19.95" customHeight="1" x14ac:dyDescent="0.3">
      <c r="A28" s="3" t="s">
        <v>212</v>
      </c>
    </row>
    <row r="29" spans="1:2" ht="19.95" customHeight="1" x14ac:dyDescent="0.3">
      <c r="A29" s="4" t="s">
        <v>282</v>
      </c>
    </row>
    <row r="30" spans="1:2" ht="19.95" customHeight="1" x14ac:dyDescent="0.3">
      <c r="A30" s="5" t="s">
        <v>89</v>
      </c>
    </row>
    <row r="31" spans="1:2" ht="19.95" customHeight="1" x14ac:dyDescent="0.3"/>
    <row r="32" spans="1:2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  <row r="38" ht="19.95" customHeight="1" x14ac:dyDescent="0.3"/>
    <row r="39" ht="19.95" customHeight="1" x14ac:dyDescent="0.3"/>
    <row r="40" ht="19.95" customHeight="1" x14ac:dyDescent="0.3"/>
    <row r="41" ht="19.95" customHeight="1" x14ac:dyDescent="0.3"/>
    <row r="42" ht="19.95" customHeight="1" x14ac:dyDescent="0.3"/>
    <row r="43" ht="19.95" customHeight="1" x14ac:dyDescent="0.3"/>
    <row r="44" ht="19.95" customHeight="1" x14ac:dyDescent="0.3"/>
    <row r="45" ht="19.95" customHeight="1" x14ac:dyDescent="0.3"/>
    <row r="46" ht="19.95" customHeight="1" x14ac:dyDescent="0.3"/>
    <row r="47" ht="19.95" customHeight="1" x14ac:dyDescent="0.3"/>
  </sheetData>
  <sheetProtection algorithmName="SHA-512" hashValue="e1rOlvPnr1du6HqNRq1/EowsAbOjWhwgqqej8WPC2Jmyfi/TTef2xTtlnnXbUVjnB5JPGBUMTQGrGq4UWYcvdw==" saltValue="jMNSOh7W211vb12WWjDhjw==" spinCount="100000" sheet="1" objects="1" scenarios="1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F7005-10D3-4278-9AAF-05E9F79FA0CF}">
  <sheetPr codeName="Sheet2"/>
  <dimension ref="A1:AT134"/>
  <sheetViews>
    <sheetView zoomScale="85" zoomScaleNormal="85" workbookViewId="0">
      <pane xSplit="2" ySplit="3" topLeftCell="C36" activePane="bottomRight" state="frozen"/>
      <selection pane="topRight" activeCell="B1" sqref="B1"/>
      <selection pane="bottomLeft" activeCell="A3" sqref="A3"/>
      <selection pane="bottomRight" activeCell="A109" sqref="A109:C116"/>
    </sheetView>
  </sheetViews>
  <sheetFormatPr defaultColWidth="9.109375" defaultRowHeight="14.4" x14ac:dyDescent="0.3"/>
  <cols>
    <col min="1" max="1" width="14.5546875" style="31" customWidth="1"/>
    <col min="2" max="2" width="11.109375" style="31" customWidth="1"/>
    <col min="3" max="3" width="14.5546875" style="31" customWidth="1"/>
    <col min="4" max="4" width="9" style="31" customWidth="1"/>
    <col min="5" max="5" width="13" style="31" bestFit="1" customWidth="1"/>
    <col min="6" max="6" width="10.109375" style="31" customWidth="1"/>
    <col min="7" max="7" width="8.109375" style="31" customWidth="1"/>
    <col min="8" max="8" width="5.109375" style="31" customWidth="1"/>
    <col min="9" max="9" width="10.6640625" style="31" customWidth="1"/>
    <col min="10" max="10" width="10.33203125" style="31" customWidth="1"/>
    <col min="11" max="11" width="7.88671875" style="31" customWidth="1"/>
    <col min="12" max="12" width="6.6640625" style="31" customWidth="1"/>
    <col min="13" max="13" width="12" style="31" customWidth="1"/>
    <col min="14" max="14" width="8.6640625" style="31" customWidth="1"/>
    <col min="15" max="15" width="20.6640625" style="62" customWidth="1"/>
    <col min="16" max="16" width="9.88671875" style="31" customWidth="1"/>
    <col min="17" max="17" width="12.5546875" style="31" customWidth="1"/>
    <col min="18" max="18" width="15" style="31" customWidth="1"/>
    <col min="19" max="19" width="13.44140625" style="31" customWidth="1"/>
    <col min="20" max="20" width="15.44140625" style="31" customWidth="1"/>
    <col min="21" max="21" width="11.88671875" style="31" customWidth="1"/>
    <col min="22" max="23" width="12.6640625" style="31" customWidth="1"/>
    <col min="24" max="24" width="11.6640625" style="31" customWidth="1"/>
    <col min="25" max="25" width="10.44140625" style="31" customWidth="1"/>
    <col min="26" max="26" width="12.109375" style="31" customWidth="1"/>
    <col min="27" max="27" width="12.88671875" style="31" customWidth="1"/>
    <col min="28" max="28" width="10.88671875" style="31" customWidth="1"/>
    <col min="29" max="29" width="11.33203125" style="31" customWidth="1"/>
    <col min="30" max="30" width="7.6640625" style="31" customWidth="1"/>
    <col min="31" max="31" width="14.109375" style="31" customWidth="1"/>
    <col min="32" max="32" width="12.109375" style="31" customWidth="1"/>
    <col min="33" max="33" width="9.109375" style="31" customWidth="1"/>
    <col min="34" max="34" width="13.33203125" style="39" customWidth="1"/>
    <col min="35" max="35" width="8.109375" style="39" customWidth="1"/>
    <col min="36" max="36" width="5.88671875" style="39" customWidth="1"/>
    <col min="37" max="37" width="6.6640625" style="39" customWidth="1"/>
    <col min="38" max="38" width="11" style="39" customWidth="1"/>
    <col min="39" max="39" width="7.5546875" style="39" customWidth="1"/>
    <col min="40" max="40" width="9.109375" style="39" customWidth="1"/>
    <col min="41" max="41" width="7.33203125" style="39" customWidth="1"/>
    <col min="42" max="42" width="9.5546875" style="39" customWidth="1"/>
    <col min="43" max="43" width="7.33203125" style="39" customWidth="1"/>
    <col min="44" max="44" width="12.44140625" style="39" customWidth="1"/>
    <col min="45" max="45" width="6.5546875" style="39" customWidth="1"/>
    <col min="46" max="16384" width="9.109375" style="39"/>
  </cols>
  <sheetData>
    <row r="1" spans="1:46" customFormat="1" ht="47.25" customHeight="1" thickBot="1" x14ac:dyDescent="0.55000000000000004">
      <c r="A1" s="63"/>
      <c r="B1" s="63"/>
      <c r="C1" s="63"/>
      <c r="D1" s="98" t="s">
        <v>164</v>
      </c>
      <c r="E1" s="99"/>
      <c r="F1" s="99"/>
      <c r="G1" s="99"/>
      <c r="H1" s="99"/>
      <c r="I1" s="99"/>
      <c r="J1" s="99"/>
      <c r="K1" s="99"/>
      <c r="L1" s="99"/>
      <c r="M1" s="99"/>
      <c r="N1" s="100"/>
      <c r="O1" s="116"/>
      <c r="P1" s="110" t="s">
        <v>47</v>
      </c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2"/>
      <c r="AI1" s="107" t="s">
        <v>162</v>
      </c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9"/>
    </row>
    <row r="2" spans="1:46" customFormat="1" ht="15.75" customHeight="1" thickBot="1" x14ac:dyDescent="0.35">
      <c r="A2" s="63"/>
      <c r="B2" s="63"/>
      <c r="C2" s="63"/>
      <c r="D2" s="101"/>
      <c r="E2" s="102"/>
      <c r="F2" s="102"/>
      <c r="G2" s="102"/>
      <c r="H2" s="102"/>
      <c r="I2" s="102"/>
      <c r="J2" s="102"/>
      <c r="K2" s="102"/>
      <c r="L2" s="102"/>
      <c r="M2" s="102"/>
      <c r="N2" s="103"/>
      <c r="O2" s="116"/>
      <c r="P2" s="113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5"/>
      <c r="AI2" s="104" t="s">
        <v>111</v>
      </c>
      <c r="AJ2" s="105"/>
      <c r="AK2" s="106"/>
      <c r="AL2" s="104" t="s">
        <v>205</v>
      </c>
      <c r="AM2" s="105"/>
      <c r="AN2" s="105"/>
      <c r="AO2" s="105"/>
      <c r="AP2" s="105"/>
      <c r="AQ2" s="105"/>
      <c r="AR2" s="105"/>
      <c r="AS2" s="105"/>
      <c r="AT2" s="106"/>
    </row>
    <row r="3" spans="1:46" customFormat="1" ht="62.4" x14ac:dyDescent="0.3">
      <c r="A3" s="72" t="s">
        <v>49</v>
      </c>
      <c r="B3" s="73" t="s">
        <v>173</v>
      </c>
      <c r="C3" s="71" t="s">
        <v>151</v>
      </c>
      <c r="D3" s="64" t="s">
        <v>116</v>
      </c>
      <c r="E3" s="64" t="s">
        <v>115</v>
      </c>
      <c r="F3" s="64" t="s">
        <v>113</v>
      </c>
      <c r="G3" s="64" t="s">
        <v>109</v>
      </c>
      <c r="H3" s="64" t="s">
        <v>132</v>
      </c>
      <c r="I3" s="64" t="s">
        <v>110</v>
      </c>
      <c r="J3" s="64" t="s">
        <v>112</v>
      </c>
      <c r="K3" s="64" t="s">
        <v>103</v>
      </c>
      <c r="L3" s="64" t="s">
        <v>102</v>
      </c>
      <c r="M3" s="64" t="s">
        <v>123</v>
      </c>
      <c r="N3" s="64" t="s">
        <v>122</v>
      </c>
      <c r="O3" s="74" t="s">
        <v>48</v>
      </c>
      <c r="P3" s="75" t="s">
        <v>88</v>
      </c>
      <c r="Q3" s="75" t="s">
        <v>188</v>
      </c>
      <c r="R3" s="65" t="s">
        <v>196</v>
      </c>
      <c r="S3" s="65" t="s">
        <v>197</v>
      </c>
      <c r="T3" s="65" t="s">
        <v>189</v>
      </c>
      <c r="U3" s="65" t="s">
        <v>193</v>
      </c>
      <c r="V3" s="65" t="s">
        <v>46</v>
      </c>
      <c r="W3" s="65" t="s">
        <v>45</v>
      </c>
      <c r="X3" s="65" t="s">
        <v>190</v>
      </c>
      <c r="Y3" s="65" t="s">
        <v>44</v>
      </c>
      <c r="Z3" s="65" t="s">
        <v>191</v>
      </c>
      <c r="AA3" s="65" t="s">
        <v>170</v>
      </c>
      <c r="AB3" s="75" t="s">
        <v>192</v>
      </c>
      <c r="AC3" s="75" t="s">
        <v>194</v>
      </c>
      <c r="AD3" s="75" t="s">
        <v>172</v>
      </c>
      <c r="AE3" s="75" t="s">
        <v>171</v>
      </c>
      <c r="AF3" s="75" t="s">
        <v>87</v>
      </c>
      <c r="AG3" s="75" t="s">
        <v>195</v>
      </c>
      <c r="AH3" s="75" t="s">
        <v>89</v>
      </c>
      <c r="AI3" s="75" t="s">
        <v>198</v>
      </c>
      <c r="AJ3" s="75" t="s">
        <v>104</v>
      </c>
      <c r="AK3" s="75" t="s">
        <v>199</v>
      </c>
      <c r="AL3" s="75" t="s">
        <v>128</v>
      </c>
      <c r="AM3" s="75" t="s">
        <v>200</v>
      </c>
      <c r="AN3" s="75" t="s">
        <v>201</v>
      </c>
      <c r="AO3" s="75" t="s">
        <v>153</v>
      </c>
      <c r="AP3" s="75" t="s">
        <v>203</v>
      </c>
      <c r="AQ3" s="75" t="s">
        <v>114</v>
      </c>
      <c r="AR3" s="75" t="s">
        <v>204</v>
      </c>
      <c r="AS3" s="75" t="s">
        <v>202</v>
      </c>
      <c r="AT3" s="75" t="s">
        <v>154</v>
      </c>
    </row>
    <row r="4" spans="1:46" hidden="1" x14ac:dyDescent="0.3">
      <c r="A4" s="33" t="s">
        <v>43</v>
      </c>
      <c r="B4" s="34">
        <v>45300</v>
      </c>
      <c r="C4" s="33" t="s">
        <v>102</v>
      </c>
      <c r="D4" s="33"/>
      <c r="E4" s="33"/>
      <c r="F4" s="33"/>
      <c r="G4" s="33"/>
      <c r="H4" s="33"/>
      <c r="I4" s="33"/>
      <c r="J4" s="33"/>
      <c r="K4" s="33"/>
      <c r="L4" s="33" t="s">
        <v>30</v>
      </c>
      <c r="M4" s="33"/>
      <c r="N4" s="33"/>
      <c r="O4" s="35" t="s">
        <v>42</v>
      </c>
      <c r="P4" s="36"/>
      <c r="Q4" s="36"/>
      <c r="R4" s="36"/>
      <c r="S4" s="36"/>
      <c r="T4" s="36"/>
      <c r="U4" s="36"/>
      <c r="V4" s="36" t="s">
        <v>30</v>
      </c>
      <c r="W4" s="36"/>
      <c r="X4" s="36"/>
      <c r="Y4" s="36"/>
      <c r="Z4" s="36"/>
      <c r="AA4" s="36"/>
      <c r="AB4" s="36"/>
      <c r="AC4" s="36"/>
      <c r="AD4" s="36"/>
      <c r="AE4" s="36"/>
      <c r="AF4" s="36"/>
      <c r="AG4" s="37"/>
      <c r="AH4" s="38"/>
      <c r="AI4" s="33"/>
      <c r="AJ4" s="33"/>
      <c r="AK4" s="33"/>
      <c r="AL4" s="33"/>
      <c r="AM4" s="33" t="s">
        <v>30</v>
      </c>
      <c r="AN4" s="33"/>
      <c r="AO4" s="33"/>
      <c r="AP4" s="33"/>
      <c r="AQ4" s="33"/>
      <c r="AR4" s="33"/>
      <c r="AS4" s="33"/>
      <c r="AT4" s="33"/>
    </row>
    <row r="5" spans="1:46" hidden="1" x14ac:dyDescent="0.3">
      <c r="A5" s="33" t="s">
        <v>41</v>
      </c>
      <c r="B5" s="34">
        <v>45300</v>
      </c>
      <c r="C5" s="33" t="s">
        <v>102</v>
      </c>
      <c r="D5" s="33"/>
      <c r="E5" s="33"/>
      <c r="F5" s="33"/>
      <c r="G5" s="33"/>
      <c r="H5" s="33"/>
      <c r="I5" s="33"/>
      <c r="J5" s="33"/>
      <c r="K5" s="33"/>
      <c r="L5" s="33" t="s">
        <v>30</v>
      </c>
      <c r="M5" s="33"/>
      <c r="N5" s="33"/>
      <c r="O5" s="35" t="s">
        <v>106</v>
      </c>
      <c r="P5" s="36"/>
      <c r="Q5" s="36"/>
      <c r="R5" s="36"/>
      <c r="S5" s="36"/>
      <c r="T5" s="36"/>
      <c r="U5" s="36"/>
      <c r="V5" s="36"/>
      <c r="W5" s="36" t="s">
        <v>30</v>
      </c>
      <c r="X5" s="36"/>
      <c r="Y5" s="36"/>
      <c r="Z5" s="36"/>
      <c r="AA5" s="36"/>
      <c r="AB5" s="36"/>
      <c r="AC5" s="36"/>
      <c r="AD5" s="36"/>
      <c r="AE5" s="36"/>
      <c r="AF5" s="36"/>
      <c r="AG5" s="36"/>
      <c r="AH5" s="40"/>
      <c r="AI5" s="33"/>
      <c r="AJ5" s="33"/>
      <c r="AK5" s="33"/>
      <c r="AL5" s="33"/>
      <c r="AM5" s="33" t="s">
        <v>30</v>
      </c>
      <c r="AN5" s="33"/>
      <c r="AO5" s="33"/>
      <c r="AP5" s="33"/>
      <c r="AQ5" s="33"/>
      <c r="AR5" s="33"/>
      <c r="AS5" s="33"/>
      <c r="AT5" s="33"/>
    </row>
    <row r="6" spans="1:46" ht="43.2" hidden="1" x14ac:dyDescent="0.3">
      <c r="A6" s="33" t="s">
        <v>40</v>
      </c>
      <c r="B6" s="34">
        <v>45306</v>
      </c>
      <c r="C6" s="33" t="s">
        <v>102</v>
      </c>
      <c r="D6" s="33"/>
      <c r="E6" s="33"/>
      <c r="F6" s="33"/>
      <c r="G6" s="33"/>
      <c r="H6" s="33"/>
      <c r="I6" s="33"/>
      <c r="J6" s="33"/>
      <c r="K6" s="33"/>
      <c r="L6" s="33" t="s">
        <v>30</v>
      </c>
      <c r="M6" s="33"/>
      <c r="N6" s="33"/>
      <c r="O6" s="35" t="s">
        <v>39</v>
      </c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 t="s">
        <v>30</v>
      </c>
      <c r="AG6" s="36"/>
      <c r="AH6" s="40"/>
      <c r="AI6" s="33"/>
      <c r="AJ6" s="33"/>
      <c r="AK6" s="33"/>
      <c r="AL6" s="33"/>
      <c r="AM6" s="33" t="s">
        <v>30</v>
      </c>
      <c r="AN6" s="33"/>
      <c r="AO6" s="33"/>
      <c r="AP6" s="33"/>
      <c r="AQ6" s="33"/>
      <c r="AR6" s="33"/>
      <c r="AS6" s="33"/>
      <c r="AT6" s="33"/>
    </row>
    <row r="7" spans="1:46" hidden="1" x14ac:dyDescent="0.3">
      <c r="A7" s="33" t="s">
        <v>38</v>
      </c>
      <c r="B7" s="34">
        <v>45307</v>
      </c>
      <c r="C7" s="33" t="s">
        <v>102</v>
      </c>
      <c r="D7" s="33"/>
      <c r="E7" s="33"/>
      <c r="F7" s="33"/>
      <c r="G7" s="33"/>
      <c r="H7" s="33"/>
      <c r="I7" s="33"/>
      <c r="J7" s="33"/>
      <c r="K7" s="33"/>
      <c r="L7" s="33" t="s">
        <v>30</v>
      </c>
      <c r="M7" s="33"/>
      <c r="N7" s="33"/>
      <c r="O7" s="35" t="s">
        <v>106</v>
      </c>
      <c r="P7" s="36"/>
      <c r="Q7" s="36"/>
      <c r="R7" s="36"/>
      <c r="S7" s="36"/>
      <c r="T7" s="36"/>
      <c r="U7" s="36"/>
      <c r="V7" s="36"/>
      <c r="W7" s="36"/>
      <c r="X7" s="36" t="s">
        <v>30</v>
      </c>
      <c r="Y7" s="36"/>
      <c r="Z7" s="36"/>
      <c r="AA7" s="36"/>
      <c r="AB7" s="36"/>
      <c r="AC7" s="36"/>
      <c r="AD7" s="36"/>
      <c r="AE7" s="36"/>
      <c r="AF7" s="36"/>
      <c r="AG7" s="36"/>
      <c r="AH7" s="40"/>
      <c r="AI7" s="33"/>
      <c r="AJ7" s="33"/>
      <c r="AK7" s="33"/>
      <c r="AL7" s="33"/>
      <c r="AM7" s="33" t="s">
        <v>30</v>
      </c>
      <c r="AN7" s="33"/>
      <c r="AO7" s="33"/>
      <c r="AP7" s="33"/>
      <c r="AQ7" s="33"/>
      <c r="AR7" s="33"/>
      <c r="AS7" s="33"/>
      <c r="AT7" s="33"/>
    </row>
    <row r="8" spans="1:46" hidden="1" x14ac:dyDescent="0.3">
      <c r="A8" s="33" t="s">
        <v>37</v>
      </c>
      <c r="B8" s="34">
        <v>45307</v>
      </c>
      <c r="C8" s="33" t="s">
        <v>102</v>
      </c>
      <c r="D8" s="33"/>
      <c r="E8" s="33"/>
      <c r="F8" s="33"/>
      <c r="G8" s="33"/>
      <c r="H8" s="33"/>
      <c r="I8" s="33"/>
      <c r="J8" s="33"/>
      <c r="K8" s="33"/>
      <c r="L8" s="33" t="s">
        <v>30</v>
      </c>
      <c r="M8" s="33"/>
      <c r="N8" s="33"/>
      <c r="O8" s="35" t="s">
        <v>107</v>
      </c>
      <c r="P8" s="36" t="s">
        <v>30</v>
      </c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40"/>
      <c r="AI8" s="33"/>
      <c r="AJ8" s="33"/>
      <c r="AK8" s="33"/>
      <c r="AL8" s="33"/>
      <c r="AM8" s="33" t="s">
        <v>30</v>
      </c>
      <c r="AN8" s="33"/>
      <c r="AO8" s="33"/>
      <c r="AP8" s="33"/>
      <c r="AQ8" s="33"/>
      <c r="AR8" s="33"/>
      <c r="AS8" s="33"/>
      <c r="AT8" s="33"/>
    </row>
    <row r="9" spans="1:46" hidden="1" x14ac:dyDescent="0.3">
      <c r="A9" s="33" t="s">
        <v>36</v>
      </c>
      <c r="B9" s="34">
        <v>45308</v>
      </c>
      <c r="C9" s="33" t="s">
        <v>103</v>
      </c>
      <c r="D9" s="33"/>
      <c r="E9" s="33"/>
      <c r="F9" s="33"/>
      <c r="G9" s="33"/>
      <c r="H9" s="33"/>
      <c r="I9" s="33"/>
      <c r="J9" s="33"/>
      <c r="K9" s="33" t="s">
        <v>30</v>
      </c>
      <c r="L9" s="33"/>
      <c r="M9" s="33"/>
      <c r="N9" s="33"/>
      <c r="O9" s="41" t="s">
        <v>105</v>
      </c>
      <c r="P9" s="36"/>
      <c r="Q9" s="36"/>
      <c r="R9" s="36"/>
      <c r="S9" s="36"/>
      <c r="T9" s="36"/>
      <c r="U9" s="36"/>
      <c r="V9" s="36" t="s">
        <v>30</v>
      </c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40"/>
      <c r="AI9" s="33"/>
      <c r="AJ9" s="33"/>
      <c r="AK9" s="33" t="s">
        <v>30</v>
      </c>
      <c r="AL9" s="33"/>
      <c r="AM9" s="33"/>
      <c r="AN9" s="33"/>
      <c r="AO9" s="33"/>
      <c r="AP9" s="33"/>
      <c r="AQ9" s="33"/>
      <c r="AR9" s="33"/>
      <c r="AS9" s="33"/>
      <c r="AT9" s="33"/>
    </row>
    <row r="10" spans="1:46" ht="28.8" hidden="1" x14ac:dyDescent="0.3">
      <c r="A10" s="33" t="s">
        <v>35</v>
      </c>
      <c r="B10" s="34">
        <v>45308</v>
      </c>
      <c r="C10" s="33" t="s">
        <v>103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 t="s">
        <v>30</v>
      </c>
      <c r="O10" s="41" t="s">
        <v>108</v>
      </c>
      <c r="P10" s="36"/>
      <c r="Q10" s="36"/>
      <c r="R10" s="36"/>
      <c r="S10" s="36"/>
      <c r="T10" s="36"/>
      <c r="U10" s="36"/>
      <c r="V10" s="36" t="s">
        <v>30</v>
      </c>
      <c r="W10" s="36"/>
      <c r="X10" s="36"/>
      <c r="Y10" s="36" t="s">
        <v>30</v>
      </c>
      <c r="Z10" s="36"/>
      <c r="AA10" s="36" t="s">
        <v>30</v>
      </c>
      <c r="AB10" s="36"/>
      <c r="AC10" s="36"/>
      <c r="AD10" s="36"/>
      <c r="AE10" s="36"/>
      <c r="AF10" s="36"/>
      <c r="AG10" s="36"/>
      <c r="AH10" s="40"/>
      <c r="AI10" s="33"/>
      <c r="AJ10" s="33"/>
      <c r="AK10" s="33"/>
      <c r="AL10" s="33" t="s">
        <v>30</v>
      </c>
      <c r="AM10" s="33"/>
      <c r="AN10" s="33"/>
      <c r="AO10" s="33" t="s">
        <v>30</v>
      </c>
      <c r="AP10" s="33"/>
      <c r="AQ10" s="33"/>
      <c r="AR10" s="33"/>
      <c r="AS10" s="33"/>
      <c r="AT10" s="33"/>
    </row>
    <row r="11" spans="1:46" hidden="1" x14ac:dyDescent="0.3">
      <c r="A11" s="33" t="s">
        <v>34</v>
      </c>
      <c r="B11" s="34">
        <v>45310</v>
      </c>
      <c r="C11" s="33" t="s">
        <v>110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 t="s">
        <v>30</v>
      </c>
      <c r="O11" s="35" t="s">
        <v>126</v>
      </c>
      <c r="P11" s="36"/>
      <c r="Q11" s="36"/>
      <c r="R11" s="36"/>
      <c r="S11" s="36"/>
      <c r="T11" s="36" t="s">
        <v>30</v>
      </c>
      <c r="U11" s="36"/>
      <c r="V11" s="36" t="s">
        <v>30</v>
      </c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40"/>
      <c r="AI11" s="33"/>
      <c r="AJ11" s="33"/>
      <c r="AK11" s="33"/>
      <c r="AL11" s="33" t="s">
        <v>30</v>
      </c>
      <c r="AM11" s="33"/>
      <c r="AN11" s="33" t="s">
        <v>30</v>
      </c>
      <c r="AO11" s="33"/>
      <c r="AP11" s="33"/>
      <c r="AQ11" s="33"/>
      <c r="AR11" s="33"/>
      <c r="AS11" s="33"/>
      <c r="AT11" s="33"/>
    </row>
    <row r="12" spans="1:46" hidden="1" x14ac:dyDescent="0.3">
      <c r="A12" s="33" t="s">
        <v>33</v>
      </c>
      <c r="B12" s="34">
        <v>45315</v>
      </c>
      <c r="C12" s="33" t="s">
        <v>127</v>
      </c>
      <c r="D12" s="33"/>
      <c r="E12" s="33"/>
      <c r="F12" s="33"/>
      <c r="G12" s="33"/>
      <c r="H12" s="33"/>
      <c r="I12" s="33"/>
      <c r="J12" s="33"/>
      <c r="K12" s="33" t="s">
        <v>30</v>
      </c>
      <c r="L12" s="33"/>
      <c r="M12" s="33"/>
      <c r="N12" s="33"/>
      <c r="O12" s="35" t="s">
        <v>32</v>
      </c>
      <c r="P12" s="36"/>
      <c r="Q12" s="36" t="s">
        <v>30</v>
      </c>
      <c r="R12" s="36" t="s">
        <v>30</v>
      </c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40"/>
      <c r="AI12" s="33"/>
      <c r="AJ12" s="33"/>
      <c r="AK12" s="33"/>
      <c r="AL12" s="33"/>
      <c r="AM12" s="33"/>
      <c r="AN12" s="33"/>
      <c r="AO12" s="33" t="s">
        <v>30</v>
      </c>
      <c r="AP12" s="33"/>
      <c r="AQ12" s="33"/>
      <c r="AR12" s="33"/>
      <c r="AS12" s="33"/>
      <c r="AT12" s="33"/>
    </row>
    <row r="13" spans="1:46" hidden="1" x14ac:dyDescent="0.3">
      <c r="A13" s="33" t="s">
        <v>31</v>
      </c>
      <c r="B13" s="34">
        <v>45327</v>
      </c>
      <c r="C13" s="33" t="s">
        <v>103</v>
      </c>
      <c r="D13" s="33"/>
      <c r="E13" s="33"/>
      <c r="F13" s="33"/>
      <c r="G13" s="33"/>
      <c r="H13" s="33"/>
      <c r="I13" s="33"/>
      <c r="J13" s="33"/>
      <c r="K13" s="33" t="s">
        <v>30</v>
      </c>
      <c r="L13" s="33"/>
      <c r="M13" s="33"/>
      <c r="N13" s="33"/>
      <c r="O13" s="35" t="s">
        <v>121</v>
      </c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 t="s">
        <v>30</v>
      </c>
      <c r="AA13" s="36" t="s">
        <v>30</v>
      </c>
      <c r="AB13" s="36"/>
      <c r="AC13" s="36"/>
      <c r="AD13" s="36"/>
      <c r="AE13" s="36"/>
      <c r="AF13" s="36"/>
      <c r="AG13" s="36"/>
      <c r="AH13" s="40"/>
      <c r="AI13" s="33"/>
      <c r="AJ13" s="33"/>
      <c r="AK13" s="33" t="s">
        <v>30</v>
      </c>
      <c r="AL13" s="33"/>
      <c r="AM13" s="33"/>
      <c r="AN13" s="33"/>
      <c r="AO13" s="33"/>
      <c r="AP13" s="33"/>
      <c r="AQ13" s="33"/>
      <c r="AR13" s="33"/>
      <c r="AS13" s="33"/>
      <c r="AT13" s="33"/>
    </row>
    <row r="14" spans="1:46" hidden="1" x14ac:dyDescent="0.3">
      <c r="A14" s="33" t="s">
        <v>29</v>
      </c>
      <c r="B14" s="34">
        <v>45327</v>
      </c>
      <c r="C14" s="33" t="s">
        <v>102</v>
      </c>
      <c r="D14" s="33"/>
      <c r="E14" s="33"/>
      <c r="F14" s="33"/>
      <c r="G14" s="33"/>
      <c r="H14" s="33"/>
      <c r="I14" s="33"/>
      <c r="J14" s="33"/>
      <c r="K14" s="33"/>
      <c r="L14" s="33" t="s">
        <v>30</v>
      </c>
      <c r="M14" s="33"/>
      <c r="N14" s="33"/>
      <c r="O14" s="35" t="s">
        <v>42</v>
      </c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42" t="s">
        <v>30</v>
      </c>
      <c r="AG14" s="42"/>
      <c r="AH14" s="40"/>
      <c r="AI14" s="33"/>
      <c r="AJ14" s="33"/>
      <c r="AK14" s="33"/>
      <c r="AL14" s="33"/>
      <c r="AM14" s="33" t="s">
        <v>30</v>
      </c>
      <c r="AN14" s="33"/>
      <c r="AO14" s="33"/>
      <c r="AP14" s="33"/>
      <c r="AQ14" s="33"/>
      <c r="AR14" s="33"/>
      <c r="AS14" s="33"/>
      <c r="AT14" s="33"/>
    </row>
    <row r="15" spans="1:46" hidden="1" x14ac:dyDescent="0.3">
      <c r="A15" s="33" t="s">
        <v>28</v>
      </c>
      <c r="B15" s="34">
        <v>45327</v>
      </c>
      <c r="C15" s="33" t="s">
        <v>102</v>
      </c>
      <c r="D15" s="33"/>
      <c r="E15" s="33"/>
      <c r="F15" s="33"/>
      <c r="G15" s="33"/>
      <c r="H15" s="33"/>
      <c r="I15" s="33"/>
      <c r="J15" s="33"/>
      <c r="K15" s="33"/>
      <c r="L15" s="33" t="s">
        <v>30</v>
      </c>
      <c r="M15" s="33"/>
      <c r="N15" s="33"/>
      <c r="O15" s="35" t="s">
        <v>117</v>
      </c>
      <c r="P15" s="36"/>
      <c r="Q15" s="36"/>
      <c r="R15" s="36"/>
      <c r="S15" s="36"/>
      <c r="T15" s="36"/>
      <c r="U15" s="36"/>
      <c r="V15" s="42" t="s">
        <v>30</v>
      </c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40"/>
      <c r="AI15" s="33"/>
      <c r="AJ15" s="33"/>
      <c r="AK15" s="33"/>
      <c r="AL15" s="33"/>
      <c r="AM15" s="33" t="s">
        <v>30</v>
      </c>
      <c r="AN15" s="33"/>
      <c r="AO15" s="33"/>
      <c r="AP15" s="33"/>
      <c r="AQ15" s="33"/>
      <c r="AR15" s="33"/>
      <c r="AS15" s="33"/>
      <c r="AT15" s="33"/>
    </row>
    <row r="16" spans="1:46" ht="28.8" hidden="1" x14ac:dyDescent="0.3">
      <c r="A16" s="33" t="s">
        <v>27</v>
      </c>
      <c r="B16" s="34">
        <v>45337</v>
      </c>
      <c r="C16" s="33" t="s">
        <v>102</v>
      </c>
      <c r="D16" s="33"/>
      <c r="E16" s="33"/>
      <c r="F16" s="33"/>
      <c r="G16" s="33"/>
      <c r="H16" s="33"/>
      <c r="I16" s="33"/>
      <c r="J16" s="33"/>
      <c r="K16" s="33"/>
      <c r="L16" s="33" t="s">
        <v>30</v>
      </c>
      <c r="M16" s="33"/>
      <c r="N16" s="33"/>
      <c r="O16" s="35" t="s">
        <v>118</v>
      </c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43" t="s">
        <v>86</v>
      </c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</row>
    <row r="17" spans="1:46" hidden="1" x14ac:dyDescent="0.3">
      <c r="A17" s="33" t="s">
        <v>26</v>
      </c>
      <c r="B17" s="34">
        <v>45350</v>
      </c>
      <c r="C17" s="33" t="s">
        <v>103</v>
      </c>
      <c r="D17" s="33"/>
      <c r="E17" s="33"/>
      <c r="F17" s="33"/>
      <c r="G17" s="33"/>
      <c r="H17" s="33"/>
      <c r="I17" s="33"/>
      <c r="J17" s="33"/>
      <c r="K17" s="33" t="s">
        <v>30</v>
      </c>
      <c r="L17" s="33"/>
      <c r="M17" s="33"/>
      <c r="N17" s="33"/>
      <c r="O17" s="35" t="s">
        <v>119</v>
      </c>
      <c r="P17" s="36"/>
      <c r="Q17" s="36"/>
      <c r="R17" s="36"/>
      <c r="S17" s="36"/>
      <c r="T17" s="36"/>
      <c r="U17" s="36"/>
      <c r="V17" s="42" t="s">
        <v>30</v>
      </c>
      <c r="W17" s="36"/>
      <c r="X17" s="36"/>
      <c r="Y17" s="36"/>
      <c r="Z17" s="36"/>
      <c r="AA17" s="36" t="s">
        <v>30</v>
      </c>
      <c r="AB17" s="36"/>
      <c r="AC17" s="36"/>
      <c r="AD17" s="36"/>
      <c r="AE17" s="36"/>
      <c r="AF17" s="36"/>
      <c r="AG17" s="36"/>
      <c r="AH17" s="40"/>
      <c r="AI17" s="33"/>
      <c r="AJ17" s="33"/>
      <c r="AK17" s="33" t="s">
        <v>30</v>
      </c>
      <c r="AL17" s="33"/>
      <c r="AM17" s="33"/>
      <c r="AN17" s="33"/>
      <c r="AO17" s="33"/>
      <c r="AP17" s="33"/>
      <c r="AQ17" s="33"/>
      <c r="AR17" s="33"/>
      <c r="AS17" s="33"/>
      <c r="AT17" s="33"/>
    </row>
    <row r="18" spans="1:46" hidden="1" x14ac:dyDescent="0.3">
      <c r="A18" s="33" t="s">
        <v>25</v>
      </c>
      <c r="B18" s="34">
        <v>45351</v>
      </c>
      <c r="C18" s="33" t="s">
        <v>103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 t="s">
        <v>30</v>
      </c>
      <c r="O18" s="35" t="s">
        <v>101</v>
      </c>
      <c r="P18" s="36"/>
      <c r="Q18" s="36"/>
      <c r="R18" s="36"/>
      <c r="S18" s="36"/>
      <c r="T18" s="36" t="s">
        <v>30</v>
      </c>
      <c r="U18" s="36"/>
      <c r="V18" s="36"/>
      <c r="W18" s="36"/>
      <c r="X18" s="36"/>
      <c r="Y18" s="36"/>
      <c r="Z18" s="36" t="s">
        <v>30</v>
      </c>
      <c r="AA18" s="36"/>
      <c r="AB18" s="36"/>
      <c r="AC18" s="36"/>
      <c r="AD18" s="36"/>
      <c r="AE18" s="36"/>
      <c r="AF18" s="36"/>
      <c r="AG18" s="36"/>
      <c r="AH18" s="40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</row>
    <row r="19" spans="1:46" hidden="1" x14ac:dyDescent="0.3">
      <c r="A19" s="33" t="s">
        <v>24</v>
      </c>
      <c r="B19" s="34">
        <v>45356</v>
      </c>
      <c r="C19" s="33" t="s">
        <v>110</v>
      </c>
      <c r="D19" s="33"/>
      <c r="E19" s="33"/>
      <c r="F19" s="33"/>
      <c r="G19" s="33"/>
      <c r="H19" s="33"/>
      <c r="I19" s="33" t="s">
        <v>30</v>
      </c>
      <c r="J19" s="33"/>
      <c r="K19" s="33"/>
      <c r="L19" s="33"/>
      <c r="M19" s="33"/>
      <c r="N19" s="33"/>
      <c r="O19" s="35" t="s">
        <v>161</v>
      </c>
      <c r="P19" s="36"/>
      <c r="Q19" s="36"/>
      <c r="R19" s="36"/>
      <c r="S19" s="36"/>
      <c r="T19" s="36"/>
      <c r="U19" s="36"/>
      <c r="V19" s="36" t="s">
        <v>30</v>
      </c>
      <c r="W19" s="36"/>
      <c r="X19" s="36"/>
      <c r="Y19" s="36" t="s">
        <v>30</v>
      </c>
      <c r="Z19" s="36"/>
      <c r="AA19" s="36"/>
      <c r="AB19" s="36"/>
      <c r="AC19" s="36"/>
      <c r="AD19" s="36"/>
      <c r="AE19" s="36"/>
      <c r="AF19" s="36"/>
      <c r="AG19" s="36"/>
      <c r="AH19" s="40"/>
      <c r="AI19" s="33"/>
      <c r="AJ19" s="33"/>
      <c r="AK19" s="33"/>
      <c r="AL19" s="33" t="s">
        <v>30</v>
      </c>
      <c r="AM19" s="33"/>
      <c r="AN19" s="33"/>
      <c r="AO19" s="33"/>
      <c r="AP19" s="33"/>
      <c r="AQ19" s="33"/>
      <c r="AR19" s="33"/>
      <c r="AS19" s="33"/>
      <c r="AT19" s="33"/>
    </row>
    <row r="20" spans="1:46" ht="28.8" hidden="1" x14ac:dyDescent="0.3">
      <c r="A20" s="33" t="s">
        <v>23</v>
      </c>
      <c r="B20" s="34">
        <v>45356</v>
      </c>
      <c r="C20" s="33" t="s">
        <v>103</v>
      </c>
      <c r="D20" s="33"/>
      <c r="E20" s="33"/>
      <c r="F20" s="33"/>
      <c r="G20" s="33"/>
      <c r="H20" s="33"/>
      <c r="I20" s="33"/>
      <c r="J20" s="33"/>
      <c r="K20" s="33" t="s">
        <v>30</v>
      </c>
      <c r="L20" s="33"/>
      <c r="M20" s="33"/>
      <c r="N20" s="33"/>
      <c r="O20" s="35" t="s">
        <v>120</v>
      </c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 t="s">
        <v>30</v>
      </c>
      <c r="AA20" s="36" t="s">
        <v>30</v>
      </c>
      <c r="AB20" s="36" t="s">
        <v>30</v>
      </c>
      <c r="AC20" s="36"/>
      <c r="AD20" s="36"/>
      <c r="AE20" s="36"/>
      <c r="AF20" s="36"/>
      <c r="AG20" s="36"/>
      <c r="AH20" s="40"/>
      <c r="AI20" s="33"/>
      <c r="AJ20" s="33"/>
      <c r="AK20" s="33" t="s">
        <v>30</v>
      </c>
      <c r="AL20" s="33"/>
      <c r="AM20" s="33"/>
      <c r="AN20" s="33"/>
      <c r="AO20" s="33"/>
      <c r="AP20" s="33"/>
      <c r="AQ20" s="33"/>
      <c r="AR20" s="33"/>
      <c r="AS20" s="33"/>
      <c r="AT20" s="33"/>
    </row>
    <row r="21" spans="1:46" ht="28.8" hidden="1" x14ac:dyDescent="0.3">
      <c r="A21" s="33" t="s">
        <v>22</v>
      </c>
      <c r="B21" s="34">
        <v>45359</v>
      </c>
      <c r="C21" s="33" t="s">
        <v>103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 t="s">
        <v>30</v>
      </c>
      <c r="O21" s="35" t="s">
        <v>129</v>
      </c>
      <c r="P21" s="36" t="s">
        <v>30</v>
      </c>
      <c r="Q21" s="36"/>
      <c r="R21" s="36"/>
      <c r="S21" s="36"/>
      <c r="T21" s="36"/>
      <c r="U21" s="36"/>
      <c r="V21" s="36" t="s">
        <v>30</v>
      </c>
      <c r="W21" s="36"/>
      <c r="X21" s="36"/>
      <c r="Y21" s="36"/>
      <c r="Z21" s="36"/>
      <c r="AA21" s="36" t="s">
        <v>30</v>
      </c>
      <c r="AB21" s="36"/>
      <c r="AC21" s="36"/>
      <c r="AD21" s="36"/>
      <c r="AE21" s="36"/>
      <c r="AF21" s="36"/>
      <c r="AG21" s="36"/>
      <c r="AH21" s="40"/>
      <c r="AI21" s="33"/>
      <c r="AJ21" s="33" t="s">
        <v>30</v>
      </c>
      <c r="AK21" s="33"/>
      <c r="AL21" s="33"/>
      <c r="AM21" s="33"/>
      <c r="AN21" s="33"/>
      <c r="AO21" s="33"/>
      <c r="AP21" s="33"/>
      <c r="AQ21" s="33"/>
      <c r="AR21" s="33"/>
      <c r="AS21" s="33"/>
      <c r="AT21" s="33"/>
    </row>
    <row r="22" spans="1:46" hidden="1" x14ac:dyDescent="0.3">
      <c r="A22" s="33" t="s">
        <v>21</v>
      </c>
      <c r="B22" s="34">
        <v>45359</v>
      </c>
      <c r="C22" s="33" t="s">
        <v>110</v>
      </c>
      <c r="D22" s="33"/>
      <c r="E22" s="33"/>
      <c r="F22" s="33"/>
      <c r="G22" s="33"/>
      <c r="H22" s="33"/>
      <c r="I22" s="33" t="s">
        <v>30</v>
      </c>
      <c r="J22" s="33"/>
      <c r="K22" s="33"/>
      <c r="L22" s="33"/>
      <c r="M22" s="33"/>
      <c r="N22" s="33"/>
      <c r="O22" s="35" t="s">
        <v>32</v>
      </c>
      <c r="P22" s="36" t="s">
        <v>30</v>
      </c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 t="s">
        <v>30</v>
      </c>
      <c r="AB22" s="36"/>
      <c r="AC22" s="36"/>
      <c r="AD22" s="36"/>
      <c r="AE22" s="36"/>
      <c r="AF22" s="36"/>
      <c r="AG22" s="36"/>
      <c r="AH22" s="40"/>
      <c r="AI22" s="33"/>
      <c r="AJ22" s="33"/>
      <c r="AK22" s="33"/>
      <c r="AL22" s="33" t="s">
        <v>30</v>
      </c>
      <c r="AM22" s="33"/>
      <c r="AN22" s="33"/>
      <c r="AO22" s="33"/>
      <c r="AP22" s="33"/>
      <c r="AQ22" s="33"/>
      <c r="AR22" s="33"/>
      <c r="AS22" s="33"/>
      <c r="AT22" s="33"/>
    </row>
    <row r="23" spans="1:46" ht="28.8" hidden="1" x14ac:dyDescent="0.3">
      <c r="A23" s="33" t="s">
        <v>20</v>
      </c>
      <c r="B23" s="34">
        <v>45372</v>
      </c>
      <c r="C23" s="33" t="s">
        <v>103</v>
      </c>
      <c r="D23" s="33"/>
      <c r="E23" s="33"/>
      <c r="F23" s="33"/>
      <c r="G23" s="33"/>
      <c r="H23" s="33"/>
      <c r="I23" s="33" t="s">
        <v>30</v>
      </c>
      <c r="J23" s="33"/>
      <c r="K23" s="33"/>
      <c r="L23" s="33"/>
      <c r="M23" s="33"/>
      <c r="N23" s="33"/>
      <c r="O23" s="35" t="s">
        <v>120</v>
      </c>
      <c r="P23" s="36"/>
      <c r="Q23" s="36"/>
      <c r="R23" s="36"/>
      <c r="S23" s="36"/>
      <c r="T23" s="36"/>
      <c r="U23" s="36"/>
      <c r="V23" s="36" t="s">
        <v>30</v>
      </c>
      <c r="W23" s="36"/>
      <c r="X23" s="36"/>
      <c r="Y23" s="36"/>
      <c r="Z23" s="36"/>
      <c r="AA23" s="36"/>
      <c r="AB23" s="36"/>
      <c r="AC23" s="36"/>
      <c r="AD23" s="36" t="s">
        <v>30</v>
      </c>
      <c r="AE23" s="36" t="s">
        <v>30</v>
      </c>
      <c r="AF23" s="36"/>
      <c r="AG23" s="36"/>
      <c r="AH23" s="40"/>
      <c r="AI23" s="33"/>
      <c r="AJ23" s="33"/>
      <c r="AK23" s="33"/>
      <c r="AL23" s="33" t="s">
        <v>30</v>
      </c>
      <c r="AM23" s="33"/>
      <c r="AN23" s="33"/>
      <c r="AO23" s="33"/>
      <c r="AP23" s="33"/>
      <c r="AQ23" s="33"/>
      <c r="AR23" s="33"/>
      <c r="AS23" s="33"/>
      <c r="AT23" s="33"/>
    </row>
    <row r="24" spans="1:46" hidden="1" x14ac:dyDescent="0.3">
      <c r="A24" s="33" t="s">
        <v>19</v>
      </c>
      <c r="B24" s="34">
        <v>45376</v>
      </c>
      <c r="C24" s="33" t="s">
        <v>103</v>
      </c>
      <c r="D24" s="33"/>
      <c r="E24" s="33"/>
      <c r="F24" s="33"/>
      <c r="G24" s="33"/>
      <c r="H24" s="33"/>
      <c r="I24" s="33"/>
      <c r="J24" s="33"/>
      <c r="K24" s="33"/>
      <c r="L24" s="33"/>
      <c r="M24" s="33" t="s">
        <v>30</v>
      </c>
      <c r="N24" s="33"/>
      <c r="O24" s="35" t="s">
        <v>160</v>
      </c>
      <c r="P24" s="36" t="s">
        <v>30</v>
      </c>
      <c r="Q24" s="36" t="s">
        <v>30</v>
      </c>
      <c r="R24" s="36"/>
      <c r="S24" s="36"/>
      <c r="T24" s="36" t="s">
        <v>30</v>
      </c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40"/>
      <c r="AI24" s="33"/>
      <c r="AJ24" s="33"/>
      <c r="AK24" s="33"/>
      <c r="AL24" s="33"/>
      <c r="AM24" s="33"/>
      <c r="AN24" s="33"/>
      <c r="AO24" s="33" t="s">
        <v>30</v>
      </c>
      <c r="AP24" s="33"/>
      <c r="AQ24" s="33"/>
      <c r="AR24" s="33"/>
      <c r="AS24" s="33"/>
      <c r="AT24" s="33"/>
    </row>
    <row r="25" spans="1:46" ht="28.8" hidden="1" x14ac:dyDescent="0.3">
      <c r="A25" s="33" t="s">
        <v>18</v>
      </c>
      <c r="B25" s="34">
        <v>45384</v>
      </c>
      <c r="C25" s="33" t="s">
        <v>103</v>
      </c>
      <c r="D25" s="33"/>
      <c r="E25" s="33"/>
      <c r="F25" s="33"/>
      <c r="G25" s="33"/>
      <c r="H25" s="33"/>
      <c r="I25" s="33" t="s">
        <v>30</v>
      </c>
      <c r="J25" s="33"/>
      <c r="K25" s="33"/>
      <c r="L25" s="33"/>
      <c r="M25" s="33"/>
      <c r="N25" s="33"/>
      <c r="O25" s="35" t="s">
        <v>129</v>
      </c>
      <c r="P25" s="36"/>
      <c r="Q25" s="36" t="s">
        <v>30</v>
      </c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40"/>
      <c r="AI25" s="33"/>
      <c r="AJ25" s="33"/>
      <c r="AK25" s="33"/>
      <c r="AL25" s="33"/>
      <c r="AM25" s="33"/>
      <c r="AN25" s="33"/>
      <c r="AO25" s="33" t="s">
        <v>30</v>
      </c>
      <c r="AP25" s="33"/>
      <c r="AQ25" s="33"/>
      <c r="AR25" s="33"/>
      <c r="AS25" s="33"/>
      <c r="AT25" s="33"/>
    </row>
    <row r="26" spans="1:46" ht="28.8" hidden="1" x14ac:dyDescent="0.3">
      <c r="A26" s="33" t="s">
        <v>17</v>
      </c>
      <c r="B26" s="34">
        <v>45384</v>
      </c>
      <c r="C26" s="33" t="s">
        <v>103</v>
      </c>
      <c r="D26" s="33"/>
      <c r="E26" s="33"/>
      <c r="F26" s="33"/>
      <c r="G26" s="33"/>
      <c r="H26" s="33"/>
      <c r="I26" s="33" t="s">
        <v>30</v>
      </c>
      <c r="J26" s="33"/>
      <c r="K26" s="33"/>
      <c r="L26" s="33"/>
      <c r="M26" s="33" t="s">
        <v>30</v>
      </c>
      <c r="N26" s="33"/>
      <c r="O26" s="35" t="s">
        <v>129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 t="s">
        <v>30</v>
      </c>
      <c r="AB26" s="36"/>
      <c r="AC26" s="36"/>
      <c r="AD26" s="36"/>
      <c r="AE26" s="36"/>
      <c r="AF26" s="36"/>
      <c r="AG26" s="36"/>
      <c r="AH26" s="40"/>
      <c r="AI26" s="33"/>
      <c r="AJ26" s="33" t="s">
        <v>30</v>
      </c>
      <c r="AK26" s="33"/>
      <c r="AL26" s="33"/>
      <c r="AM26" s="33"/>
      <c r="AN26" s="33"/>
      <c r="AO26" s="33"/>
      <c r="AP26" s="33"/>
      <c r="AQ26" s="33"/>
      <c r="AR26" s="33"/>
      <c r="AS26" s="33"/>
      <c r="AT26" s="33"/>
    </row>
    <row r="27" spans="1:46" hidden="1" x14ac:dyDescent="0.3">
      <c r="A27" s="33" t="s">
        <v>16</v>
      </c>
      <c r="B27" s="34">
        <v>45390</v>
      </c>
      <c r="C27" s="33" t="s">
        <v>102</v>
      </c>
      <c r="D27" s="33"/>
      <c r="E27" s="33"/>
      <c r="F27" s="33"/>
      <c r="G27" s="33"/>
      <c r="H27" s="33"/>
      <c r="I27" s="33"/>
      <c r="J27" s="33"/>
      <c r="K27" s="33"/>
      <c r="L27" s="33" t="s">
        <v>30</v>
      </c>
      <c r="M27" s="33"/>
      <c r="N27" s="33"/>
      <c r="O27" s="35" t="s">
        <v>42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 t="s">
        <v>30</v>
      </c>
      <c r="AC27" s="36"/>
      <c r="AD27" s="36"/>
      <c r="AE27" s="36"/>
      <c r="AF27" s="36" t="s">
        <v>30</v>
      </c>
      <c r="AG27" s="36"/>
      <c r="AH27" s="40"/>
      <c r="AI27" s="33"/>
      <c r="AJ27" s="33"/>
      <c r="AK27" s="33"/>
      <c r="AL27" s="33"/>
      <c r="AM27" s="33" t="s">
        <v>30</v>
      </c>
      <c r="AN27" s="33"/>
      <c r="AO27" s="33"/>
      <c r="AP27" s="33"/>
      <c r="AQ27" s="33"/>
      <c r="AR27" s="33"/>
      <c r="AS27" s="33"/>
      <c r="AT27" s="33"/>
    </row>
    <row r="28" spans="1:46" hidden="1" x14ac:dyDescent="0.3">
      <c r="A28" s="33" t="s">
        <v>15</v>
      </c>
      <c r="B28" s="34">
        <v>45390</v>
      </c>
      <c r="C28" s="33" t="s">
        <v>103</v>
      </c>
      <c r="D28" s="33"/>
      <c r="E28" s="33"/>
      <c r="F28" s="33"/>
      <c r="G28" s="33"/>
      <c r="H28" s="33"/>
      <c r="I28" s="33"/>
      <c r="J28" s="33"/>
      <c r="K28" s="33"/>
      <c r="L28" s="33"/>
      <c r="M28" s="33" t="s">
        <v>30</v>
      </c>
      <c r="N28" s="33"/>
      <c r="O28" s="35" t="s">
        <v>160</v>
      </c>
      <c r="P28" s="36"/>
      <c r="Q28" s="36" t="s">
        <v>30</v>
      </c>
      <c r="R28" s="36"/>
      <c r="S28" s="36"/>
      <c r="T28" s="36"/>
      <c r="U28" s="36"/>
      <c r="V28" s="36"/>
      <c r="W28" s="36"/>
      <c r="X28" s="36"/>
      <c r="Y28" s="36"/>
      <c r="Z28" s="36"/>
      <c r="AA28" s="36" t="s">
        <v>30</v>
      </c>
      <c r="AB28" s="36"/>
      <c r="AC28" s="36"/>
      <c r="AD28" s="36"/>
      <c r="AE28" s="36"/>
      <c r="AF28" s="36"/>
      <c r="AG28" s="36"/>
      <c r="AH28" s="40"/>
      <c r="AI28" s="33"/>
      <c r="AJ28" s="33"/>
      <c r="AK28" s="33"/>
      <c r="AL28" s="33"/>
      <c r="AM28" s="33"/>
      <c r="AN28" s="33"/>
      <c r="AO28" s="33" t="s">
        <v>30</v>
      </c>
      <c r="AP28" s="33"/>
      <c r="AQ28" s="33"/>
      <c r="AR28" s="33"/>
      <c r="AS28" s="33"/>
      <c r="AT28" s="33"/>
    </row>
    <row r="29" spans="1:46" hidden="1" x14ac:dyDescent="0.3">
      <c r="A29" s="33" t="s">
        <v>14</v>
      </c>
      <c r="B29" s="34">
        <v>45390</v>
      </c>
      <c r="C29" s="33" t="s">
        <v>110</v>
      </c>
      <c r="D29" s="33"/>
      <c r="E29" s="33"/>
      <c r="F29" s="33"/>
      <c r="G29" s="33"/>
      <c r="H29" s="33"/>
      <c r="I29" s="33" t="s">
        <v>30</v>
      </c>
      <c r="J29" s="33"/>
      <c r="K29" s="33"/>
      <c r="L29" s="33"/>
      <c r="M29" s="33"/>
      <c r="N29" s="33"/>
      <c r="O29" s="35" t="s">
        <v>119</v>
      </c>
      <c r="P29" s="36" t="s">
        <v>30</v>
      </c>
      <c r="Q29" s="36"/>
      <c r="R29" s="36"/>
      <c r="S29" s="36"/>
      <c r="T29" s="36"/>
      <c r="U29" s="36"/>
      <c r="V29" s="36" t="s">
        <v>30</v>
      </c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40"/>
      <c r="AI29" s="33"/>
      <c r="AJ29" s="33"/>
      <c r="AK29" s="33"/>
      <c r="AL29" s="33" t="s">
        <v>30</v>
      </c>
      <c r="AM29" s="33"/>
      <c r="AN29" s="33"/>
      <c r="AO29" s="33"/>
      <c r="AP29" s="33"/>
      <c r="AQ29" s="33"/>
      <c r="AR29" s="33"/>
      <c r="AS29" s="33"/>
      <c r="AT29" s="33"/>
    </row>
    <row r="30" spans="1:46" hidden="1" x14ac:dyDescent="0.3">
      <c r="A30" s="33" t="s">
        <v>13</v>
      </c>
      <c r="B30" s="34">
        <v>45391</v>
      </c>
      <c r="C30" s="33" t="s">
        <v>103</v>
      </c>
      <c r="D30" s="33"/>
      <c r="E30" s="33"/>
      <c r="F30" s="33"/>
      <c r="G30" s="33"/>
      <c r="H30" s="33"/>
      <c r="I30" s="33" t="s">
        <v>30</v>
      </c>
      <c r="J30" s="33"/>
      <c r="K30" s="33"/>
      <c r="L30" s="33"/>
      <c r="M30" s="33"/>
      <c r="N30" s="33" t="s">
        <v>30</v>
      </c>
      <c r="O30" s="35" t="s">
        <v>119</v>
      </c>
      <c r="P30" s="36"/>
      <c r="Q30" s="36"/>
      <c r="R30" s="36"/>
      <c r="S30" s="36"/>
      <c r="T30" s="36" t="s">
        <v>30</v>
      </c>
      <c r="U30" s="36"/>
      <c r="V30" s="36" t="s">
        <v>30</v>
      </c>
      <c r="W30" s="36"/>
      <c r="X30" s="36"/>
      <c r="Y30" s="36" t="s">
        <v>30</v>
      </c>
      <c r="Z30" s="36"/>
      <c r="AA30" s="36"/>
      <c r="AB30" s="36"/>
      <c r="AC30" s="36"/>
      <c r="AD30" s="36"/>
      <c r="AE30" s="36"/>
      <c r="AF30" s="36"/>
      <c r="AG30" s="36"/>
      <c r="AH30" s="40"/>
      <c r="AI30" s="33"/>
      <c r="AJ30" s="33"/>
      <c r="AK30" s="33"/>
      <c r="AL30" s="33"/>
      <c r="AM30" s="33" t="s">
        <v>30</v>
      </c>
      <c r="AN30" s="33"/>
      <c r="AO30" s="33"/>
      <c r="AP30" s="33"/>
      <c r="AQ30" s="33"/>
      <c r="AR30" s="33"/>
      <c r="AS30" s="33"/>
      <c r="AT30" s="33"/>
    </row>
    <row r="31" spans="1:46" ht="28.8" hidden="1" x14ac:dyDescent="0.3">
      <c r="A31" s="33" t="s">
        <v>12</v>
      </c>
      <c r="B31" s="34">
        <v>45392</v>
      </c>
      <c r="C31" s="33" t="s">
        <v>103</v>
      </c>
      <c r="D31" s="33"/>
      <c r="E31" s="33"/>
      <c r="F31" s="33"/>
      <c r="G31" s="33"/>
      <c r="H31" s="33"/>
      <c r="I31" s="33"/>
      <c r="J31" s="33"/>
      <c r="K31" s="33"/>
      <c r="L31" s="33"/>
      <c r="M31" s="33" t="s">
        <v>30</v>
      </c>
      <c r="N31" s="33"/>
      <c r="O31" s="35" t="s">
        <v>129</v>
      </c>
      <c r="P31" s="36" t="s">
        <v>30</v>
      </c>
      <c r="Q31" s="36"/>
      <c r="R31" s="36"/>
      <c r="S31" s="36"/>
      <c r="T31" s="36"/>
      <c r="U31" s="36"/>
      <c r="V31" s="36"/>
      <c r="W31" s="36"/>
      <c r="X31" s="36"/>
      <c r="Y31" s="36" t="s">
        <v>30</v>
      </c>
      <c r="Z31" s="36"/>
      <c r="AA31" s="36" t="s">
        <v>30</v>
      </c>
      <c r="AB31" s="36"/>
      <c r="AC31" s="36"/>
      <c r="AD31" s="36"/>
      <c r="AE31" s="36"/>
      <c r="AF31" s="36"/>
      <c r="AG31" s="36"/>
      <c r="AH31" s="43"/>
      <c r="AI31" s="33"/>
      <c r="AJ31" s="33" t="s">
        <v>30</v>
      </c>
      <c r="AK31" s="33"/>
      <c r="AL31" s="33" t="s">
        <v>30</v>
      </c>
      <c r="AM31" s="33"/>
      <c r="AN31" s="33"/>
      <c r="AO31" s="33"/>
      <c r="AP31" s="33"/>
      <c r="AQ31" s="33"/>
      <c r="AR31" s="33"/>
      <c r="AS31" s="33"/>
      <c r="AT31" s="33"/>
    </row>
    <row r="32" spans="1:46" hidden="1" x14ac:dyDescent="0.3">
      <c r="A32" s="33" t="s">
        <v>11</v>
      </c>
      <c r="B32" s="34">
        <v>45394</v>
      </c>
      <c r="C32" s="33" t="s">
        <v>102</v>
      </c>
      <c r="D32" s="33"/>
      <c r="E32" s="33"/>
      <c r="F32" s="33"/>
      <c r="G32" s="33"/>
      <c r="H32" s="33"/>
      <c r="I32" s="33"/>
      <c r="J32" s="33"/>
      <c r="K32" s="33"/>
      <c r="L32" s="33" t="s">
        <v>30</v>
      </c>
      <c r="M32" s="33"/>
      <c r="N32" s="33"/>
      <c r="O32" s="35" t="s">
        <v>42</v>
      </c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 t="s">
        <v>30</v>
      </c>
      <c r="AG32" s="36"/>
      <c r="AH32" s="40" t="s">
        <v>152</v>
      </c>
      <c r="AI32" s="33"/>
      <c r="AJ32" s="33"/>
      <c r="AK32" s="33"/>
      <c r="AL32" s="33"/>
      <c r="AM32" s="33" t="s">
        <v>30</v>
      </c>
      <c r="AN32" s="33"/>
      <c r="AO32" s="33"/>
      <c r="AP32" s="33"/>
      <c r="AQ32" s="33"/>
      <c r="AR32" s="33"/>
      <c r="AS32" s="33"/>
      <c r="AT32" s="33"/>
    </row>
    <row r="33" spans="1:46" ht="28.8" hidden="1" x14ac:dyDescent="0.3">
      <c r="A33" s="33" t="s">
        <v>10</v>
      </c>
      <c r="B33" s="34">
        <v>45400</v>
      </c>
      <c r="C33" s="33" t="s">
        <v>103</v>
      </c>
      <c r="D33" s="33"/>
      <c r="E33" s="33"/>
      <c r="F33" s="33"/>
      <c r="G33" s="33"/>
      <c r="H33" s="33"/>
      <c r="I33" s="33"/>
      <c r="J33" s="33"/>
      <c r="K33" s="33" t="s">
        <v>30</v>
      </c>
      <c r="L33" s="33"/>
      <c r="M33" s="33"/>
      <c r="N33" s="33"/>
      <c r="O33" s="35" t="s">
        <v>130</v>
      </c>
      <c r="P33" s="36"/>
      <c r="Q33" s="36"/>
      <c r="R33" s="36"/>
      <c r="S33" s="36"/>
      <c r="T33" s="36"/>
      <c r="U33" s="36"/>
      <c r="V33" s="36" t="s">
        <v>30</v>
      </c>
      <c r="W33" s="36"/>
      <c r="X33" s="36"/>
      <c r="Y33" s="36"/>
      <c r="Z33" s="36"/>
      <c r="AA33" s="36" t="s">
        <v>30</v>
      </c>
      <c r="AB33" s="36" t="s">
        <v>30</v>
      </c>
      <c r="AC33" s="36"/>
      <c r="AD33" s="36"/>
      <c r="AE33" s="36"/>
      <c r="AF33" s="36"/>
      <c r="AG33" s="36"/>
      <c r="AH33" s="43"/>
      <c r="AI33" s="33"/>
      <c r="AJ33" s="33"/>
      <c r="AK33" s="33" t="s">
        <v>30</v>
      </c>
      <c r="AL33" s="33"/>
      <c r="AM33" s="33"/>
      <c r="AN33" s="33"/>
      <c r="AO33" s="33"/>
      <c r="AP33" s="33"/>
      <c r="AQ33" s="33"/>
      <c r="AR33" s="33"/>
      <c r="AS33" s="33"/>
      <c r="AT33" s="33"/>
    </row>
    <row r="34" spans="1:46" ht="28.8" hidden="1" x14ac:dyDescent="0.3">
      <c r="A34" s="33" t="s">
        <v>9</v>
      </c>
      <c r="B34" s="34">
        <v>45404</v>
      </c>
      <c r="C34" s="33" t="s">
        <v>103</v>
      </c>
      <c r="D34" s="33"/>
      <c r="E34" s="33"/>
      <c r="F34" s="33"/>
      <c r="G34" s="33"/>
      <c r="H34" s="33"/>
      <c r="I34" s="33"/>
      <c r="J34" s="33" t="s">
        <v>30</v>
      </c>
      <c r="K34" s="33" t="s">
        <v>30</v>
      </c>
      <c r="L34" s="33"/>
      <c r="M34" s="33"/>
      <c r="N34" s="33"/>
      <c r="O34" s="35" t="s">
        <v>131</v>
      </c>
      <c r="P34" s="36" t="s">
        <v>30</v>
      </c>
      <c r="Q34" s="36"/>
      <c r="R34" s="36"/>
      <c r="S34" s="36"/>
      <c r="T34" s="36"/>
      <c r="U34" s="36"/>
      <c r="V34" s="36" t="s">
        <v>30</v>
      </c>
      <c r="W34" s="36"/>
      <c r="X34" s="36"/>
      <c r="Y34" s="36"/>
      <c r="Z34" s="36"/>
      <c r="AA34" s="36"/>
      <c r="AB34" s="36" t="s">
        <v>30</v>
      </c>
      <c r="AC34" s="36"/>
      <c r="AD34" s="36"/>
      <c r="AE34" s="36"/>
      <c r="AF34" s="36"/>
      <c r="AG34" s="36"/>
      <c r="AH34" s="40"/>
      <c r="AI34" s="33"/>
      <c r="AJ34" s="33"/>
      <c r="AK34" s="33" t="s">
        <v>30</v>
      </c>
      <c r="AL34" s="33"/>
      <c r="AM34" s="33"/>
      <c r="AN34" s="33" t="s">
        <v>30</v>
      </c>
      <c r="AO34" s="33"/>
      <c r="AP34" s="33"/>
      <c r="AQ34" s="33"/>
      <c r="AR34" s="33"/>
      <c r="AS34" s="33"/>
      <c r="AT34" s="33"/>
    </row>
    <row r="35" spans="1:46" hidden="1" x14ac:dyDescent="0.3">
      <c r="A35" s="33" t="s">
        <v>8</v>
      </c>
      <c r="B35" s="34">
        <v>45412</v>
      </c>
      <c r="C35" s="33" t="s">
        <v>102</v>
      </c>
      <c r="D35" s="33"/>
      <c r="E35" s="33"/>
      <c r="F35" s="33"/>
      <c r="G35" s="33"/>
      <c r="H35" s="33"/>
      <c r="I35" s="33" t="s">
        <v>30</v>
      </c>
      <c r="J35" s="33"/>
      <c r="K35" s="33"/>
      <c r="L35" s="33"/>
      <c r="M35" s="33"/>
      <c r="N35" s="33"/>
      <c r="O35" s="10" t="s">
        <v>206</v>
      </c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 t="s">
        <v>30</v>
      </c>
      <c r="AG35" s="36"/>
      <c r="AH35" s="40" t="s">
        <v>90</v>
      </c>
      <c r="AI35" s="33"/>
      <c r="AJ35" s="33"/>
      <c r="AK35" s="33"/>
      <c r="AL35" s="33" t="s">
        <v>30</v>
      </c>
      <c r="AM35" s="33"/>
      <c r="AN35" s="33"/>
      <c r="AO35" s="33"/>
      <c r="AP35" s="33"/>
      <c r="AQ35" s="33"/>
      <c r="AR35" s="33"/>
      <c r="AS35" s="33"/>
      <c r="AT35" s="33"/>
    </row>
    <row r="36" spans="1:46" ht="28.8" x14ac:dyDescent="0.3">
      <c r="A36" s="33" t="s">
        <v>7</v>
      </c>
      <c r="B36" s="34">
        <v>45413</v>
      </c>
      <c r="C36" s="33" t="s">
        <v>102</v>
      </c>
      <c r="D36" s="33"/>
      <c r="E36" s="33"/>
      <c r="F36" s="33"/>
      <c r="G36" s="33"/>
      <c r="H36" s="33"/>
      <c r="I36" s="33"/>
      <c r="J36" s="33"/>
      <c r="K36" s="33"/>
      <c r="L36" s="33" t="s">
        <v>30</v>
      </c>
      <c r="M36" s="33"/>
      <c r="N36" s="33"/>
      <c r="O36" s="35" t="s">
        <v>90</v>
      </c>
      <c r="P36" s="36"/>
      <c r="Q36" s="36"/>
      <c r="R36" s="36"/>
      <c r="S36" s="36"/>
      <c r="T36" s="36"/>
      <c r="U36" s="36"/>
      <c r="V36" s="36"/>
      <c r="W36" s="36" t="s">
        <v>30</v>
      </c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43" t="s">
        <v>91</v>
      </c>
      <c r="AI36" s="33"/>
      <c r="AJ36" s="33"/>
      <c r="AK36" s="33"/>
      <c r="AL36" s="33"/>
      <c r="AM36" s="33" t="s">
        <v>30</v>
      </c>
      <c r="AN36" s="33"/>
      <c r="AO36" s="33"/>
      <c r="AP36" s="33"/>
      <c r="AQ36" s="33"/>
      <c r="AR36" s="33"/>
      <c r="AS36" s="33"/>
      <c r="AT36" s="33"/>
    </row>
    <row r="37" spans="1:46" hidden="1" x14ac:dyDescent="0.3">
      <c r="A37" s="33" t="s">
        <v>6</v>
      </c>
      <c r="B37" s="34">
        <v>45414</v>
      </c>
      <c r="C37" s="33" t="s">
        <v>110</v>
      </c>
      <c r="D37" s="33"/>
      <c r="E37" s="33"/>
      <c r="F37" s="33"/>
      <c r="G37" s="33"/>
      <c r="H37" s="33" t="s">
        <v>30</v>
      </c>
      <c r="I37" s="33"/>
      <c r="J37" s="33"/>
      <c r="K37" s="33"/>
      <c r="L37" s="33"/>
      <c r="M37" s="33"/>
      <c r="N37" s="33"/>
      <c r="O37" s="35" t="s">
        <v>32</v>
      </c>
      <c r="P37" s="36"/>
      <c r="Q37" s="36"/>
      <c r="R37" s="36" t="s">
        <v>30</v>
      </c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40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</row>
    <row r="38" spans="1:46" hidden="1" x14ac:dyDescent="0.3">
      <c r="A38" s="33" t="s">
        <v>5</v>
      </c>
      <c r="B38" s="34">
        <v>45421</v>
      </c>
      <c r="C38" s="33" t="s">
        <v>102</v>
      </c>
      <c r="D38" s="33"/>
      <c r="E38" s="33"/>
      <c r="F38" s="33"/>
      <c r="G38" s="33"/>
      <c r="H38" s="33"/>
      <c r="I38" s="33"/>
      <c r="J38" s="33"/>
      <c r="K38" s="33"/>
      <c r="L38" s="33" t="s">
        <v>30</v>
      </c>
      <c r="M38" s="33"/>
      <c r="N38" s="33"/>
      <c r="O38" s="35" t="s">
        <v>42</v>
      </c>
      <c r="P38" s="36"/>
      <c r="Q38" s="36"/>
      <c r="R38" s="36"/>
      <c r="S38" s="36"/>
      <c r="T38" s="36"/>
      <c r="U38" s="36"/>
      <c r="V38" s="36" t="s">
        <v>30</v>
      </c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40"/>
      <c r="AI38" s="33"/>
      <c r="AJ38" s="33"/>
      <c r="AK38" s="33"/>
      <c r="AL38" s="33"/>
      <c r="AM38" s="33" t="s">
        <v>30</v>
      </c>
      <c r="AN38" s="33"/>
      <c r="AO38" s="33"/>
      <c r="AP38" s="33"/>
      <c r="AQ38" s="33"/>
      <c r="AR38" s="33"/>
      <c r="AS38" s="33"/>
      <c r="AT38" s="33"/>
    </row>
    <row r="39" spans="1:46" ht="28.8" hidden="1" x14ac:dyDescent="0.3">
      <c r="A39" s="33" t="s">
        <v>4</v>
      </c>
      <c r="B39" s="34">
        <v>45426</v>
      </c>
      <c r="C39" s="33" t="s">
        <v>112</v>
      </c>
      <c r="D39" s="33"/>
      <c r="E39" s="33"/>
      <c r="F39" s="33"/>
      <c r="G39" s="33"/>
      <c r="H39" s="33"/>
      <c r="I39" s="33"/>
      <c r="J39" s="33" t="s">
        <v>30</v>
      </c>
      <c r="K39" s="33"/>
      <c r="L39" s="33"/>
      <c r="M39" s="33"/>
      <c r="N39" s="33"/>
      <c r="O39" s="35" t="s">
        <v>133</v>
      </c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 t="s">
        <v>30</v>
      </c>
      <c r="AB39" s="36"/>
      <c r="AC39" s="36"/>
      <c r="AD39" s="36"/>
      <c r="AE39" s="36"/>
      <c r="AF39" s="36"/>
      <c r="AG39" s="36"/>
      <c r="AH39" s="40"/>
      <c r="AI39" s="33"/>
      <c r="AJ39" s="33"/>
      <c r="AK39" s="33"/>
      <c r="AL39" s="33"/>
      <c r="AM39" s="33"/>
      <c r="AN39" s="33" t="s">
        <v>30</v>
      </c>
      <c r="AO39" s="33"/>
      <c r="AP39" s="33"/>
      <c r="AQ39" s="33"/>
      <c r="AR39" s="33"/>
      <c r="AS39" s="33"/>
      <c r="AT39" s="33"/>
    </row>
    <row r="40" spans="1:46" hidden="1" x14ac:dyDescent="0.3">
      <c r="A40" s="33" t="s">
        <v>3</v>
      </c>
      <c r="B40" s="34">
        <v>45426</v>
      </c>
      <c r="C40" s="33" t="s">
        <v>134</v>
      </c>
      <c r="D40" s="33"/>
      <c r="E40" s="33"/>
      <c r="F40" s="33"/>
      <c r="G40" s="33"/>
      <c r="H40" s="33"/>
      <c r="I40" s="33" t="s">
        <v>30</v>
      </c>
      <c r="J40" s="33"/>
      <c r="K40" s="33"/>
      <c r="L40" s="33"/>
      <c r="M40" s="33"/>
      <c r="N40" s="33"/>
      <c r="O40" s="35" t="s">
        <v>206</v>
      </c>
      <c r="P40" s="36" t="s">
        <v>30</v>
      </c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40"/>
      <c r="AI40" s="33"/>
      <c r="AJ40" s="33"/>
      <c r="AK40" s="33"/>
      <c r="AL40" s="33" t="s">
        <v>30</v>
      </c>
      <c r="AM40" s="33"/>
      <c r="AN40" s="33"/>
      <c r="AO40" s="33"/>
      <c r="AP40" s="33"/>
      <c r="AQ40" s="33"/>
      <c r="AR40" s="33"/>
      <c r="AS40" s="33"/>
      <c r="AT40" s="33"/>
    </row>
    <row r="41" spans="1:46" hidden="1" x14ac:dyDescent="0.3">
      <c r="A41" s="33" t="s">
        <v>2</v>
      </c>
      <c r="B41" s="34">
        <v>45429</v>
      </c>
      <c r="C41" s="33" t="s">
        <v>102</v>
      </c>
      <c r="D41" s="33"/>
      <c r="E41" s="33"/>
      <c r="F41" s="33"/>
      <c r="G41" s="33"/>
      <c r="H41" s="33"/>
      <c r="I41" s="33"/>
      <c r="J41" s="33"/>
      <c r="K41" s="33"/>
      <c r="L41" s="33" t="s">
        <v>30</v>
      </c>
      <c r="M41" s="33"/>
      <c r="N41" s="33"/>
      <c r="O41" s="35" t="s">
        <v>92</v>
      </c>
      <c r="P41" s="36"/>
      <c r="Q41" s="36"/>
      <c r="R41" s="36"/>
      <c r="S41" s="36"/>
      <c r="T41" s="36"/>
      <c r="U41" s="36"/>
      <c r="V41" s="36" t="s">
        <v>30</v>
      </c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40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</row>
    <row r="42" spans="1:46" hidden="1" x14ac:dyDescent="0.3">
      <c r="A42" s="33" t="s">
        <v>1</v>
      </c>
      <c r="B42" s="34">
        <v>45434</v>
      </c>
      <c r="C42" s="33" t="s">
        <v>102</v>
      </c>
      <c r="D42" s="33"/>
      <c r="E42" s="33"/>
      <c r="F42" s="33"/>
      <c r="G42" s="33"/>
      <c r="H42" s="33"/>
      <c r="I42" s="33"/>
      <c r="J42" s="33"/>
      <c r="K42" s="33"/>
      <c r="L42" s="33" t="s">
        <v>30</v>
      </c>
      <c r="M42" s="33"/>
      <c r="N42" s="33"/>
      <c r="O42" s="35" t="s">
        <v>259</v>
      </c>
      <c r="P42" s="36"/>
      <c r="Q42" s="36"/>
      <c r="R42" s="36"/>
      <c r="S42" s="36"/>
      <c r="T42" s="36"/>
      <c r="U42" s="36"/>
      <c r="V42" s="36" t="s">
        <v>30</v>
      </c>
      <c r="W42" s="36"/>
      <c r="X42" s="36"/>
      <c r="Y42" s="36" t="s">
        <v>30</v>
      </c>
      <c r="Z42" s="36"/>
      <c r="AA42" s="36" t="s">
        <v>30</v>
      </c>
      <c r="AB42" s="36"/>
      <c r="AC42" s="36"/>
      <c r="AD42" s="36"/>
      <c r="AE42" s="36"/>
      <c r="AF42" s="36"/>
      <c r="AG42" s="36"/>
      <c r="AH42" s="40"/>
      <c r="AI42" s="33"/>
      <c r="AJ42" s="33"/>
      <c r="AK42" s="33"/>
      <c r="AL42" s="33"/>
      <c r="AM42" s="33" t="s">
        <v>30</v>
      </c>
      <c r="AN42" s="33"/>
      <c r="AO42" s="33"/>
      <c r="AP42" s="33"/>
      <c r="AQ42" s="33"/>
      <c r="AR42" s="33"/>
      <c r="AS42" s="33"/>
      <c r="AT42" s="33"/>
    </row>
    <row r="43" spans="1:46" ht="28.8" hidden="1" x14ac:dyDescent="0.3">
      <c r="A43" s="33" t="s">
        <v>0</v>
      </c>
      <c r="B43" s="34">
        <v>45454</v>
      </c>
      <c r="C43" s="44" t="s">
        <v>103</v>
      </c>
      <c r="D43" s="44"/>
      <c r="E43" s="44"/>
      <c r="F43" s="44"/>
      <c r="G43" s="44"/>
      <c r="H43" s="44"/>
      <c r="I43" s="44" t="s">
        <v>30</v>
      </c>
      <c r="J43" s="44"/>
      <c r="K43" s="44" t="s">
        <v>30</v>
      </c>
      <c r="L43" s="44"/>
      <c r="M43" s="44"/>
      <c r="N43" s="44"/>
      <c r="O43" s="45" t="s">
        <v>120</v>
      </c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7"/>
      <c r="AI43" s="33"/>
      <c r="AJ43" s="33"/>
      <c r="AK43" s="33"/>
      <c r="AL43" s="33" t="s">
        <v>30</v>
      </c>
      <c r="AM43" s="33"/>
      <c r="AN43" s="33"/>
      <c r="AO43" s="33"/>
      <c r="AP43" s="33"/>
      <c r="AQ43" s="33"/>
      <c r="AR43" s="33"/>
      <c r="AS43" s="33"/>
      <c r="AT43" s="33"/>
    </row>
    <row r="44" spans="1:46" hidden="1" x14ac:dyDescent="0.3">
      <c r="A44" s="33" t="s">
        <v>135</v>
      </c>
      <c r="B44" s="34">
        <v>45454</v>
      </c>
      <c r="C44" s="33" t="s">
        <v>103</v>
      </c>
      <c r="D44" s="33"/>
      <c r="E44" s="33"/>
      <c r="F44" s="33"/>
      <c r="G44" s="33"/>
      <c r="H44" s="33"/>
      <c r="I44" s="33"/>
      <c r="J44" s="33"/>
      <c r="K44" s="33" t="s">
        <v>30</v>
      </c>
      <c r="L44" s="33"/>
      <c r="M44" s="33"/>
      <c r="N44" s="33"/>
      <c r="O44" s="35" t="s">
        <v>119</v>
      </c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 t="s">
        <v>30</v>
      </c>
      <c r="AC44" s="36"/>
      <c r="AD44" s="36"/>
      <c r="AE44" s="36"/>
      <c r="AF44" s="36"/>
      <c r="AG44" s="36"/>
      <c r="AH44" s="40"/>
      <c r="AI44" s="33"/>
      <c r="AJ44" s="33"/>
      <c r="AK44" s="33" t="s">
        <v>30</v>
      </c>
      <c r="AL44" s="33"/>
      <c r="AM44" s="33"/>
      <c r="AN44" s="33"/>
      <c r="AO44" s="33"/>
      <c r="AP44" s="33"/>
      <c r="AQ44" s="33"/>
      <c r="AR44" s="33"/>
      <c r="AS44" s="33"/>
      <c r="AT44" s="33"/>
    </row>
    <row r="45" spans="1:46" hidden="1" x14ac:dyDescent="0.3">
      <c r="A45" s="33" t="s">
        <v>136</v>
      </c>
      <c r="B45" s="34">
        <v>45456</v>
      </c>
      <c r="C45" s="33" t="s">
        <v>102</v>
      </c>
      <c r="D45" s="33"/>
      <c r="E45" s="33"/>
      <c r="F45" s="33"/>
      <c r="G45" s="33"/>
      <c r="H45" s="33"/>
      <c r="I45" s="33"/>
      <c r="J45" s="33"/>
      <c r="K45" s="33"/>
      <c r="L45" s="33" t="s">
        <v>30</v>
      </c>
      <c r="M45" s="33"/>
      <c r="N45" s="33"/>
      <c r="O45" s="35" t="s">
        <v>42</v>
      </c>
      <c r="P45" s="36"/>
      <c r="Q45" s="36"/>
      <c r="R45" s="36"/>
      <c r="S45" s="36"/>
      <c r="T45" s="36"/>
      <c r="U45" s="36"/>
      <c r="V45" s="36" t="s">
        <v>30</v>
      </c>
      <c r="W45" s="36"/>
      <c r="X45" s="36"/>
      <c r="Y45" s="36"/>
      <c r="Z45" s="36"/>
      <c r="AA45" s="36"/>
      <c r="AB45" s="36"/>
      <c r="AC45" s="36"/>
      <c r="AD45" s="36"/>
      <c r="AE45" s="36"/>
      <c r="AF45" s="36" t="s">
        <v>30</v>
      </c>
      <c r="AG45" s="36"/>
      <c r="AH45" s="40"/>
      <c r="AI45" s="33"/>
      <c r="AJ45" s="33"/>
      <c r="AK45" s="33"/>
      <c r="AL45" s="33"/>
      <c r="AM45" s="33" t="s">
        <v>30</v>
      </c>
      <c r="AN45" s="33"/>
      <c r="AO45" s="33"/>
      <c r="AP45" s="33"/>
      <c r="AQ45" s="33"/>
      <c r="AR45" s="33"/>
      <c r="AS45" s="33"/>
      <c r="AT45" s="33"/>
    </row>
    <row r="46" spans="1:46" ht="43.2" hidden="1" x14ac:dyDescent="0.3">
      <c r="A46" s="33" t="s">
        <v>137</v>
      </c>
      <c r="B46" s="34">
        <v>45457</v>
      </c>
      <c r="C46" s="33" t="s">
        <v>103</v>
      </c>
      <c r="D46" s="33"/>
      <c r="E46" s="33"/>
      <c r="F46" s="33"/>
      <c r="G46" s="33"/>
      <c r="H46" s="33"/>
      <c r="I46" s="33"/>
      <c r="J46" s="33"/>
      <c r="K46" s="33" t="s">
        <v>30</v>
      </c>
      <c r="L46" s="33"/>
      <c r="M46" s="33"/>
      <c r="N46" s="33"/>
      <c r="O46" s="35" t="s">
        <v>143</v>
      </c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43" t="s">
        <v>144</v>
      </c>
      <c r="AI46" s="33"/>
      <c r="AJ46" s="33"/>
      <c r="AK46" s="33"/>
      <c r="AL46" s="33"/>
      <c r="AM46" s="33"/>
      <c r="AN46" s="33"/>
      <c r="AO46" s="33"/>
      <c r="AP46" s="33"/>
      <c r="AQ46" s="33" t="s">
        <v>30</v>
      </c>
      <c r="AR46" s="33"/>
      <c r="AS46" s="33"/>
      <c r="AT46" s="33"/>
    </row>
    <row r="47" spans="1:46" ht="72" hidden="1" x14ac:dyDescent="0.3">
      <c r="A47" s="33" t="s">
        <v>138</v>
      </c>
      <c r="B47" s="34">
        <v>45469</v>
      </c>
      <c r="C47" s="33" t="s">
        <v>103</v>
      </c>
      <c r="D47" s="33"/>
      <c r="E47" s="33"/>
      <c r="F47" s="33"/>
      <c r="G47" s="33"/>
      <c r="H47" s="33"/>
      <c r="I47" s="33" t="s">
        <v>30</v>
      </c>
      <c r="J47" s="33"/>
      <c r="K47" s="33"/>
      <c r="L47" s="33"/>
      <c r="M47" s="33"/>
      <c r="N47" s="33"/>
      <c r="O47" s="35" t="s">
        <v>129</v>
      </c>
      <c r="P47" s="36"/>
      <c r="Q47" s="36"/>
      <c r="R47" s="36"/>
      <c r="S47" s="36"/>
      <c r="T47" s="36"/>
      <c r="U47" s="36"/>
      <c r="V47" s="36" t="s">
        <v>30</v>
      </c>
      <c r="W47" s="36"/>
      <c r="X47" s="36"/>
      <c r="Y47" s="36"/>
      <c r="Z47" s="36"/>
      <c r="AA47" s="36" t="s">
        <v>30</v>
      </c>
      <c r="AB47" s="36"/>
      <c r="AC47" s="36"/>
      <c r="AD47" s="36"/>
      <c r="AE47" s="36"/>
      <c r="AF47" s="36"/>
      <c r="AG47" s="36"/>
      <c r="AH47" s="43" t="s">
        <v>165</v>
      </c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</row>
    <row r="48" spans="1:46" ht="28.8" hidden="1" x14ac:dyDescent="0.3">
      <c r="A48" s="33" t="s">
        <v>139</v>
      </c>
      <c r="B48" s="34">
        <v>45485</v>
      </c>
      <c r="C48" s="33" t="s">
        <v>103</v>
      </c>
      <c r="D48" s="33"/>
      <c r="E48" s="33"/>
      <c r="F48" s="33"/>
      <c r="G48" s="33"/>
      <c r="H48" s="33"/>
      <c r="I48" s="33" t="s">
        <v>30</v>
      </c>
      <c r="J48" s="33"/>
      <c r="K48" s="33"/>
      <c r="L48" s="33"/>
      <c r="M48" s="33"/>
      <c r="N48" s="33"/>
      <c r="O48" s="10" t="s">
        <v>145</v>
      </c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40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</row>
    <row r="49" spans="1:46" hidden="1" x14ac:dyDescent="0.3">
      <c r="A49" s="33" t="s">
        <v>140</v>
      </c>
      <c r="B49" s="34">
        <v>45513</v>
      </c>
      <c r="C49" s="33" t="s">
        <v>103</v>
      </c>
      <c r="D49" s="33"/>
      <c r="E49" s="33"/>
      <c r="F49" s="33"/>
      <c r="G49" s="33"/>
      <c r="H49" s="33"/>
      <c r="I49" s="33"/>
      <c r="J49" s="33" t="s">
        <v>30</v>
      </c>
      <c r="K49" s="33"/>
      <c r="L49" s="33"/>
      <c r="M49" s="33"/>
      <c r="N49" s="33"/>
      <c r="O49" s="35" t="s">
        <v>146</v>
      </c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40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</row>
    <row r="50" spans="1:46" hidden="1" x14ac:dyDescent="0.3">
      <c r="A50" s="33" t="s">
        <v>141</v>
      </c>
      <c r="B50" s="34">
        <v>45513</v>
      </c>
      <c r="C50" s="33" t="s">
        <v>103</v>
      </c>
      <c r="D50" s="33"/>
      <c r="E50" s="33"/>
      <c r="F50" s="33"/>
      <c r="G50" s="33"/>
      <c r="H50" s="33"/>
      <c r="I50" s="33"/>
      <c r="J50" s="33" t="s">
        <v>30</v>
      </c>
      <c r="K50" s="33"/>
      <c r="L50" s="33"/>
      <c r="M50" s="33"/>
      <c r="N50" s="33"/>
      <c r="O50" s="35" t="s">
        <v>146</v>
      </c>
      <c r="P50" s="36" t="s">
        <v>30</v>
      </c>
      <c r="Q50" s="36"/>
      <c r="R50" s="36"/>
      <c r="S50" s="36"/>
      <c r="T50" s="36"/>
      <c r="U50" s="36"/>
      <c r="V50" s="36"/>
      <c r="W50" s="36"/>
      <c r="X50" s="36" t="s">
        <v>30</v>
      </c>
      <c r="Y50" s="36"/>
      <c r="Z50" s="36"/>
      <c r="AA50" s="36"/>
      <c r="AB50" s="36"/>
      <c r="AC50" s="36"/>
      <c r="AD50" s="36"/>
      <c r="AE50" s="36"/>
      <c r="AF50" s="36"/>
      <c r="AG50" s="36"/>
      <c r="AH50" s="40"/>
      <c r="AI50" s="33"/>
      <c r="AJ50" s="33"/>
      <c r="AK50" s="33"/>
      <c r="AL50" s="33"/>
      <c r="AM50" s="33"/>
      <c r="AN50" s="33" t="s">
        <v>30</v>
      </c>
      <c r="AO50" s="33"/>
      <c r="AP50" s="33"/>
      <c r="AQ50" s="33"/>
      <c r="AR50" s="33"/>
      <c r="AS50" s="33"/>
      <c r="AT50" s="33"/>
    </row>
    <row r="51" spans="1:46" ht="28.8" hidden="1" x14ac:dyDescent="0.3">
      <c r="A51" s="33" t="s">
        <v>142</v>
      </c>
      <c r="B51" s="34">
        <v>45523</v>
      </c>
      <c r="C51" s="33" t="s">
        <v>103</v>
      </c>
      <c r="D51" s="33"/>
      <c r="E51" s="33"/>
      <c r="F51" s="33"/>
      <c r="G51" s="33"/>
      <c r="H51" s="33"/>
      <c r="I51" s="33"/>
      <c r="J51" s="33"/>
      <c r="K51" s="33" t="s">
        <v>30</v>
      </c>
      <c r="L51" s="33"/>
      <c r="M51" s="33"/>
      <c r="N51" s="33"/>
      <c r="O51" s="10" t="s">
        <v>120</v>
      </c>
      <c r="P51" s="36"/>
      <c r="Q51" s="36"/>
      <c r="R51" s="36" t="s">
        <v>30</v>
      </c>
      <c r="S51" s="36"/>
      <c r="T51" s="36" t="s">
        <v>30</v>
      </c>
      <c r="U51" s="36" t="s">
        <v>30</v>
      </c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40"/>
      <c r="AI51" s="33"/>
      <c r="AJ51" s="33"/>
      <c r="AK51" s="33" t="s">
        <v>30</v>
      </c>
      <c r="AL51" s="33"/>
      <c r="AM51" s="33"/>
      <c r="AN51" s="33"/>
      <c r="AO51" s="33"/>
      <c r="AP51" s="33"/>
      <c r="AQ51" s="33"/>
      <c r="AR51" s="33"/>
      <c r="AS51" s="33"/>
      <c r="AT51" s="33"/>
    </row>
    <row r="52" spans="1:46" hidden="1" x14ac:dyDescent="0.3">
      <c r="A52" s="33" t="s">
        <v>174</v>
      </c>
      <c r="B52" s="34">
        <v>45541</v>
      </c>
      <c r="C52" s="33" t="s">
        <v>102</v>
      </c>
      <c r="D52" s="33"/>
      <c r="E52" s="33"/>
      <c r="F52" s="33"/>
      <c r="G52" s="33"/>
      <c r="H52" s="33"/>
      <c r="I52" s="33"/>
      <c r="J52" s="33"/>
      <c r="K52" s="33"/>
      <c r="L52" s="33" t="s">
        <v>30</v>
      </c>
      <c r="M52" s="33"/>
      <c r="N52" s="33"/>
      <c r="O52" s="10" t="s">
        <v>92</v>
      </c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 t="s">
        <v>30</v>
      </c>
      <c r="AC52" s="36"/>
      <c r="AD52" s="36"/>
      <c r="AE52" s="36"/>
      <c r="AF52" s="36"/>
      <c r="AG52" s="36"/>
      <c r="AH52" s="40"/>
      <c r="AI52" s="33"/>
      <c r="AJ52" s="33"/>
      <c r="AK52" s="33"/>
      <c r="AL52" s="33"/>
      <c r="AM52" s="33" t="s">
        <v>30</v>
      </c>
      <c r="AN52" s="33"/>
      <c r="AO52" s="33"/>
      <c r="AP52" s="33"/>
      <c r="AQ52" s="33"/>
      <c r="AR52" s="33"/>
      <c r="AS52" s="33"/>
      <c r="AT52" s="33"/>
    </row>
    <row r="53" spans="1:46" ht="28.8" hidden="1" x14ac:dyDescent="0.3">
      <c r="A53" s="48" t="s">
        <v>175</v>
      </c>
      <c r="B53" s="34">
        <v>45544</v>
      </c>
      <c r="C53" s="33" t="s">
        <v>103</v>
      </c>
      <c r="D53" s="33"/>
      <c r="E53" s="33"/>
      <c r="F53" s="33"/>
      <c r="G53" s="33"/>
      <c r="H53" s="33"/>
      <c r="I53" s="33"/>
      <c r="J53" s="33"/>
      <c r="K53" s="33" t="s">
        <v>30</v>
      </c>
      <c r="L53" s="33"/>
      <c r="M53" s="33"/>
      <c r="N53" s="33"/>
      <c r="O53" s="10" t="s">
        <v>206</v>
      </c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43" t="s">
        <v>207</v>
      </c>
      <c r="AI53" s="33"/>
      <c r="AJ53" s="33"/>
      <c r="AK53" s="33" t="s">
        <v>30</v>
      </c>
      <c r="AL53" s="33"/>
      <c r="AM53" s="33"/>
      <c r="AN53" s="33"/>
      <c r="AO53" s="33"/>
      <c r="AP53" s="33"/>
      <c r="AQ53" s="33"/>
      <c r="AR53" s="33"/>
      <c r="AS53" s="33"/>
      <c r="AT53" s="33"/>
    </row>
    <row r="54" spans="1:46" ht="43.2" hidden="1" x14ac:dyDescent="0.3">
      <c r="A54" s="48" t="s">
        <v>176</v>
      </c>
      <c r="B54" s="34">
        <v>45582</v>
      </c>
      <c r="C54" s="33" t="s">
        <v>103</v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10" t="s">
        <v>210</v>
      </c>
      <c r="P54" s="36"/>
      <c r="Q54" s="36"/>
      <c r="R54" s="36"/>
      <c r="S54" s="36"/>
      <c r="T54" s="36"/>
      <c r="U54" s="36"/>
      <c r="V54" s="36" t="s">
        <v>30</v>
      </c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43" t="s">
        <v>209</v>
      </c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</row>
    <row r="55" spans="1:46" hidden="1" x14ac:dyDescent="0.3">
      <c r="A55" s="33" t="s">
        <v>177</v>
      </c>
      <c r="B55" s="34">
        <v>45583</v>
      </c>
      <c r="C55" s="33" t="s">
        <v>102</v>
      </c>
      <c r="D55" s="33"/>
      <c r="E55" s="33"/>
      <c r="F55" s="33"/>
      <c r="G55" s="33"/>
      <c r="H55" s="33"/>
      <c r="I55" s="33" t="s">
        <v>30</v>
      </c>
      <c r="J55" s="33"/>
      <c r="K55" s="33"/>
      <c r="L55" s="33" t="s">
        <v>30</v>
      </c>
      <c r="M55" s="33"/>
      <c r="N55" s="33"/>
      <c r="O55" s="10" t="s">
        <v>256</v>
      </c>
      <c r="P55" s="36" t="s">
        <v>30</v>
      </c>
      <c r="Q55" s="36"/>
      <c r="R55" s="36"/>
      <c r="S55" s="36"/>
      <c r="T55" s="36"/>
      <c r="U55" s="36"/>
      <c r="V55" s="36" t="s">
        <v>30</v>
      </c>
      <c r="W55" s="36"/>
      <c r="X55" s="36"/>
      <c r="Y55" s="36"/>
      <c r="Z55" s="36"/>
      <c r="AA55" s="36"/>
      <c r="AB55" s="36"/>
      <c r="AC55" s="36"/>
      <c r="AD55" s="36"/>
      <c r="AE55" s="36"/>
      <c r="AF55" s="36" t="s">
        <v>30</v>
      </c>
      <c r="AG55" s="36"/>
      <c r="AH55" s="40"/>
      <c r="AI55" s="33"/>
      <c r="AJ55" s="33"/>
      <c r="AK55" s="33"/>
      <c r="AL55" s="33" t="s">
        <v>30</v>
      </c>
      <c r="AM55" s="33" t="s">
        <v>30</v>
      </c>
      <c r="AN55" s="33"/>
      <c r="AO55" s="33"/>
      <c r="AP55" s="33"/>
      <c r="AQ55" s="33"/>
      <c r="AR55" s="33"/>
      <c r="AS55" s="33"/>
      <c r="AT55" s="33"/>
    </row>
    <row r="56" spans="1:46" hidden="1" x14ac:dyDescent="0.3">
      <c r="A56" s="33" t="s">
        <v>178</v>
      </c>
      <c r="B56" s="34">
        <v>45588</v>
      </c>
      <c r="C56" s="33" t="s">
        <v>103</v>
      </c>
      <c r="D56" s="33"/>
      <c r="E56" s="33"/>
      <c r="F56" s="33"/>
      <c r="G56" s="33"/>
      <c r="H56" s="33"/>
      <c r="I56" s="33" t="s">
        <v>30</v>
      </c>
      <c r="J56" s="33"/>
      <c r="K56" s="33"/>
      <c r="L56" s="33"/>
      <c r="M56" s="33"/>
      <c r="N56" s="33"/>
      <c r="O56" s="10" t="s">
        <v>32</v>
      </c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 t="s">
        <v>30</v>
      </c>
      <c r="AB56" s="36"/>
      <c r="AC56" s="36"/>
      <c r="AD56" s="36"/>
      <c r="AE56" s="36"/>
      <c r="AF56" s="36"/>
      <c r="AG56" s="36" t="s">
        <v>30</v>
      </c>
      <c r="AH56" s="40" t="s">
        <v>119</v>
      </c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</row>
    <row r="57" spans="1:46" x14ac:dyDescent="0.3">
      <c r="A57" s="33" t="s">
        <v>179</v>
      </c>
      <c r="B57" s="34">
        <v>45621</v>
      </c>
      <c r="C57" s="33" t="s">
        <v>102</v>
      </c>
      <c r="D57" s="33"/>
      <c r="E57" s="33"/>
      <c r="F57" s="33"/>
      <c r="G57" s="33"/>
      <c r="H57" s="33"/>
      <c r="I57" s="33"/>
      <c r="J57" s="33"/>
      <c r="K57" s="33"/>
      <c r="L57" s="33" t="s">
        <v>30</v>
      </c>
      <c r="M57" s="33"/>
      <c r="N57" s="33"/>
      <c r="O57" s="10" t="s">
        <v>90</v>
      </c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 t="s">
        <v>30</v>
      </c>
      <c r="AD57" s="36"/>
      <c r="AE57" s="36"/>
      <c r="AF57" s="36"/>
      <c r="AG57" s="36"/>
      <c r="AH57" s="40" t="s">
        <v>90</v>
      </c>
      <c r="AI57" s="33"/>
      <c r="AJ57" s="33"/>
      <c r="AK57" s="33"/>
      <c r="AL57" s="33"/>
      <c r="AM57" s="33" t="s">
        <v>30</v>
      </c>
      <c r="AN57" s="33"/>
      <c r="AO57" s="33"/>
      <c r="AP57" s="33"/>
      <c r="AQ57" s="33"/>
      <c r="AR57" s="33"/>
      <c r="AS57" s="33"/>
      <c r="AT57" s="33"/>
    </row>
    <row r="58" spans="1:46" ht="28.8" hidden="1" x14ac:dyDescent="0.3">
      <c r="A58" s="48" t="s">
        <v>180</v>
      </c>
      <c r="B58" s="34">
        <v>45629</v>
      </c>
      <c r="C58" s="33" t="s">
        <v>103</v>
      </c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10" t="s">
        <v>120</v>
      </c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40" t="s">
        <v>210</v>
      </c>
      <c r="AI58" s="33"/>
      <c r="AJ58" s="33"/>
      <c r="AK58" s="33" t="s">
        <v>30</v>
      </c>
      <c r="AL58" s="33"/>
      <c r="AM58" s="33"/>
      <c r="AN58" s="33"/>
      <c r="AO58" s="33"/>
      <c r="AP58" s="33"/>
      <c r="AQ58" s="33"/>
      <c r="AR58" s="33"/>
      <c r="AS58" s="33"/>
      <c r="AT58" s="33"/>
    </row>
    <row r="59" spans="1:46" ht="28.8" x14ac:dyDescent="0.3">
      <c r="A59" s="33" t="s">
        <v>181</v>
      </c>
      <c r="B59" s="34">
        <v>45631</v>
      </c>
      <c r="C59" s="33" t="s">
        <v>103</v>
      </c>
      <c r="D59" s="33"/>
      <c r="E59" s="33"/>
      <c r="F59" s="33"/>
      <c r="G59" s="33"/>
      <c r="H59" s="33"/>
      <c r="I59" s="33"/>
      <c r="J59" s="33"/>
      <c r="K59" s="33" t="s">
        <v>30</v>
      </c>
      <c r="L59" s="33"/>
      <c r="M59" s="33"/>
      <c r="N59" s="33"/>
      <c r="O59" s="10" t="s">
        <v>90</v>
      </c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 t="s">
        <v>30</v>
      </c>
      <c r="AG59" s="36"/>
      <c r="AH59" s="43" t="s">
        <v>250</v>
      </c>
      <c r="AI59" s="33"/>
      <c r="AJ59" s="33"/>
      <c r="AK59" s="33" t="s">
        <v>30</v>
      </c>
      <c r="AL59" s="33"/>
      <c r="AM59" s="33"/>
      <c r="AN59" s="33"/>
      <c r="AO59" s="33"/>
      <c r="AP59" s="33"/>
      <c r="AQ59" s="33"/>
      <c r="AR59" s="33"/>
      <c r="AS59" s="33"/>
      <c r="AT59" s="33"/>
    </row>
    <row r="60" spans="1:46" ht="43.2" x14ac:dyDescent="0.3">
      <c r="A60" s="33" t="s">
        <v>182</v>
      </c>
      <c r="B60" s="34">
        <v>45649</v>
      </c>
      <c r="C60" s="33" t="s">
        <v>103</v>
      </c>
      <c r="D60" s="33"/>
      <c r="E60" s="33"/>
      <c r="F60" s="33"/>
      <c r="G60" s="33"/>
      <c r="H60" s="33"/>
      <c r="I60" s="33"/>
      <c r="J60" s="33"/>
      <c r="K60" s="33" t="s">
        <v>30</v>
      </c>
      <c r="L60" s="33"/>
      <c r="M60" s="33"/>
      <c r="N60" s="33"/>
      <c r="O60" s="10" t="s">
        <v>90</v>
      </c>
      <c r="P60" s="36" t="s">
        <v>30</v>
      </c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43" t="s">
        <v>211</v>
      </c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</row>
    <row r="61" spans="1:46" hidden="1" x14ac:dyDescent="0.3">
      <c r="A61" s="33" t="s">
        <v>183</v>
      </c>
      <c r="B61" s="34">
        <v>45657</v>
      </c>
      <c r="C61" s="33" t="s">
        <v>110</v>
      </c>
      <c r="D61" s="33"/>
      <c r="E61" s="33"/>
      <c r="F61" s="33"/>
      <c r="G61" s="33"/>
      <c r="H61" s="33"/>
      <c r="I61" s="33" t="s">
        <v>30</v>
      </c>
      <c r="J61" s="33"/>
      <c r="K61" s="33"/>
      <c r="L61" s="33"/>
      <c r="M61" s="33"/>
      <c r="N61" s="33"/>
      <c r="O61" s="10" t="s">
        <v>212</v>
      </c>
      <c r="P61" s="36"/>
      <c r="Q61" s="36" t="s">
        <v>30</v>
      </c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40"/>
      <c r="AI61" s="33"/>
      <c r="AJ61" s="33"/>
      <c r="AK61" s="33"/>
      <c r="AL61" s="33"/>
      <c r="AM61" s="33"/>
      <c r="AN61" s="33"/>
      <c r="AO61" s="33" t="s">
        <v>30</v>
      </c>
      <c r="AP61" s="33"/>
      <c r="AQ61" s="33"/>
      <c r="AR61" s="33"/>
      <c r="AS61" s="33"/>
      <c r="AT61" s="33"/>
    </row>
    <row r="62" spans="1:46" hidden="1" x14ac:dyDescent="0.3">
      <c r="A62" s="49" t="s">
        <v>184</v>
      </c>
      <c r="B62" s="50">
        <v>45677</v>
      </c>
      <c r="C62" s="51" t="s">
        <v>102</v>
      </c>
      <c r="D62" s="49"/>
      <c r="E62" s="49"/>
      <c r="F62" s="49"/>
      <c r="G62" s="49"/>
      <c r="H62" s="49"/>
      <c r="I62" s="49"/>
      <c r="J62" s="49"/>
      <c r="K62" s="49"/>
      <c r="L62" s="49" t="s">
        <v>30</v>
      </c>
      <c r="M62" s="49"/>
      <c r="N62" s="49"/>
      <c r="O62" s="52" t="s">
        <v>42</v>
      </c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40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</row>
    <row r="63" spans="1:46" hidden="1" x14ac:dyDescent="0.3">
      <c r="A63" s="49" t="s">
        <v>185</v>
      </c>
      <c r="B63" s="50">
        <v>45678</v>
      </c>
      <c r="C63" s="51" t="s">
        <v>103</v>
      </c>
      <c r="D63" s="49"/>
      <c r="E63" s="49"/>
      <c r="F63" s="49"/>
      <c r="G63" s="49"/>
      <c r="H63" s="49"/>
      <c r="I63" s="49" t="s">
        <v>30</v>
      </c>
      <c r="J63" s="49"/>
      <c r="K63" s="49"/>
      <c r="L63" s="49"/>
      <c r="M63" s="49" t="s">
        <v>30</v>
      </c>
      <c r="N63" s="49"/>
      <c r="O63" s="52" t="s">
        <v>117</v>
      </c>
      <c r="P63" s="36"/>
      <c r="Q63" s="36"/>
      <c r="R63" s="36"/>
      <c r="S63" s="36"/>
      <c r="T63" s="36"/>
      <c r="U63" s="36"/>
      <c r="V63" s="36" t="s">
        <v>30</v>
      </c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40"/>
      <c r="AI63" s="53"/>
      <c r="AJ63" s="53" t="s">
        <v>30</v>
      </c>
      <c r="AK63" s="53" t="s">
        <v>30</v>
      </c>
      <c r="AL63" s="53"/>
      <c r="AM63" s="53"/>
      <c r="AN63" s="53"/>
      <c r="AO63" s="53"/>
      <c r="AP63" s="53"/>
      <c r="AQ63" s="53"/>
      <c r="AR63" s="53"/>
      <c r="AS63" s="53"/>
      <c r="AT63" s="53"/>
    </row>
    <row r="64" spans="1:46" ht="28.8" hidden="1" x14ac:dyDescent="0.3">
      <c r="A64" s="49" t="s">
        <v>186</v>
      </c>
      <c r="B64" s="50">
        <v>45693</v>
      </c>
      <c r="C64" s="51" t="s">
        <v>103</v>
      </c>
      <c r="D64" s="49"/>
      <c r="E64" s="49"/>
      <c r="F64" s="49"/>
      <c r="G64" s="49"/>
      <c r="H64" s="49"/>
      <c r="I64" s="49"/>
      <c r="J64" s="49"/>
      <c r="K64" s="49" t="s">
        <v>187</v>
      </c>
      <c r="L64" s="49"/>
      <c r="M64" s="49"/>
      <c r="N64" s="49"/>
      <c r="O64" s="52" t="s">
        <v>120</v>
      </c>
      <c r="P64" s="36"/>
      <c r="Q64" s="36"/>
      <c r="R64" s="36"/>
      <c r="S64" s="36"/>
      <c r="T64" s="36"/>
      <c r="U64" s="36"/>
      <c r="V64" s="36" t="s">
        <v>30</v>
      </c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40"/>
      <c r="AI64" s="53"/>
      <c r="AJ64" s="53"/>
      <c r="AK64" s="53" t="s">
        <v>30</v>
      </c>
      <c r="AL64" s="53"/>
      <c r="AM64" s="53"/>
      <c r="AN64" s="53"/>
      <c r="AO64" s="53"/>
      <c r="AP64" s="53"/>
      <c r="AQ64" s="53"/>
      <c r="AR64" s="53"/>
      <c r="AS64" s="53"/>
      <c r="AT64" s="53"/>
    </row>
    <row r="65" spans="1:46" hidden="1" x14ac:dyDescent="0.3">
      <c r="A65" s="49" t="s">
        <v>230</v>
      </c>
      <c r="B65" s="50">
        <v>45705</v>
      </c>
      <c r="C65" s="51" t="s">
        <v>103</v>
      </c>
      <c r="D65" s="49"/>
      <c r="E65" s="49"/>
      <c r="F65" s="49"/>
      <c r="G65" s="49"/>
      <c r="H65" s="49"/>
      <c r="I65" s="49"/>
      <c r="J65" s="49"/>
      <c r="K65" s="49"/>
      <c r="L65" s="49" t="s">
        <v>30</v>
      </c>
      <c r="M65" s="49"/>
      <c r="N65" s="49"/>
      <c r="O65" s="52" t="s">
        <v>257</v>
      </c>
      <c r="P65" s="36" t="s">
        <v>30</v>
      </c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40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</row>
    <row r="66" spans="1:46" hidden="1" x14ac:dyDescent="0.3">
      <c r="A66" s="49" t="s">
        <v>231</v>
      </c>
      <c r="B66" s="54">
        <v>45707</v>
      </c>
      <c r="C66" s="51" t="s">
        <v>103</v>
      </c>
      <c r="D66" s="49"/>
      <c r="E66" s="49"/>
      <c r="F66" s="49"/>
      <c r="G66" s="49"/>
      <c r="H66" s="49"/>
      <c r="I66" s="49" t="s">
        <v>30</v>
      </c>
      <c r="J66" s="49"/>
      <c r="K66" s="49"/>
      <c r="L66" s="49"/>
      <c r="M66" s="49"/>
      <c r="N66" s="49"/>
      <c r="O66" s="52" t="s">
        <v>212</v>
      </c>
      <c r="P66" s="36"/>
      <c r="Q66" s="36" t="s">
        <v>30</v>
      </c>
      <c r="R66" s="36"/>
      <c r="S66" s="36"/>
      <c r="T66" s="36"/>
      <c r="U66" s="36"/>
      <c r="V66" s="36"/>
      <c r="W66" s="36"/>
      <c r="X66" s="36"/>
      <c r="Y66" s="36" t="s">
        <v>30</v>
      </c>
      <c r="Z66" s="36"/>
      <c r="AA66" s="36"/>
      <c r="AB66" s="36"/>
      <c r="AC66" s="36"/>
      <c r="AD66" s="36"/>
      <c r="AE66" s="36"/>
      <c r="AF66" s="36"/>
      <c r="AG66" s="36"/>
      <c r="AH66" s="40"/>
      <c r="AI66" s="53"/>
      <c r="AJ66" s="53"/>
      <c r="AK66" s="53"/>
      <c r="AL66" s="53"/>
      <c r="AM66" s="53"/>
      <c r="AN66" s="53"/>
      <c r="AO66" s="53" t="s">
        <v>30</v>
      </c>
      <c r="AP66" s="53"/>
      <c r="AQ66" s="53"/>
      <c r="AR66" s="53"/>
      <c r="AS66" s="53"/>
      <c r="AT66" s="53"/>
    </row>
    <row r="67" spans="1:46" hidden="1" x14ac:dyDescent="0.3">
      <c r="A67" s="49" t="s">
        <v>232</v>
      </c>
      <c r="B67" s="55">
        <v>45726</v>
      </c>
      <c r="C67" s="56" t="s">
        <v>103</v>
      </c>
      <c r="D67" s="57"/>
      <c r="E67" s="57"/>
      <c r="F67" s="57"/>
      <c r="G67" s="57"/>
      <c r="H67" s="57"/>
      <c r="I67" s="57"/>
      <c r="J67" s="57"/>
      <c r="K67" s="57" t="s">
        <v>30</v>
      </c>
      <c r="L67" s="57"/>
      <c r="M67" s="57"/>
      <c r="N67" s="57"/>
      <c r="O67" s="58" t="s">
        <v>282</v>
      </c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 t="s">
        <v>30</v>
      </c>
      <c r="AD67" s="46"/>
      <c r="AE67" s="46"/>
      <c r="AF67" s="46"/>
      <c r="AG67" s="46"/>
      <c r="AH67" s="47"/>
      <c r="AI67" s="59"/>
      <c r="AJ67" s="59"/>
      <c r="AK67" s="59" t="s">
        <v>30</v>
      </c>
      <c r="AL67" s="59"/>
      <c r="AM67" s="59"/>
      <c r="AN67" s="59"/>
      <c r="AO67" s="59"/>
      <c r="AP67" s="59"/>
      <c r="AQ67" s="59"/>
      <c r="AR67" s="59"/>
      <c r="AS67" s="59"/>
      <c r="AT67" s="59"/>
    </row>
    <row r="68" spans="1:46" hidden="1" x14ac:dyDescent="0.3">
      <c r="A68" s="49" t="s">
        <v>233</v>
      </c>
      <c r="B68" s="54">
        <v>45750</v>
      </c>
      <c r="C68" s="51" t="s">
        <v>103</v>
      </c>
      <c r="D68" s="49"/>
      <c r="E68" s="49"/>
      <c r="F68" s="49"/>
      <c r="G68" s="49"/>
      <c r="H68" s="49"/>
      <c r="I68" s="49"/>
      <c r="J68" s="49"/>
      <c r="K68" s="49" t="s">
        <v>30</v>
      </c>
      <c r="L68" s="49"/>
      <c r="M68" s="49"/>
      <c r="N68" s="49"/>
      <c r="O68" s="52" t="s">
        <v>119</v>
      </c>
      <c r="P68" s="36" t="s">
        <v>30</v>
      </c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40"/>
      <c r="AI68" s="53"/>
      <c r="AJ68" s="53"/>
      <c r="AK68" s="53" t="s">
        <v>30</v>
      </c>
      <c r="AL68" s="53"/>
      <c r="AM68" s="53"/>
      <c r="AN68" s="53"/>
      <c r="AO68" s="53"/>
      <c r="AP68" s="53"/>
      <c r="AQ68" s="53"/>
      <c r="AR68" s="53"/>
      <c r="AS68" s="53"/>
      <c r="AT68" s="53"/>
    </row>
    <row r="69" spans="1:46" hidden="1" x14ac:dyDescent="0.3">
      <c r="A69" s="49" t="s">
        <v>234</v>
      </c>
      <c r="B69" s="54">
        <v>45758</v>
      </c>
      <c r="C69" s="51" t="s">
        <v>103</v>
      </c>
      <c r="D69" s="49"/>
      <c r="E69" s="49"/>
      <c r="F69" s="49"/>
      <c r="G69" s="49"/>
      <c r="H69" s="49"/>
      <c r="I69" s="49" t="s">
        <v>30</v>
      </c>
      <c r="J69" s="49"/>
      <c r="K69" s="49"/>
      <c r="L69" s="49"/>
      <c r="M69" s="49"/>
      <c r="N69" s="49"/>
      <c r="O69" s="52" t="s">
        <v>249</v>
      </c>
      <c r="P69" s="36" t="s">
        <v>30</v>
      </c>
      <c r="Q69" s="36"/>
      <c r="R69" s="36"/>
      <c r="S69" s="36"/>
      <c r="T69" s="36"/>
      <c r="U69" s="36"/>
      <c r="V69" s="36" t="s">
        <v>30</v>
      </c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40"/>
      <c r="AI69" s="53"/>
      <c r="AJ69" s="53"/>
      <c r="AK69" s="53"/>
      <c r="AL69" s="53" t="s">
        <v>30</v>
      </c>
      <c r="AM69" s="53"/>
      <c r="AN69" s="53"/>
      <c r="AO69" s="53"/>
      <c r="AP69" s="53"/>
      <c r="AQ69" s="53"/>
      <c r="AR69" s="53"/>
      <c r="AS69" s="53"/>
      <c r="AT69" s="53"/>
    </row>
    <row r="70" spans="1:46" hidden="1" x14ac:dyDescent="0.3">
      <c r="A70" s="49" t="s">
        <v>238</v>
      </c>
      <c r="B70" s="60">
        <v>45764</v>
      </c>
      <c r="C70" s="49" t="s">
        <v>103</v>
      </c>
      <c r="D70" s="49"/>
      <c r="E70" s="49"/>
      <c r="F70" s="49"/>
      <c r="G70" s="49"/>
      <c r="H70" s="49"/>
      <c r="I70" s="49"/>
      <c r="J70" s="49" t="s">
        <v>30</v>
      </c>
      <c r="K70" s="49"/>
      <c r="L70" s="49"/>
      <c r="M70" s="49"/>
      <c r="N70" s="49"/>
      <c r="O70" s="52" t="s">
        <v>121</v>
      </c>
      <c r="P70" s="46"/>
      <c r="Q70" s="46"/>
      <c r="R70" s="46"/>
      <c r="S70" s="46"/>
      <c r="T70" s="46"/>
      <c r="U70" s="46"/>
      <c r="V70" s="46"/>
      <c r="W70" s="46" t="s">
        <v>30</v>
      </c>
      <c r="X70" s="46"/>
      <c r="Y70" s="46"/>
      <c r="Z70" s="46"/>
      <c r="AA70" s="46" t="s">
        <v>30</v>
      </c>
      <c r="AB70" s="46"/>
      <c r="AC70" s="46"/>
      <c r="AD70" s="46"/>
      <c r="AE70" s="46"/>
      <c r="AF70" s="46"/>
      <c r="AG70" s="46"/>
      <c r="AH70" s="47"/>
      <c r="AI70" s="28"/>
      <c r="AJ70" s="28"/>
      <c r="AK70" s="28" t="s">
        <v>30</v>
      </c>
      <c r="AL70" s="28"/>
      <c r="AM70" s="28"/>
      <c r="AN70" s="28"/>
      <c r="AO70" s="28"/>
      <c r="AP70" s="28"/>
      <c r="AQ70" s="28"/>
      <c r="AR70" s="28"/>
      <c r="AS70" s="28"/>
      <c r="AT70" s="28"/>
    </row>
    <row r="71" spans="1:46" ht="28.8" hidden="1" x14ac:dyDescent="0.3">
      <c r="A71" s="49" t="s">
        <v>239</v>
      </c>
      <c r="B71" s="60">
        <v>45770</v>
      </c>
      <c r="C71" s="49" t="s">
        <v>103</v>
      </c>
      <c r="D71" s="49"/>
      <c r="E71" s="49"/>
      <c r="F71" s="49"/>
      <c r="G71" s="49"/>
      <c r="H71" s="49"/>
      <c r="I71" s="49" t="s">
        <v>30</v>
      </c>
      <c r="J71" s="49"/>
      <c r="K71" s="49"/>
      <c r="L71" s="49"/>
      <c r="M71" s="49"/>
      <c r="N71" s="49"/>
      <c r="O71" s="52" t="s">
        <v>120</v>
      </c>
      <c r="P71" s="36"/>
      <c r="Q71" s="36"/>
      <c r="R71" s="36" t="s">
        <v>30</v>
      </c>
      <c r="S71" s="36"/>
      <c r="T71" s="36"/>
      <c r="U71" s="36"/>
      <c r="V71" s="36" t="s">
        <v>30</v>
      </c>
      <c r="W71" s="36"/>
      <c r="X71" s="36"/>
      <c r="Y71" s="36"/>
      <c r="Z71" s="36"/>
      <c r="AA71" s="36" t="s">
        <v>30</v>
      </c>
      <c r="AB71" s="36"/>
      <c r="AC71" s="36"/>
      <c r="AD71" s="36"/>
      <c r="AE71" s="36"/>
      <c r="AF71" s="36"/>
      <c r="AG71" s="36"/>
      <c r="AH71" s="40"/>
      <c r="AI71" s="11"/>
      <c r="AJ71" s="11"/>
      <c r="AK71" s="11"/>
      <c r="AL71" s="11" t="s">
        <v>30</v>
      </c>
      <c r="AM71" s="11"/>
      <c r="AN71" s="11"/>
      <c r="AO71" s="11"/>
      <c r="AP71" s="11"/>
      <c r="AQ71" s="11"/>
      <c r="AR71" s="11"/>
      <c r="AS71" s="11"/>
      <c r="AT71" s="11"/>
    </row>
    <row r="72" spans="1:46" hidden="1" x14ac:dyDescent="0.3">
      <c r="A72" s="49" t="s">
        <v>240</v>
      </c>
      <c r="B72" s="60">
        <v>45775</v>
      </c>
      <c r="C72" s="49" t="s">
        <v>103</v>
      </c>
      <c r="D72" s="49"/>
      <c r="E72" s="49"/>
      <c r="F72" s="49"/>
      <c r="G72" s="49"/>
      <c r="H72" s="49"/>
      <c r="I72" s="49" t="s">
        <v>30</v>
      </c>
      <c r="J72" s="49"/>
      <c r="K72" s="49"/>
      <c r="L72" s="49"/>
      <c r="M72" s="49"/>
      <c r="N72" s="49"/>
      <c r="O72" s="52" t="s">
        <v>249</v>
      </c>
      <c r="P72" s="36"/>
      <c r="Q72" s="36"/>
      <c r="R72" s="36"/>
      <c r="S72" s="36"/>
      <c r="T72" s="36"/>
      <c r="U72" s="36"/>
      <c r="V72" s="36" t="s">
        <v>30</v>
      </c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40"/>
      <c r="AI72" s="11"/>
      <c r="AJ72" s="11"/>
      <c r="AK72" s="11"/>
      <c r="AL72" s="11" t="s">
        <v>30</v>
      </c>
      <c r="AM72" s="11"/>
      <c r="AN72" s="11"/>
      <c r="AO72" s="11"/>
      <c r="AP72" s="11"/>
      <c r="AQ72" s="11"/>
      <c r="AR72" s="11"/>
      <c r="AS72" s="11"/>
      <c r="AT72" s="11"/>
    </row>
    <row r="73" spans="1:46" hidden="1" x14ac:dyDescent="0.3">
      <c r="A73" s="49" t="s">
        <v>241</v>
      </c>
      <c r="B73" s="60">
        <v>45778</v>
      </c>
      <c r="C73" s="49" t="s">
        <v>103</v>
      </c>
      <c r="D73" s="49"/>
      <c r="E73" s="49"/>
      <c r="F73" s="49"/>
      <c r="G73" s="49"/>
      <c r="H73" s="49"/>
      <c r="I73" s="49"/>
      <c r="J73" s="49"/>
      <c r="K73" s="49"/>
      <c r="L73" s="49" t="s">
        <v>30</v>
      </c>
      <c r="M73" s="49"/>
      <c r="N73" s="49"/>
      <c r="O73" s="52" t="s">
        <v>257</v>
      </c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 t="s">
        <v>30</v>
      </c>
      <c r="AB73" s="36"/>
      <c r="AC73" s="36"/>
      <c r="AD73" s="36"/>
      <c r="AE73" s="36"/>
      <c r="AF73" s="36"/>
      <c r="AG73" s="36"/>
      <c r="AH73" s="40"/>
      <c r="AI73" s="11"/>
      <c r="AJ73" s="11"/>
      <c r="AK73" s="11"/>
      <c r="AL73" s="11"/>
      <c r="AM73" s="11" t="s">
        <v>30</v>
      </c>
      <c r="AN73" s="11"/>
      <c r="AO73" s="11"/>
      <c r="AP73" s="11"/>
      <c r="AQ73" s="11"/>
      <c r="AR73" s="11"/>
      <c r="AS73" s="11"/>
      <c r="AT73" s="11"/>
    </row>
    <row r="74" spans="1:46" hidden="1" x14ac:dyDescent="0.3">
      <c r="A74" s="49" t="s">
        <v>242</v>
      </c>
      <c r="B74" s="60">
        <v>45778</v>
      </c>
      <c r="C74" s="49" t="s">
        <v>103</v>
      </c>
      <c r="D74" s="49"/>
      <c r="E74" s="49"/>
      <c r="F74" s="49"/>
      <c r="G74" s="49"/>
      <c r="H74" s="49"/>
      <c r="I74" s="49"/>
      <c r="J74" s="49"/>
      <c r="K74" s="49" t="s">
        <v>30</v>
      </c>
      <c r="L74" s="49"/>
      <c r="M74" s="49"/>
      <c r="N74" s="49"/>
      <c r="O74" s="52" t="s">
        <v>248</v>
      </c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 t="s">
        <v>30</v>
      </c>
      <c r="AB74" s="36"/>
      <c r="AC74" s="36"/>
      <c r="AD74" s="36"/>
      <c r="AE74" s="36"/>
      <c r="AF74" s="36"/>
      <c r="AG74" s="36"/>
      <c r="AH74" s="40"/>
      <c r="AI74" s="11"/>
      <c r="AJ74" s="11"/>
      <c r="AK74" s="11" t="s">
        <v>30</v>
      </c>
      <c r="AL74" s="11"/>
      <c r="AM74" s="11"/>
      <c r="AN74" s="11"/>
      <c r="AO74" s="11"/>
      <c r="AP74" s="11"/>
      <c r="AQ74" s="11"/>
      <c r="AR74" s="11"/>
      <c r="AS74" s="11"/>
      <c r="AT74" s="11"/>
    </row>
    <row r="75" spans="1:46" hidden="1" x14ac:dyDescent="0.3">
      <c r="A75" s="49" t="s">
        <v>243</v>
      </c>
      <c r="B75" s="60">
        <v>45796</v>
      </c>
      <c r="C75" s="49" t="s">
        <v>103</v>
      </c>
      <c r="D75" s="49"/>
      <c r="E75" s="49"/>
      <c r="F75" s="49"/>
      <c r="G75" s="49"/>
      <c r="H75" s="49"/>
      <c r="I75" s="49"/>
      <c r="J75" s="49"/>
      <c r="K75" s="49"/>
      <c r="L75" s="49" t="s">
        <v>30</v>
      </c>
      <c r="M75" s="49"/>
      <c r="N75" s="49"/>
      <c r="O75" s="52" t="s">
        <v>42</v>
      </c>
      <c r="P75" s="36" t="s">
        <v>30</v>
      </c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 t="s">
        <v>30</v>
      </c>
      <c r="AB75" s="36"/>
      <c r="AC75" s="36"/>
      <c r="AD75" s="36"/>
      <c r="AE75" s="36"/>
      <c r="AF75" s="36"/>
      <c r="AG75" s="36"/>
      <c r="AH75" s="40"/>
      <c r="AI75" s="11"/>
      <c r="AJ75" s="11"/>
      <c r="AK75" s="11"/>
      <c r="AL75" s="11"/>
      <c r="AM75" s="11" t="s">
        <v>30</v>
      </c>
      <c r="AN75" s="11"/>
      <c r="AO75" s="11"/>
      <c r="AP75" s="11"/>
      <c r="AQ75" s="11"/>
      <c r="AR75" s="11"/>
      <c r="AS75" s="11"/>
      <c r="AT75" s="11"/>
    </row>
    <row r="76" spans="1:46" ht="28.8" hidden="1" x14ac:dyDescent="0.3">
      <c r="A76" s="49" t="s">
        <v>244</v>
      </c>
      <c r="B76" s="60">
        <v>45796</v>
      </c>
      <c r="C76" s="49" t="s">
        <v>103</v>
      </c>
      <c r="D76" s="49"/>
      <c r="E76" s="49"/>
      <c r="F76" s="49"/>
      <c r="G76" s="49"/>
      <c r="H76" s="49"/>
      <c r="I76" s="49"/>
      <c r="J76" s="49"/>
      <c r="K76" s="49" t="s">
        <v>30</v>
      </c>
      <c r="L76" s="49"/>
      <c r="M76" s="49"/>
      <c r="N76" s="49"/>
      <c r="O76" s="52" t="s">
        <v>120</v>
      </c>
      <c r="P76" s="36"/>
      <c r="Q76" s="36"/>
      <c r="R76" s="36"/>
      <c r="S76" s="36"/>
      <c r="T76" s="36"/>
      <c r="U76" s="36"/>
      <c r="V76" s="36" t="s">
        <v>30</v>
      </c>
      <c r="W76" s="36" t="s">
        <v>30</v>
      </c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40"/>
      <c r="AI76" s="11"/>
      <c r="AJ76" s="11"/>
      <c r="AK76" s="11" t="s">
        <v>30</v>
      </c>
      <c r="AL76" s="11"/>
      <c r="AM76" s="11"/>
      <c r="AN76" s="11"/>
      <c r="AO76" s="11"/>
      <c r="AP76" s="11"/>
      <c r="AQ76" s="11"/>
      <c r="AR76" s="11"/>
      <c r="AS76" s="11"/>
      <c r="AT76" s="11"/>
    </row>
    <row r="77" spans="1:46" hidden="1" x14ac:dyDescent="0.3">
      <c r="A77" s="49" t="s">
        <v>245</v>
      </c>
      <c r="B77" s="60">
        <v>45800</v>
      </c>
      <c r="C77" s="49" t="s">
        <v>102</v>
      </c>
      <c r="D77" s="49"/>
      <c r="E77" s="49"/>
      <c r="F77" s="49"/>
      <c r="G77" s="49"/>
      <c r="H77" s="49"/>
      <c r="I77" s="49"/>
      <c r="J77" s="49"/>
      <c r="K77" s="49"/>
      <c r="L77" s="49" t="s">
        <v>30</v>
      </c>
      <c r="M77" s="49"/>
      <c r="N77" s="49"/>
      <c r="O77" s="52" t="s">
        <v>92</v>
      </c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 t="s">
        <v>30</v>
      </c>
      <c r="AC77" s="36"/>
      <c r="AD77" s="36"/>
      <c r="AE77" s="36"/>
      <c r="AF77" s="36"/>
      <c r="AG77" s="36"/>
      <c r="AH77" s="40"/>
      <c r="AI77" s="11"/>
      <c r="AJ77" s="11"/>
      <c r="AK77" s="11"/>
      <c r="AL77" s="11"/>
      <c r="AM77" s="11" t="s">
        <v>30</v>
      </c>
      <c r="AN77" s="11"/>
      <c r="AO77" s="11"/>
      <c r="AP77" s="11"/>
      <c r="AQ77" s="11"/>
      <c r="AR77" s="11"/>
      <c r="AS77" s="11"/>
      <c r="AT77" s="11"/>
    </row>
    <row r="78" spans="1:46" ht="28.8" hidden="1" x14ac:dyDescent="0.3">
      <c r="A78" s="49" t="s">
        <v>246</v>
      </c>
      <c r="B78" s="60">
        <v>45811</v>
      </c>
      <c r="C78" s="49" t="s">
        <v>103</v>
      </c>
      <c r="D78" s="49"/>
      <c r="E78" s="49"/>
      <c r="F78" s="49"/>
      <c r="G78" s="49"/>
      <c r="H78" s="49"/>
      <c r="I78" s="49" t="s">
        <v>30</v>
      </c>
      <c r="J78" s="49"/>
      <c r="K78" s="49"/>
      <c r="L78" s="49"/>
      <c r="M78" s="49"/>
      <c r="N78" s="49"/>
      <c r="O78" s="52" t="s">
        <v>129</v>
      </c>
      <c r="P78" s="36"/>
      <c r="Q78" s="36"/>
      <c r="R78" s="36"/>
      <c r="S78" s="36"/>
      <c r="T78" s="36"/>
      <c r="U78" s="36"/>
      <c r="V78" s="36" t="s">
        <v>30</v>
      </c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40"/>
      <c r="AI78" s="11"/>
      <c r="AJ78" s="11"/>
      <c r="AK78" s="11"/>
      <c r="AL78" s="11"/>
      <c r="AM78" s="11"/>
      <c r="AN78" s="11"/>
      <c r="AO78" s="11" t="s">
        <v>30</v>
      </c>
      <c r="AP78" s="11"/>
      <c r="AQ78" s="11"/>
      <c r="AR78" s="11"/>
      <c r="AS78" s="11"/>
      <c r="AT78" s="11"/>
    </row>
    <row r="79" spans="1:46" hidden="1" x14ac:dyDescent="0.3">
      <c r="A79" s="49" t="s">
        <v>247</v>
      </c>
      <c r="B79" s="60">
        <v>45817</v>
      </c>
      <c r="C79" s="49" t="s">
        <v>103</v>
      </c>
      <c r="D79" s="49"/>
      <c r="E79" s="49"/>
      <c r="F79" s="49"/>
      <c r="G79" s="49"/>
      <c r="H79" s="49"/>
      <c r="I79" s="49"/>
      <c r="J79" s="49"/>
      <c r="K79" s="49"/>
      <c r="L79" s="49" t="s">
        <v>30</v>
      </c>
      <c r="M79" s="49"/>
      <c r="N79" s="49"/>
      <c r="O79" s="52" t="s">
        <v>92</v>
      </c>
      <c r="P79" s="36"/>
      <c r="Q79" s="36"/>
      <c r="R79" s="36"/>
      <c r="S79" s="36"/>
      <c r="T79" s="36"/>
      <c r="U79" s="36"/>
      <c r="V79" s="36"/>
      <c r="W79" s="36" t="s">
        <v>30</v>
      </c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40"/>
      <c r="AI79" s="11"/>
      <c r="AJ79" s="11"/>
      <c r="AK79" s="11"/>
      <c r="AL79" s="11"/>
      <c r="AM79" s="11" t="s">
        <v>30</v>
      </c>
      <c r="AN79" s="11"/>
      <c r="AO79" s="11"/>
      <c r="AP79" s="11"/>
      <c r="AQ79" s="11"/>
      <c r="AR79" s="11"/>
      <c r="AS79" s="11"/>
      <c r="AT79" s="11"/>
    </row>
    <row r="80" spans="1:46" hidden="1" x14ac:dyDescent="0.3">
      <c r="A80" s="49" t="s">
        <v>251</v>
      </c>
      <c r="B80" s="60">
        <v>45824</v>
      </c>
      <c r="C80" s="49" t="s">
        <v>103</v>
      </c>
      <c r="D80" s="49"/>
      <c r="E80" s="49"/>
      <c r="F80" s="49"/>
      <c r="G80" s="49"/>
      <c r="H80" s="49"/>
      <c r="I80" s="49"/>
      <c r="J80" s="49" t="s">
        <v>30</v>
      </c>
      <c r="K80" s="49"/>
      <c r="L80" s="49"/>
      <c r="M80" s="49"/>
      <c r="N80" s="49"/>
      <c r="O80" s="52" t="s">
        <v>263</v>
      </c>
      <c r="P80" s="36"/>
      <c r="Q80" s="36"/>
      <c r="R80" s="36"/>
      <c r="S80" s="36"/>
      <c r="T80" s="36"/>
      <c r="U80" s="36"/>
      <c r="V80" s="36" t="s">
        <v>30</v>
      </c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40"/>
      <c r="AI80" s="11"/>
      <c r="AJ80" s="11"/>
      <c r="AK80" s="11"/>
      <c r="AL80" s="11"/>
      <c r="AM80" s="11"/>
      <c r="AN80" s="11" t="s">
        <v>30</v>
      </c>
      <c r="AO80" s="11"/>
      <c r="AP80" s="11"/>
      <c r="AQ80" s="11"/>
      <c r="AR80" s="11"/>
      <c r="AS80" s="11"/>
      <c r="AT80" s="11"/>
    </row>
    <row r="81" spans="1:46" hidden="1" x14ac:dyDescent="0.3">
      <c r="A81" s="49" t="s">
        <v>252</v>
      </c>
      <c r="B81" s="60">
        <v>45833</v>
      </c>
      <c r="C81" s="49" t="s">
        <v>103</v>
      </c>
      <c r="D81" s="49"/>
      <c r="E81" s="49"/>
      <c r="F81" s="49"/>
      <c r="G81" s="49"/>
      <c r="H81" s="49"/>
      <c r="I81" s="49"/>
      <c r="J81" s="49"/>
      <c r="K81" s="49" t="s">
        <v>30</v>
      </c>
      <c r="L81" s="49"/>
      <c r="M81" s="49"/>
      <c r="N81" s="49"/>
      <c r="O81" s="52" t="s">
        <v>89</v>
      </c>
      <c r="P81" s="36"/>
      <c r="Q81" s="36"/>
      <c r="R81" s="36"/>
      <c r="S81" s="36"/>
      <c r="T81" s="36"/>
      <c r="U81" s="36"/>
      <c r="V81" s="36" t="s">
        <v>30</v>
      </c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40"/>
      <c r="AI81" s="11"/>
      <c r="AJ81" s="11"/>
      <c r="AK81" s="11" t="s">
        <v>30</v>
      </c>
      <c r="AL81" s="11"/>
      <c r="AM81" s="11"/>
      <c r="AN81" s="11"/>
      <c r="AO81" s="11"/>
      <c r="AP81" s="11"/>
      <c r="AQ81" s="11"/>
      <c r="AR81" s="11"/>
      <c r="AS81" s="11"/>
      <c r="AT81" s="11"/>
    </row>
    <row r="82" spans="1:46" hidden="1" x14ac:dyDescent="0.3">
      <c r="A82" s="49" t="s">
        <v>253</v>
      </c>
      <c r="B82" s="61">
        <v>45833</v>
      </c>
      <c r="C82" s="49" t="s">
        <v>103</v>
      </c>
      <c r="D82" s="49"/>
      <c r="E82" s="49"/>
      <c r="F82" s="49"/>
      <c r="G82" s="49"/>
      <c r="H82" s="49"/>
      <c r="I82" s="49" t="s">
        <v>30</v>
      </c>
      <c r="J82" s="49"/>
      <c r="K82" s="49"/>
      <c r="L82" s="49"/>
      <c r="M82" s="49"/>
      <c r="N82" s="49"/>
      <c r="O82" s="52" t="s">
        <v>256</v>
      </c>
      <c r="P82" s="36"/>
      <c r="Q82" s="36"/>
      <c r="R82" s="36"/>
      <c r="S82" s="36"/>
      <c r="T82" s="36"/>
      <c r="U82" s="36"/>
      <c r="V82" s="36" t="s">
        <v>30</v>
      </c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40"/>
      <c r="AI82" s="11"/>
      <c r="AJ82" s="11"/>
      <c r="AK82" s="11"/>
      <c r="AL82" s="11" t="s">
        <v>30</v>
      </c>
      <c r="AM82" s="11"/>
      <c r="AN82" s="11"/>
      <c r="AO82" s="11"/>
      <c r="AP82" s="11"/>
      <c r="AQ82" s="11"/>
      <c r="AR82" s="11"/>
      <c r="AS82" s="11"/>
      <c r="AT82" s="11"/>
    </row>
    <row r="83" spans="1:46" ht="28.8" hidden="1" x14ac:dyDescent="0.3">
      <c r="A83" s="49" t="s">
        <v>254</v>
      </c>
      <c r="B83" s="61">
        <v>45845</v>
      </c>
      <c r="C83" s="49" t="s">
        <v>301</v>
      </c>
      <c r="D83" s="49"/>
      <c r="E83" s="49"/>
      <c r="F83" s="49"/>
      <c r="G83" s="49"/>
      <c r="H83" s="49"/>
      <c r="I83" s="49" t="s">
        <v>30</v>
      </c>
      <c r="J83" s="49"/>
      <c r="K83" s="49" t="s">
        <v>30</v>
      </c>
      <c r="L83" s="49"/>
      <c r="M83" s="49"/>
      <c r="N83" s="49"/>
      <c r="O83" s="52" t="s">
        <v>120</v>
      </c>
      <c r="P83" s="36" t="s">
        <v>30</v>
      </c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40"/>
      <c r="AI83" s="11"/>
      <c r="AJ83" s="11"/>
      <c r="AK83" s="11"/>
      <c r="AL83" s="11" t="s">
        <v>30</v>
      </c>
      <c r="AM83" s="11"/>
      <c r="AN83" s="11"/>
      <c r="AO83" s="11"/>
      <c r="AP83" s="11"/>
      <c r="AQ83" s="11"/>
      <c r="AR83" s="11"/>
      <c r="AS83" s="11"/>
      <c r="AT83" s="11"/>
    </row>
    <row r="84" spans="1:46" hidden="1" x14ac:dyDescent="0.3">
      <c r="A84" s="49" t="s">
        <v>255</v>
      </c>
      <c r="B84" s="61">
        <v>45841</v>
      </c>
      <c r="C84" s="49" t="s">
        <v>102</v>
      </c>
      <c r="D84" s="49"/>
      <c r="E84" s="49"/>
      <c r="F84" s="49"/>
      <c r="G84" s="49"/>
      <c r="H84" s="49"/>
      <c r="I84" s="49"/>
      <c r="J84" s="49"/>
      <c r="K84" s="49"/>
      <c r="L84" s="49" t="s">
        <v>30</v>
      </c>
      <c r="M84" s="49"/>
      <c r="N84" s="49"/>
      <c r="O84" s="52" t="s">
        <v>257</v>
      </c>
      <c r="P84" s="36"/>
      <c r="Q84" s="36"/>
      <c r="R84" s="36"/>
      <c r="S84" s="36"/>
      <c r="T84" s="36"/>
      <c r="U84" s="36"/>
      <c r="V84" s="36"/>
      <c r="W84" s="36" t="s">
        <v>30</v>
      </c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40"/>
      <c r="AI84" s="11"/>
      <c r="AJ84" s="11"/>
      <c r="AK84" s="11"/>
      <c r="AL84" s="11"/>
      <c r="AM84" s="11" t="s">
        <v>30</v>
      </c>
      <c r="AN84" s="11"/>
      <c r="AO84" s="11"/>
      <c r="AP84" s="11"/>
      <c r="AQ84" s="11"/>
      <c r="AR84" s="11"/>
      <c r="AS84" s="11"/>
      <c r="AT84" s="11"/>
    </row>
    <row r="85" spans="1:46" hidden="1" x14ac:dyDescent="0.3">
      <c r="A85" s="49" t="s">
        <v>300</v>
      </c>
      <c r="B85" s="60">
        <v>45852</v>
      </c>
      <c r="C85" s="49" t="s">
        <v>103</v>
      </c>
      <c r="D85" s="49"/>
      <c r="E85" s="49"/>
      <c r="F85" s="49"/>
      <c r="G85" s="49"/>
      <c r="H85" s="49"/>
      <c r="I85" s="49" t="s">
        <v>30</v>
      </c>
      <c r="J85" s="49"/>
      <c r="K85" s="49"/>
      <c r="L85" s="49"/>
      <c r="M85" s="49"/>
      <c r="N85" s="49"/>
      <c r="O85" s="52" t="s">
        <v>263</v>
      </c>
      <c r="P85" s="36"/>
      <c r="Q85" s="36"/>
      <c r="R85" s="36"/>
      <c r="S85" s="36"/>
      <c r="T85" s="36"/>
      <c r="U85" s="36"/>
      <c r="V85" s="36"/>
      <c r="W85" s="36" t="s">
        <v>30</v>
      </c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40"/>
      <c r="AI85" s="11"/>
      <c r="AJ85" s="11"/>
      <c r="AK85" s="11"/>
      <c r="AL85" s="11" t="s">
        <v>30</v>
      </c>
      <c r="AM85" s="11"/>
      <c r="AN85" s="11"/>
      <c r="AO85" s="11"/>
      <c r="AP85" s="11"/>
      <c r="AQ85" s="11"/>
      <c r="AR85" s="11"/>
      <c r="AS85" s="11"/>
      <c r="AT85" s="11"/>
    </row>
    <row r="86" spans="1:46" ht="28.8" hidden="1" x14ac:dyDescent="0.3">
      <c r="A86" s="49" t="s">
        <v>302</v>
      </c>
      <c r="B86" s="61">
        <v>45870</v>
      </c>
      <c r="C86" s="49" t="s">
        <v>301</v>
      </c>
      <c r="D86" s="49"/>
      <c r="E86" s="49"/>
      <c r="F86" s="49"/>
      <c r="G86" s="49"/>
      <c r="H86" s="49"/>
      <c r="I86" s="49" t="s">
        <v>30</v>
      </c>
      <c r="J86" s="49"/>
      <c r="K86" s="49"/>
      <c r="L86" s="49" t="s">
        <v>30</v>
      </c>
      <c r="M86" s="49"/>
      <c r="N86" s="49"/>
      <c r="O86" s="52" t="s">
        <v>120</v>
      </c>
      <c r="P86" s="36"/>
      <c r="Q86" s="36"/>
      <c r="R86" s="36"/>
      <c r="S86" s="36"/>
      <c r="T86" s="36"/>
      <c r="U86" s="36"/>
      <c r="V86" s="36" t="s">
        <v>30</v>
      </c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40"/>
      <c r="AI86" s="11"/>
      <c r="AJ86" s="11"/>
      <c r="AK86" s="11" t="s">
        <v>30</v>
      </c>
      <c r="AL86" s="11"/>
      <c r="AM86" s="11"/>
      <c r="AN86" s="11"/>
      <c r="AO86" s="11"/>
      <c r="AP86" s="11"/>
      <c r="AQ86" s="11"/>
      <c r="AR86" s="11"/>
      <c r="AS86" s="11"/>
      <c r="AT86" s="11"/>
    </row>
    <row r="87" spans="1:46" hidden="1" x14ac:dyDescent="0.3">
      <c r="A87" s="49" t="s">
        <v>303</v>
      </c>
      <c r="B87" s="61">
        <v>45890</v>
      </c>
      <c r="C87" s="49" t="s">
        <v>301</v>
      </c>
      <c r="D87" s="49"/>
      <c r="E87" s="49"/>
      <c r="F87" s="49"/>
      <c r="G87" s="49"/>
      <c r="H87" s="49"/>
      <c r="I87" s="49" t="s">
        <v>30</v>
      </c>
      <c r="J87" s="49"/>
      <c r="K87" s="49" t="s">
        <v>30</v>
      </c>
      <c r="L87" s="49"/>
      <c r="M87" s="49"/>
      <c r="N87" s="49"/>
      <c r="O87" s="52" t="s">
        <v>267</v>
      </c>
      <c r="P87" s="36"/>
      <c r="Q87" s="36"/>
      <c r="R87" s="36"/>
      <c r="S87" s="36"/>
      <c r="T87" s="36"/>
      <c r="U87" s="36"/>
      <c r="V87" s="36" t="s">
        <v>30</v>
      </c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40"/>
      <c r="AI87" s="11"/>
      <c r="AJ87" s="11" t="s">
        <v>30</v>
      </c>
      <c r="AK87" s="11"/>
      <c r="AL87" s="11"/>
      <c r="AM87" s="11"/>
      <c r="AN87" s="11"/>
      <c r="AO87" s="11"/>
      <c r="AP87" s="11"/>
      <c r="AQ87" s="11"/>
      <c r="AR87" s="11"/>
      <c r="AS87" s="11"/>
      <c r="AT87" s="11"/>
    </row>
    <row r="88" spans="1:46" ht="28.8" hidden="1" x14ac:dyDescent="0.3">
      <c r="A88" s="49" t="s">
        <v>304</v>
      </c>
      <c r="B88" s="61">
        <v>45909</v>
      </c>
      <c r="C88" s="49" t="s">
        <v>103</v>
      </c>
      <c r="D88" s="49"/>
      <c r="E88" s="49"/>
      <c r="F88" s="49"/>
      <c r="G88" s="49"/>
      <c r="H88" s="49"/>
      <c r="I88" s="49"/>
      <c r="J88" s="49"/>
      <c r="K88" s="49" t="s">
        <v>30</v>
      </c>
      <c r="L88" s="49"/>
      <c r="M88" s="49"/>
      <c r="N88" s="49"/>
      <c r="O88" s="52" t="s">
        <v>120</v>
      </c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 t="s">
        <v>30</v>
      </c>
      <c r="AE88" s="36"/>
      <c r="AF88" s="36"/>
      <c r="AG88" s="36"/>
      <c r="AH88" s="40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</row>
    <row r="89" spans="1:46" hidden="1" x14ac:dyDescent="0.3">
      <c r="A89" s="49" t="s">
        <v>305</v>
      </c>
      <c r="B89" s="61">
        <v>45917</v>
      </c>
      <c r="C89" s="49" t="s">
        <v>301</v>
      </c>
      <c r="D89" s="49"/>
      <c r="E89" s="49"/>
      <c r="F89" s="49"/>
      <c r="G89" s="49"/>
      <c r="H89" s="49"/>
      <c r="I89" s="49"/>
      <c r="J89" s="49"/>
      <c r="K89" s="49"/>
      <c r="L89" s="49"/>
      <c r="M89" s="49" t="s">
        <v>30</v>
      </c>
      <c r="N89" s="49"/>
      <c r="O89" s="52" t="s">
        <v>249</v>
      </c>
      <c r="P89" s="36"/>
      <c r="Q89" s="36"/>
      <c r="R89" s="36"/>
      <c r="S89" s="36"/>
      <c r="T89" s="36"/>
      <c r="U89" s="36"/>
      <c r="V89" s="36" t="s">
        <v>30</v>
      </c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40"/>
      <c r="AI89" s="11"/>
      <c r="AJ89" s="11" t="s">
        <v>30</v>
      </c>
      <c r="AK89" s="11"/>
      <c r="AL89" s="11"/>
      <c r="AM89" s="11"/>
      <c r="AN89" s="11"/>
      <c r="AO89" s="11"/>
      <c r="AP89" s="11"/>
      <c r="AQ89" s="11"/>
      <c r="AR89" s="11"/>
      <c r="AS89" s="11"/>
      <c r="AT89" s="11"/>
    </row>
    <row r="90" spans="1:46" x14ac:dyDescent="0.3">
      <c r="A90" s="49" t="s">
        <v>306</v>
      </c>
      <c r="B90" s="61">
        <v>45917</v>
      </c>
      <c r="C90" s="49" t="s">
        <v>103</v>
      </c>
      <c r="D90" s="49"/>
      <c r="E90" s="49"/>
      <c r="F90" s="49"/>
      <c r="G90" s="49"/>
      <c r="H90" s="49"/>
      <c r="I90" s="49"/>
      <c r="J90" s="49"/>
      <c r="K90" s="49"/>
      <c r="L90" s="49" t="s">
        <v>30</v>
      </c>
      <c r="M90" s="49"/>
      <c r="N90" s="49"/>
      <c r="O90" s="52" t="s">
        <v>90</v>
      </c>
      <c r="P90" s="36"/>
      <c r="Q90" s="36"/>
      <c r="R90" s="36"/>
      <c r="S90" s="36"/>
      <c r="T90" s="36"/>
      <c r="U90" s="36"/>
      <c r="V90" s="36"/>
      <c r="W90" s="36" t="s">
        <v>30</v>
      </c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40"/>
      <c r="AI90" s="11"/>
      <c r="AJ90" s="11"/>
      <c r="AK90" s="11"/>
      <c r="AL90" s="11"/>
      <c r="AM90" s="11" t="s">
        <v>30</v>
      </c>
      <c r="AN90" s="11"/>
      <c r="AO90" s="11"/>
      <c r="AP90" s="11"/>
      <c r="AQ90" s="11"/>
      <c r="AR90" s="11"/>
      <c r="AS90" s="11"/>
      <c r="AT90" s="11"/>
    </row>
    <row r="91" spans="1:46" hidden="1" x14ac:dyDescent="0.3">
      <c r="A91" s="49" t="s">
        <v>307</v>
      </c>
      <c r="B91" s="61">
        <v>45944</v>
      </c>
      <c r="C91" s="49" t="s">
        <v>103</v>
      </c>
      <c r="D91" s="49"/>
      <c r="E91" s="49"/>
      <c r="F91" s="49"/>
      <c r="G91" s="49"/>
      <c r="H91" s="49"/>
      <c r="I91" s="49"/>
      <c r="J91" s="49" t="s">
        <v>30</v>
      </c>
      <c r="K91" s="49"/>
      <c r="L91" s="49"/>
      <c r="M91" s="49"/>
      <c r="N91" s="49"/>
      <c r="O91" s="52" t="s">
        <v>119</v>
      </c>
      <c r="P91" s="36"/>
      <c r="Q91" s="36"/>
      <c r="R91" s="36"/>
      <c r="S91" s="36"/>
      <c r="T91" s="36" t="s">
        <v>30</v>
      </c>
      <c r="U91" s="36"/>
      <c r="V91" s="36" t="s">
        <v>30</v>
      </c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40"/>
      <c r="AI91" s="11"/>
      <c r="AJ91" s="11"/>
      <c r="AK91" s="11"/>
      <c r="AL91" s="11"/>
      <c r="AM91" s="11"/>
      <c r="AN91" s="11" t="s">
        <v>30</v>
      </c>
      <c r="AO91" s="11"/>
      <c r="AP91" s="11"/>
      <c r="AQ91" s="11"/>
      <c r="AR91" s="11"/>
      <c r="AS91" s="11"/>
      <c r="AT91" s="11"/>
    </row>
    <row r="92" spans="1:46" hidden="1" x14ac:dyDescent="0.3">
      <c r="A92" s="49" t="s">
        <v>308</v>
      </c>
      <c r="B92" s="61">
        <v>45961</v>
      </c>
      <c r="C92" s="49" t="s">
        <v>103</v>
      </c>
      <c r="D92" s="49"/>
      <c r="E92" s="49"/>
      <c r="F92" s="49"/>
      <c r="G92" s="49"/>
      <c r="H92" s="49"/>
      <c r="I92" s="49"/>
      <c r="J92" s="49" t="s">
        <v>30</v>
      </c>
      <c r="K92" s="49"/>
      <c r="L92" s="49"/>
      <c r="M92" s="49"/>
      <c r="N92" s="49"/>
      <c r="O92" s="52" t="s">
        <v>119</v>
      </c>
      <c r="P92" s="36"/>
      <c r="Q92" s="36"/>
      <c r="R92" s="36"/>
      <c r="S92" s="36"/>
      <c r="T92" s="36" t="s">
        <v>30</v>
      </c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40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</row>
    <row r="93" spans="1:46" hidden="1" x14ac:dyDescent="0.3">
      <c r="A93" s="49" t="s">
        <v>309</v>
      </c>
      <c r="B93" s="61">
        <v>45967</v>
      </c>
      <c r="C93" s="49" t="s">
        <v>103</v>
      </c>
      <c r="D93" s="49"/>
      <c r="E93" s="49"/>
      <c r="F93" s="49"/>
      <c r="G93" s="49"/>
      <c r="H93" s="49"/>
      <c r="I93" s="49"/>
      <c r="J93" s="49"/>
      <c r="K93" s="49" t="s">
        <v>30</v>
      </c>
      <c r="L93" s="49"/>
      <c r="M93" s="49"/>
      <c r="N93" s="49"/>
      <c r="O93" s="52" t="s">
        <v>264</v>
      </c>
      <c r="P93" s="36" t="s">
        <v>30</v>
      </c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40"/>
      <c r="AI93" s="11" t="s">
        <v>30</v>
      </c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</row>
    <row r="94" spans="1:46" hidden="1" x14ac:dyDescent="0.3">
      <c r="A94" s="49" t="s">
        <v>310</v>
      </c>
      <c r="B94" s="61">
        <v>45978</v>
      </c>
      <c r="C94" s="49" t="s">
        <v>103</v>
      </c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52" t="s">
        <v>263</v>
      </c>
      <c r="P94" s="36"/>
      <c r="Q94" s="36"/>
      <c r="R94" s="36"/>
      <c r="S94" s="36"/>
      <c r="T94" s="36"/>
      <c r="U94" s="36"/>
      <c r="V94" s="36"/>
      <c r="W94" s="36" t="s">
        <v>30</v>
      </c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40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</row>
    <row r="95" spans="1:46" hidden="1" x14ac:dyDescent="0.3">
      <c r="A95" s="49" t="s">
        <v>311</v>
      </c>
      <c r="B95" s="61">
        <v>45979</v>
      </c>
      <c r="C95" s="49" t="s">
        <v>102</v>
      </c>
      <c r="D95" s="49"/>
      <c r="E95" s="49"/>
      <c r="F95" s="49"/>
      <c r="G95" s="49"/>
      <c r="H95" s="49"/>
      <c r="I95" s="49"/>
      <c r="J95" s="49"/>
      <c r="K95" s="49"/>
      <c r="L95" s="49" t="s">
        <v>30</v>
      </c>
      <c r="M95" s="49"/>
      <c r="N95" s="49"/>
      <c r="O95" s="52" t="s">
        <v>259</v>
      </c>
      <c r="P95" s="46"/>
      <c r="Q95" s="46"/>
      <c r="R95" s="46"/>
      <c r="S95" s="46"/>
      <c r="T95" s="46"/>
      <c r="U95" s="46"/>
      <c r="V95" s="46"/>
      <c r="W95" s="46" t="s">
        <v>30</v>
      </c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7"/>
      <c r="AI95" s="28"/>
      <c r="AJ95" s="28"/>
      <c r="AK95" s="28"/>
      <c r="AL95" s="28"/>
      <c r="AM95" s="28" t="s">
        <v>30</v>
      </c>
      <c r="AN95" s="28"/>
      <c r="AO95" s="28"/>
      <c r="AP95" s="28"/>
      <c r="AQ95" s="28"/>
      <c r="AR95" s="28"/>
      <c r="AS95" s="28"/>
      <c r="AT95" s="28"/>
    </row>
    <row r="96" spans="1:46" hidden="1" x14ac:dyDescent="0.3">
      <c r="A96" s="49" t="s">
        <v>312</v>
      </c>
      <c r="B96" s="61">
        <v>45994</v>
      </c>
      <c r="C96" s="49" t="s">
        <v>103</v>
      </c>
      <c r="D96" s="49"/>
      <c r="E96" s="49"/>
      <c r="F96" s="49"/>
      <c r="G96" s="49"/>
      <c r="H96" s="49"/>
      <c r="I96" s="49" t="s">
        <v>30</v>
      </c>
      <c r="J96" s="49"/>
      <c r="K96" s="49"/>
      <c r="L96" s="49"/>
      <c r="M96" s="49"/>
      <c r="N96" s="49"/>
      <c r="O96" s="52" t="s">
        <v>249</v>
      </c>
      <c r="P96" s="36" t="s">
        <v>30</v>
      </c>
      <c r="Q96" s="36"/>
      <c r="R96" s="36"/>
      <c r="S96" s="36"/>
      <c r="T96" s="36"/>
      <c r="U96" s="36"/>
      <c r="V96" s="36" t="s">
        <v>30</v>
      </c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40"/>
      <c r="AI96" s="11"/>
      <c r="AJ96" s="11"/>
      <c r="AK96" s="11"/>
      <c r="AL96" s="11" t="s">
        <v>30</v>
      </c>
      <c r="AM96" s="11"/>
      <c r="AN96" s="11"/>
      <c r="AO96" s="11"/>
      <c r="AP96" s="11"/>
      <c r="AQ96" s="11"/>
      <c r="AR96" s="11"/>
      <c r="AS96" s="11"/>
      <c r="AT96" s="11"/>
    </row>
    <row r="97" spans="1:46" hidden="1" x14ac:dyDescent="0.3">
      <c r="A97" s="49" t="s">
        <v>313</v>
      </c>
      <c r="B97" s="61">
        <v>45995</v>
      </c>
      <c r="C97" s="49" t="s">
        <v>102</v>
      </c>
      <c r="D97" s="49"/>
      <c r="E97" s="49"/>
      <c r="F97" s="49"/>
      <c r="G97" s="49"/>
      <c r="H97" s="49"/>
      <c r="I97" s="49"/>
      <c r="J97" s="49"/>
      <c r="K97" s="49"/>
      <c r="L97" s="49" t="s">
        <v>30</v>
      </c>
      <c r="M97" s="49"/>
      <c r="N97" s="49"/>
      <c r="O97" s="52" t="s">
        <v>248</v>
      </c>
      <c r="P97" s="36"/>
      <c r="Q97" s="36"/>
      <c r="R97" s="36"/>
      <c r="S97" s="36"/>
      <c r="T97" s="36"/>
      <c r="U97" s="36"/>
      <c r="V97" s="36" t="s">
        <v>30</v>
      </c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40"/>
      <c r="AI97" s="11"/>
      <c r="AJ97" s="11"/>
      <c r="AK97" s="11" t="s">
        <v>30</v>
      </c>
      <c r="AL97" s="11"/>
      <c r="AM97" s="11"/>
      <c r="AN97" s="11"/>
      <c r="AO97" s="11"/>
      <c r="AP97" s="11"/>
      <c r="AQ97" s="11"/>
      <c r="AR97" s="11"/>
      <c r="AS97" s="11"/>
      <c r="AT97" s="11"/>
    </row>
    <row r="98" spans="1:46" hidden="1" x14ac:dyDescent="0.3">
      <c r="A98" s="49" t="s">
        <v>314</v>
      </c>
      <c r="B98" s="60">
        <v>46008</v>
      </c>
      <c r="C98" s="49" t="s">
        <v>102</v>
      </c>
      <c r="D98" s="49"/>
      <c r="E98" s="49"/>
      <c r="F98" s="49"/>
      <c r="G98" s="49"/>
      <c r="H98" s="49"/>
      <c r="I98" s="49"/>
      <c r="J98" s="49"/>
      <c r="K98" s="49"/>
      <c r="L98" s="49" t="s">
        <v>30</v>
      </c>
      <c r="M98" s="49"/>
      <c r="N98" s="49"/>
      <c r="O98" s="52" t="s">
        <v>92</v>
      </c>
      <c r="P98" s="36" t="s">
        <v>30</v>
      </c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40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</row>
    <row r="99" spans="1:46" hidden="1" x14ac:dyDescent="0.3">
      <c r="A99" s="49" t="s">
        <v>315</v>
      </c>
      <c r="B99" s="60">
        <v>46010</v>
      </c>
      <c r="C99" s="49" t="s">
        <v>102</v>
      </c>
      <c r="D99" s="49"/>
      <c r="E99" s="49"/>
      <c r="F99" s="49"/>
      <c r="G99" s="49"/>
      <c r="H99" s="49"/>
      <c r="I99" s="49"/>
      <c r="J99" s="49"/>
      <c r="K99" s="49"/>
      <c r="L99" s="49" t="s">
        <v>30</v>
      </c>
      <c r="M99" s="49"/>
      <c r="N99" s="49"/>
      <c r="O99" s="52" t="s">
        <v>92</v>
      </c>
      <c r="P99" s="36"/>
      <c r="Q99" s="36"/>
      <c r="R99" s="36"/>
      <c r="S99" s="36"/>
      <c r="T99" s="36"/>
      <c r="U99" s="36"/>
      <c r="V99" s="36"/>
      <c r="W99" s="36" t="s">
        <v>30</v>
      </c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40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</row>
    <row r="100" spans="1:46" hidden="1" x14ac:dyDescent="0.3">
      <c r="A100" s="49" t="s">
        <v>316</v>
      </c>
      <c r="B100" s="61">
        <v>46020</v>
      </c>
      <c r="C100" s="49" t="s">
        <v>103</v>
      </c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 t="s">
        <v>30</v>
      </c>
      <c r="O100" s="52" t="s">
        <v>249</v>
      </c>
      <c r="P100" s="36"/>
      <c r="Q100" s="36" t="s">
        <v>30</v>
      </c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40"/>
      <c r="AI100" s="11"/>
      <c r="AJ100" s="11"/>
      <c r="AK100" s="11"/>
      <c r="AL100" s="11"/>
      <c r="AM100" s="11"/>
      <c r="AN100" s="11"/>
      <c r="AO100" s="11" t="s">
        <v>187</v>
      </c>
      <c r="AP100" s="11"/>
      <c r="AQ100" s="11"/>
      <c r="AR100" s="11"/>
      <c r="AS100" s="11"/>
      <c r="AT100" s="11"/>
    </row>
    <row r="101" spans="1:46" hidden="1" x14ac:dyDescent="0.3">
      <c r="A101" s="78" t="s">
        <v>321</v>
      </c>
      <c r="B101" s="79">
        <v>46029</v>
      </c>
      <c r="C101" s="78" t="s">
        <v>103</v>
      </c>
      <c r="D101" s="78"/>
      <c r="E101" s="78"/>
      <c r="F101" s="78"/>
      <c r="G101" s="78"/>
      <c r="H101" s="78"/>
      <c r="I101" s="78" t="s">
        <v>30</v>
      </c>
      <c r="J101" s="78"/>
      <c r="K101" s="78"/>
      <c r="L101" s="78"/>
      <c r="M101" s="78"/>
      <c r="N101" s="78"/>
      <c r="O101" s="89" t="s">
        <v>119</v>
      </c>
      <c r="P101" s="36"/>
      <c r="Q101" s="36"/>
      <c r="R101" s="36"/>
      <c r="S101" s="36"/>
      <c r="T101" s="36"/>
      <c r="U101" s="36"/>
      <c r="V101" s="36" t="s">
        <v>30</v>
      </c>
      <c r="W101" s="36"/>
      <c r="X101" s="36"/>
      <c r="Y101" s="36"/>
      <c r="Z101" s="36"/>
      <c r="AA101" s="36" t="s">
        <v>30</v>
      </c>
      <c r="AB101" s="36"/>
      <c r="AC101" s="36"/>
      <c r="AD101" s="36"/>
      <c r="AE101" s="36"/>
      <c r="AF101" s="36"/>
      <c r="AG101" s="36"/>
      <c r="AH101" s="40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</row>
    <row r="102" spans="1:46" x14ac:dyDescent="0.3">
      <c r="A102" s="78" t="s">
        <v>322</v>
      </c>
      <c r="B102" s="79">
        <v>46030</v>
      </c>
      <c r="C102" s="78" t="s">
        <v>103</v>
      </c>
      <c r="D102" s="78"/>
      <c r="E102" s="78"/>
      <c r="F102" s="78"/>
      <c r="G102" s="78"/>
      <c r="H102" s="78"/>
      <c r="I102" s="78"/>
      <c r="J102" s="78"/>
      <c r="K102" s="78"/>
      <c r="L102" s="78" t="s">
        <v>30</v>
      </c>
      <c r="M102" s="78"/>
      <c r="N102" s="78"/>
      <c r="O102" s="89" t="s">
        <v>90</v>
      </c>
      <c r="P102" s="36"/>
      <c r="Q102" s="36"/>
      <c r="R102" s="36"/>
      <c r="S102" s="36"/>
      <c r="T102" s="36"/>
      <c r="U102" s="36"/>
      <c r="V102" s="36"/>
      <c r="W102" s="36" t="s">
        <v>30</v>
      </c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40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</row>
    <row r="103" spans="1:46" x14ac:dyDescent="0.3">
      <c r="A103" s="78" t="s">
        <v>323</v>
      </c>
      <c r="B103" s="79">
        <v>46043</v>
      </c>
      <c r="C103" s="78" t="s">
        <v>102</v>
      </c>
      <c r="D103" s="78"/>
      <c r="E103" s="78"/>
      <c r="F103" s="78"/>
      <c r="G103" s="78"/>
      <c r="H103" s="78"/>
      <c r="I103" s="78"/>
      <c r="J103" s="78"/>
      <c r="K103" s="78"/>
      <c r="L103" s="78" t="s">
        <v>30</v>
      </c>
      <c r="M103" s="78"/>
      <c r="N103" s="78"/>
      <c r="O103" s="89" t="s">
        <v>90</v>
      </c>
      <c r="P103" s="36"/>
      <c r="Q103" s="36"/>
      <c r="R103" s="36"/>
      <c r="S103" s="36"/>
      <c r="T103" s="36"/>
      <c r="U103" s="36"/>
      <c r="V103" s="36"/>
      <c r="W103" s="36" t="s">
        <v>30</v>
      </c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40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</row>
    <row r="104" spans="1:46" hidden="1" x14ac:dyDescent="0.3">
      <c r="A104" s="78" t="s">
        <v>324</v>
      </c>
      <c r="B104" s="79">
        <v>46048</v>
      </c>
      <c r="C104" s="78" t="s">
        <v>103</v>
      </c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 t="s">
        <v>30</v>
      </c>
      <c r="O104" s="89" t="s">
        <v>212</v>
      </c>
      <c r="P104" s="36"/>
      <c r="Q104" s="36"/>
      <c r="R104" s="36"/>
      <c r="S104" s="36"/>
      <c r="T104" s="36"/>
      <c r="U104" s="36"/>
      <c r="V104" s="36" t="s">
        <v>30</v>
      </c>
      <c r="W104" s="36"/>
      <c r="X104" s="36"/>
      <c r="Y104" s="36"/>
      <c r="Z104" s="36"/>
      <c r="AA104" s="36" t="s">
        <v>30</v>
      </c>
      <c r="AB104" s="36"/>
      <c r="AC104" s="36"/>
      <c r="AD104" s="36"/>
      <c r="AE104" s="36"/>
      <c r="AF104" s="36"/>
      <c r="AG104" s="36"/>
      <c r="AH104" s="40"/>
      <c r="AI104" s="11"/>
      <c r="AJ104" s="11"/>
      <c r="AK104" s="11" t="s">
        <v>30</v>
      </c>
      <c r="AL104" s="11"/>
      <c r="AM104" s="11"/>
      <c r="AN104" s="11"/>
      <c r="AO104" s="11" t="s">
        <v>30</v>
      </c>
      <c r="AP104" s="11"/>
      <c r="AQ104" s="11"/>
      <c r="AR104" s="11"/>
      <c r="AS104" s="11"/>
      <c r="AT104" s="11"/>
    </row>
    <row r="105" spans="1:46" hidden="1" x14ac:dyDescent="0.3">
      <c r="A105" s="78" t="s">
        <v>325</v>
      </c>
      <c r="B105" s="79">
        <v>46052</v>
      </c>
      <c r="C105" s="78" t="s">
        <v>103</v>
      </c>
      <c r="D105" s="78"/>
      <c r="E105" s="78"/>
      <c r="F105" s="78"/>
      <c r="G105" s="78"/>
      <c r="H105" s="78"/>
      <c r="I105" s="78"/>
      <c r="J105" s="78"/>
      <c r="K105" s="78"/>
      <c r="L105" s="78" t="s">
        <v>30</v>
      </c>
      <c r="M105" s="78"/>
      <c r="N105" s="78"/>
      <c r="O105" s="89" t="s">
        <v>119</v>
      </c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40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</row>
    <row r="106" spans="1:46" hidden="1" x14ac:dyDescent="0.3">
      <c r="A106" s="78" t="s">
        <v>328</v>
      </c>
      <c r="B106" s="79">
        <v>46087</v>
      </c>
      <c r="C106" s="78" t="s">
        <v>102</v>
      </c>
      <c r="D106" s="78"/>
      <c r="E106" s="78"/>
      <c r="F106" s="78"/>
      <c r="G106" s="78"/>
      <c r="H106" s="78"/>
      <c r="I106" s="78"/>
      <c r="J106" s="78"/>
      <c r="K106" s="78"/>
      <c r="L106" s="78" t="s">
        <v>30</v>
      </c>
      <c r="M106" s="78"/>
      <c r="N106" s="78"/>
      <c r="O106" s="89" t="s">
        <v>257</v>
      </c>
      <c r="P106" s="36"/>
      <c r="Q106" s="36"/>
      <c r="R106" s="36"/>
      <c r="S106" s="36"/>
      <c r="T106" s="36"/>
      <c r="U106" s="36"/>
      <c r="V106" s="36" t="s">
        <v>30</v>
      </c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40"/>
      <c r="AI106" s="11"/>
      <c r="AJ106" s="11"/>
      <c r="AK106" s="11"/>
      <c r="AL106" s="11"/>
      <c r="AM106" s="11" t="s">
        <v>30</v>
      </c>
      <c r="AN106" s="11"/>
      <c r="AO106" s="11"/>
      <c r="AP106" s="11"/>
      <c r="AQ106" s="11"/>
      <c r="AR106" s="11"/>
      <c r="AS106" s="11"/>
      <c r="AT106" s="11"/>
    </row>
    <row r="107" spans="1:46" hidden="1" x14ac:dyDescent="0.3">
      <c r="A107" s="78" t="s">
        <v>329</v>
      </c>
      <c r="B107" s="79">
        <v>46087</v>
      </c>
      <c r="C107" s="78" t="s">
        <v>102</v>
      </c>
      <c r="D107" s="78"/>
      <c r="E107" s="78"/>
      <c r="F107" s="78"/>
      <c r="G107" s="78"/>
      <c r="H107" s="78"/>
      <c r="I107" s="78"/>
      <c r="J107" s="78"/>
      <c r="K107" s="78"/>
      <c r="L107" s="78" t="s">
        <v>30</v>
      </c>
      <c r="M107" s="78"/>
      <c r="N107" s="78"/>
      <c r="O107" s="89" t="s">
        <v>259</v>
      </c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40" t="s">
        <v>30</v>
      </c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</row>
    <row r="108" spans="1:46" hidden="1" x14ac:dyDescent="0.3">
      <c r="A108" s="78" t="s">
        <v>332</v>
      </c>
      <c r="B108" s="79">
        <v>46108</v>
      </c>
      <c r="C108" s="78" t="s">
        <v>102</v>
      </c>
      <c r="D108" s="78"/>
      <c r="E108" s="78"/>
      <c r="F108" s="78"/>
      <c r="G108" s="78"/>
      <c r="H108" s="78"/>
      <c r="I108" s="78"/>
      <c r="J108" s="78"/>
      <c r="K108" s="78"/>
      <c r="L108" s="78" t="s">
        <v>30</v>
      </c>
      <c r="M108" s="78"/>
      <c r="N108" s="78"/>
      <c r="O108" s="89" t="s">
        <v>92</v>
      </c>
      <c r="P108" s="36" t="s">
        <v>30</v>
      </c>
      <c r="Q108" s="36"/>
      <c r="R108" s="36"/>
      <c r="S108" s="36"/>
      <c r="T108" s="36"/>
      <c r="U108" s="36"/>
      <c r="V108" s="36" t="s">
        <v>30</v>
      </c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40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</row>
    <row r="109" spans="1:46" x14ac:dyDescent="0.3">
      <c r="A109" s="78" t="s">
        <v>334</v>
      </c>
      <c r="B109" s="79">
        <v>46114</v>
      </c>
      <c r="C109" s="78" t="s">
        <v>103</v>
      </c>
      <c r="D109" s="78"/>
      <c r="E109" s="78"/>
      <c r="F109" s="78"/>
      <c r="G109" s="78"/>
      <c r="H109" s="78"/>
      <c r="I109" s="78"/>
      <c r="J109" s="78" t="s">
        <v>30</v>
      </c>
      <c r="K109" s="78"/>
      <c r="L109" s="78"/>
      <c r="M109" s="78"/>
      <c r="N109" s="78"/>
      <c r="O109" s="89" t="s">
        <v>90</v>
      </c>
      <c r="P109" s="36"/>
      <c r="Q109" s="36"/>
      <c r="R109" s="36"/>
      <c r="S109" s="36"/>
      <c r="T109" s="36"/>
      <c r="U109" s="36"/>
      <c r="V109" s="36" t="s">
        <v>30</v>
      </c>
      <c r="W109" s="36" t="s">
        <v>30</v>
      </c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40"/>
      <c r="AI109" s="11"/>
      <c r="AJ109" s="11"/>
      <c r="AK109" s="11" t="s">
        <v>30</v>
      </c>
      <c r="AL109" s="11"/>
      <c r="AM109" s="11"/>
      <c r="AN109" s="11"/>
      <c r="AO109" s="11"/>
      <c r="AP109" s="11"/>
      <c r="AQ109" s="11"/>
      <c r="AR109" s="11"/>
      <c r="AS109" s="11"/>
      <c r="AT109" s="11"/>
    </row>
    <row r="110" spans="1:46" hidden="1" x14ac:dyDescent="0.3">
      <c r="A110" s="78" t="s">
        <v>335</v>
      </c>
      <c r="B110" s="79">
        <v>46119</v>
      </c>
      <c r="C110" s="78" t="s">
        <v>103</v>
      </c>
      <c r="D110" s="78"/>
      <c r="E110" s="78"/>
      <c r="F110" s="78"/>
      <c r="G110" s="78"/>
      <c r="H110" s="78"/>
      <c r="I110" s="78"/>
      <c r="J110" s="78"/>
      <c r="K110" s="78"/>
      <c r="L110" s="78"/>
      <c r="M110" s="78" t="s">
        <v>30</v>
      </c>
      <c r="N110" s="78"/>
      <c r="O110" s="89" t="s">
        <v>267</v>
      </c>
      <c r="P110" s="36" t="s">
        <v>30</v>
      </c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40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</row>
    <row r="111" spans="1:46" hidden="1" x14ac:dyDescent="0.3">
      <c r="A111" s="78" t="s">
        <v>336</v>
      </c>
      <c r="B111" s="79">
        <v>46125</v>
      </c>
      <c r="C111" s="78" t="s">
        <v>103</v>
      </c>
      <c r="D111" s="78"/>
      <c r="E111" s="78"/>
      <c r="F111" s="78"/>
      <c r="G111" s="78"/>
      <c r="H111" s="78"/>
      <c r="I111" s="78"/>
      <c r="J111" s="78"/>
      <c r="K111" s="78"/>
      <c r="L111" s="78" t="s">
        <v>30</v>
      </c>
      <c r="M111" s="78"/>
      <c r="N111" s="78"/>
      <c r="O111" s="89" t="s">
        <v>119</v>
      </c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40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</row>
    <row r="112" spans="1:46" x14ac:dyDescent="0.3">
      <c r="A112" s="78" t="s">
        <v>337</v>
      </c>
      <c r="B112" s="79">
        <v>46132</v>
      </c>
      <c r="C112" s="78" t="s">
        <v>103</v>
      </c>
      <c r="D112" s="78"/>
      <c r="E112" s="78"/>
      <c r="F112" s="78"/>
      <c r="G112" s="78"/>
      <c r="H112" s="78"/>
      <c r="I112" s="78" t="s">
        <v>30</v>
      </c>
      <c r="J112" s="78"/>
      <c r="K112" s="78"/>
      <c r="L112" s="78"/>
      <c r="M112" s="78"/>
      <c r="N112" s="78"/>
      <c r="O112" s="89" t="s">
        <v>90</v>
      </c>
      <c r="P112" s="36"/>
      <c r="Q112" s="36"/>
      <c r="R112" s="36"/>
      <c r="S112" s="36"/>
      <c r="T112" s="36"/>
      <c r="U112" s="36"/>
      <c r="V112" s="36"/>
      <c r="W112" s="36" t="s">
        <v>30</v>
      </c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40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</row>
    <row r="113" spans="1:46" hidden="1" x14ac:dyDescent="0.3">
      <c r="A113" s="78" t="s">
        <v>338</v>
      </c>
      <c r="B113" s="79">
        <v>46136</v>
      </c>
      <c r="C113" s="78" t="s">
        <v>103</v>
      </c>
      <c r="D113" s="78"/>
      <c r="E113" s="78"/>
      <c r="F113" s="78"/>
      <c r="G113" s="78"/>
      <c r="H113" s="78"/>
      <c r="I113" s="78" t="s">
        <v>187</v>
      </c>
      <c r="J113" s="78"/>
      <c r="K113" s="78"/>
      <c r="L113" s="78"/>
      <c r="M113" s="78"/>
      <c r="N113" s="78"/>
      <c r="O113" s="89" t="s">
        <v>249</v>
      </c>
      <c r="P113" s="36" t="s">
        <v>187</v>
      </c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40"/>
      <c r="AI113" s="11"/>
      <c r="AJ113" s="11"/>
      <c r="AK113" s="11"/>
      <c r="AL113" s="11" t="s">
        <v>187</v>
      </c>
      <c r="AM113" s="11"/>
      <c r="AN113" s="11"/>
      <c r="AO113" s="11"/>
      <c r="AP113" s="11"/>
      <c r="AQ113" s="11"/>
      <c r="AR113" s="11"/>
      <c r="AS113" s="11"/>
      <c r="AT113" s="11"/>
    </row>
    <row r="114" spans="1:46" hidden="1" x14ac:dyDescent="0.3">
      <c r="A114" s="78" t="s">
        <v>339</v>
      </c>
      <c r="B114" s="79">
        <v>46139</v>
      </c>
      <c r="C114" s="78" t="s">
        <v>102</v>
      </c>
      <c r="D114" s="78"/>
      <c r="E114" s="78"/>
      <c r="F114" s="78"/>
      <c r="G114" s="78"/>
      <c r="H114" s="78"/>
      <c r="I114" s="78"/>
      <c r="J114" s="78"/>
      <c r="K114" s="78"/>
      <c r="L114" s="78" t="s">
        <v>30</v>
      </c>
      <c r="M114" s="78"/>
      <c r="N114" s="78"/>
      <c r="O114" s="89" t="s">
        <v>117</v>
      </c>
      <c r="P114" s="36"/>
      <c r="Q114" s="36"/>
      <c r="R114" s="36"/>
      <c r="S114" s="36"/>
      <c r="T114" s="36"/>
      <c r="U114" s="36"/>
      <c r="V114" s="36" t="s">
        <v>30</v>
      </c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40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</row>
    <row r="115" spans="1:46" hidden="1" x14ac:dyDescent="0.3">
      <c r="A115" s="78" t="s">
        <v>340</v>
      </c>
      <c r="B115" s="79">
        <v>46139</v>
      </c>
      <c r="C115" s="78" t="s">
        <v>103</v>
      </c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 t="s">
        <v>187</v>
      </c>
      <c r="O115" s="89" t="s">
        <v>212</v>
      </c>
      <c r="P115" s="36"/>
      <c r="Q115" s="36" t="s">
        <v>187</v>
      </c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40"/>
      <c r="AI115" s="11"/>
      <c r="AJ115" s="11"/>
      <c r="AK115" s="11"/>
      <c r="AL115" s="11"/>
      <c r="AM115" s="11"/>
      <c r="AN115" s="11"/>
      <c r="AO115" s="11" t="s">
        <v>187</v>
      </c>
      <c r="AP115" s="11"/>
      <c r="AQ115" s="11"/>
      <c r="AR115" s="11"/>
      <c r="AS115" s="11"/>
      <c r="AT115" s="11"/>
    </row>
    <row r="116" spans="1:46" x14ac:dyDescent="0.3">
      <c r="A116" s="78" t="s">
        <v>341</v>
      </c>
      <c r="B116" s="79">
        <v>46140</v>
      </c>
      <c r="C116" s="78" t="s">
        <v>103</v>
      </c>
      <c r="D116" s="78"/>
      <c r="E116" s="78"/>
      <c r="F116" s="78"/>
      <c r="G116" s="78"/>
      <c r="H116" s="78"/>
      <c r="I116" s="78" t="s">
        <v>30</v>
      </c>
      <c r="J116" s="78"/>
      <c r="K116" s="78"/>
      <c r="L116" s="78"/>
      <c r="M116" s="78"/>
      <c r="N116" s="78"/>
      <c r="O116" s="89" t="s">
        <v>90</v>
      </c>
      <c r="P116" s="36"/>
      <c r="Q116" s="36"/>
      <c r="R116" s="36"/>
      <c r="S116" s="36"/>
      <c r="T116" s="36"/>
      <c r="U116" s="36"/>
      <c r="V116" s="36"/>
      <c r="W116" s="36" t="s">
        <v>30</v>
      </c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40"/>
      <c r="AI116" s="11"/>
      <c r="AJ116" s="11"/>
      <c r="AK116" s="11"/>
      <c r="AL116" s="11" t="s">
        <v>30</v>
      </c>
      <c r="AM116" s="11"/>
      <c r="AN116" s="11"/>
      <c r="AO116" s="11"/>
      <c r="AP116" s="11"/>
      <c r="AQ116" s="11"/>
      <c r="AR116" s="11"/>
      <c r="AS116" s="11"/>
      <c r="AT116" s="11"/>
    </row>
    <row r="117" spans="1:46" hidden="1" x14ac:dyDescent="0.3">
      <c r="A117" s="78" t="s">
        <v>342</v>
      </c>
      <c r="B117" s="79">
        <v>46141</v>
      </c>
      <c r="C117" s="78" t="s">
        <v>103</v>
      </c>
      <c r="D117" s="78"/>
      <c r="E117" s="78"/>
      <c r="F117" s="78"/>
      <c r="G117" s="78"/>
      <c r="H117" s="78"/>
      <c r="I117" s="78"/>
      <c r="J117" s="78" t="s">
        <v>30</v>
      </c>
      <c r="K117" s="78"/>
      <c r="L117" s="78"/>
      <c r="M117" s="78"/>
      <c r="N117" s="78"/>
      <c r="O117" s="89" t="s">
        <v>117</v>
      </c>
      <c r="P117" s="36" t="s">
        <v>30</v>
      </c>
      <c r="Q117" s="36"/>
      <c r="R117" s="36"/>
      <c r="S117" s="36"/>
      <c r="T117" s="36"/>
      <c r="U117" s="36"/>
      <c r="V117" s="36" t="s">
        <v>30</v>
      </c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40"/>
      <c r="AI117" s="11"/>
      <c r="AJ117" s="11"/>
      <c r="AK117" s="11"/>
      <c r="AL117" s="11"/>
      <c r="AM117" s="11"/>
      <c r="AN117" s="11" t="s">
        <v>30</v>
      </c>
      <c r="AO117" s="11"/>
      <c r="AP117" s="11"/>
      <c r="AQ117" s="11"/>
      <c r="AR117" s="11"/>
      <c r="AS117" s="11"/>
      <c r="AT117" s="11"/>
    </row>
    <row r="118" spans="1:46" hidden="1" x14ac:dyDescent="0.3">
      <c r="A118" s="78" t="s">
        <v>343</v>
      </c>
      <c r="B118" s="79">
        <v>46157</v>
      </c>
      <c r="C118" s="78" t="s">
        <v>103</v>
      </c>
      <c r="D118" s="78"/>
      <c r="E118" s="78"/>
      <c r="F118" s="78"/>
      <c r="G118" s="78"/>
      <c r="H118" s="78"/>
      <c r="I118" s="78"/>
      <c r="J118" s="78"/>
      <c r="K118" s="78"/>
      <c r="L118" s="78" t="s">
        <v>30</v>
      </c>
      <c r="M118" s="78"/>
      <c r="N118" s="78"/>
      <c r="O118" s="89" t="s">
        <v>257</v>
      </c>
      <c r="P118" s="36"/>
      <c r="Q118" s="36"/>
      <c r="R118" s="36"/>
      <c r="S118" s="36"/>
      <c r="T118" s="36"/>
      <c r="U118" s="36"/>
      <c r="V118" s="36"/>
      <c r="W118" s="36" t="s">
        <v>30</v>
      </c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40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</row>
    <row r="119" spans="1:46" hidden="1" x14ac:dyDescent="0.3">
      <c r="A119" s="78" t="s">
        <v>344</v>
      </c>
      <c r="B119" s="79">
        <v>46163</v>
      </c>
      <c r="C119" s="78" t="s">
        <v>103</v>
      </c>
      <c r="D119" s="78"/>
      <c r="E119" s="78"/>
      <c r="F119" s="78"/>
      <c r="G119" s="78"/>
      <c r="H119" s="78"/>
      <c r="I119" s="78"/>
      <c r="J119" s="78"/>
      <c r="K119" s="78"/>
      <c r="L119" s="78" t="s">
        <v>30</v>
      </c>
      <c r="M119" s="78"/>
      <c r="N119" s="78"/>
      <c r="O119" s="89" t="s">
        <v>257</v>
      </c>
      <c r="P119" s="36"/>
      <c r="Q119" s="36"/>
      <c r="R119" s="36"/>
      <c r="S119" s="36"/>
      <c r="T119" s="36"/>
      <c r="U119" s="36"/>
      <c r="V119" s="36"/>
      <c r="W119" s="36" t="s">
        <v>30</v>
      </c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40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</row>
    <row r="120" spans="1:46" hidden="1" x14ac:dyDescent="0.3">
      <c r="A120" s="78" t="s">
        <v>345</v>
      </c>
      <c r="B120" s="79">
        <v>46192</v>
      </c>
      <c r="C120" s="78" t="s">
        <v>103</v>
      </c>
      <c r="D120" s="78"/>
      <c r="E120" s="78"/>
      <c r="F120" s="78"/>
      <c r="G120" s="78"/>
      <c r="H120" s="78"/>
      <c r="I120" s="78"/>
      <c r="J120" s="78"/>
      <c r="K120" s="78" t="s">
        <v>30</v>
      </c>
      <c r="L120" s="78"/>
      <c r="M120" s="78"/>
      <c r="N120" s="78"/>
      <c r="O120" s="89" t="s">
        <v>248</v>
      </c>
      <c r="P120" s="36" t="s">
        <v>30</v>
      </c>
      <c r="Q120" s="36"/>
      <c r="R120" s="36"/>
      <c r="S120" s="36"/>
      <c r="T120" s="36" t="s">
        <v>30</v>
      </c>
      <c r="U120" s="36" t="s">
        <v>30</v>
      </c>
      <c r="V120" s="36" t="s">
        <v>30</v>
      </c>
      <c r="W120" s="36"/>
      <c r="X120" s="36"/>
      <c r="Y120" s="36" t="s">
        <v>30</v>
      </c>
      <c r="Z120" s="36"/>
      <c r="AA120" s="36"/>
      <c r="AB120" s="36"/>
      <c r="AC120" s="36"/>
      <c r="AD120" s="36"/>
      <c r="AE120" s="36"/>
      <c r="AF120" s="36" t="s">
        <v>30</v>
      </c>
      <c r="AG120" s="36" t="s">
        <v>30</v>
      </c>
      <c r="AH120" s="40"/>
      <c r="AI120" s="11"/>
      <c r="AJ120" s="11"/>
      <c r="AK120" s="11" t="s">
        <v>30</v>
      </c>
      <c r="AL120" s="11"/>
      <c r="AM120" s="11"/>
      <c r="AN120" s="11"/>
      <c r="AO120" s="11"/>
      <c r="AP120" s="11"/>
      <c r="AQ120" s="11"/>
      <c r="AR120" s="11"/>
      <c r="AS120" s="11"/>
      <c r="AT120" s="11"/>
    </row>
    <row r="121" spans="1:46" hidden="1" x14ac:dyDescent="0.3">
      <c r="A121" s="78" t="s">
        <v>346</v>
      </c>
      <c r="B121" s="79">
        <v>46198</v>
      </c>
      <c r="C121" s="78" t="s">
        <v>103</v>
      </c>
      <c r="D121" s="78"/>
      <c r="E121" s="78" t="s">
        <v>187</v>
      </c>
      <c r="F121" s="78"/>
      <c r="G121" s="78"/>
      <c r="H121" s="78"/>
      <c r="I121" s="78"/>
      <c r="J121" s="78"/>
      <c r="K121" s="78"/>
      <c r="L121" s="78"/>
      <c r="M121" s="78"/>
      <c r="N121" s="78"/>
      <c r="O121" s="89" t="s">
        <v>249</v>
      </c>
      <c r="P121" s="36" t="s">
        <v>187</v>
      </c>
      <c r="Q121" s="36"/>
      <c r="R121" s="36"/>
      <c r="S121" s="36"/>
      <c r="T121" s="36"/>
      <c r="U121" s="36"/>
      <c r="V121" s="36" t="s">
        <v>187</v>
      </c>
      <c r="W121" s="36"/>
      <c r="X121" s="36"/>
      <c r="Y121" s="36" t="s">
        <v>187</v>
      </c>
      <c r="Z121" s="36"/>
      <c r="AA121" s="36"/>
      <c r="AB121" s="36"/>
      <c r="AC121" s="36"/>
      <c r="AD121" s="36"/>
      <c r="AE121" s="36"/>
      <c r="AF121" s="36"/>
      <c r="AG121" s="36"/>
      <c r="AH121" s="40"/>
      <c r="AI121" s="11"/>
      <c r="AJ121" s="11"/>
      <c r="AK121" s="11" t="s">
        <v>187</v>
      </c>
      <c r="AL121" s="11" t="s">
        <v>187</v>
      </c>
      <c r="AM121" s="11"/>
      <c r="AN121" s="11"/>
      <c r="AO121" s="11"/>
      <c r="AP121" s="11"/>
      <c r="AQ121" s="11"/>
      <c r="AR121" s="11"/>
      <c r="AS121" s="11"/>
      <c r="AT121" s="11"/>
    </row>
    <row r="122" spans="1:46" hidden="1" x14ac:dyDescent="0.3">
      <c r="A122" s="78" t="s">
        <v>347</v>
      </c>
      <c r="B122" s="79">
        <v>46209</v>
      </c>
      <c r="C122" s="78" t="s">
        <v>103</v>
      </c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89" t="s">
        <v>263</v>
      </c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40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</row>
    <row r="123" spans="1:46" x14ac:dyDescent="0.3">
      <c r="A123" s="78" t="s">
        <v>348</v>
      </c>
      <c r="B123" s="79">
        <v>46212</v>
      </c>
      <c r="C123" s="78" t="s">
        <v>103</v>
      </c>
      <c r="D123" s="78"/>
      <c r="E123" s="78"/>
      <c r="F123" s="78"/>
      <c r="G123" s="78"/>
      <c r="H123" s="78"/>
      <c r="I123" s="78" t="s">
        <v>30</v>
      </c>
      <c r="J123" s="78"/>
      <c r="K123" s="78"/>
      <c r="L123" s="78"/>
      <c r="M123" s="78"/>
      <c r="N123" s="78"/>
      <c r="O123" s="89" t="s">
        <v>90</v>
      </c>
      <c r="P123" s="36"/>
      <c r="Q123" s="36"/>
      <c r="R123" s="36"/>
      <c r="S123" s="36"/>
      <c r="T123" s="36"/>
      <c r="U123" s="36"/>
      <c r="V123" s="36"/>
      <c r="W123" s="36" t="s">
        <v>30</v>
      </c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40"/>
      <c r="AI123" s="11"/>
      <c r="AJ123" s="11"/>
      <c r="AK123" s="11"/>
      <c r="AL123" s="11" t="s">
        <v>30</v>
      </c>
      <c r="AM123" s="11"/>
      <c r="AN123" s="11"/>
      <c r="AO123" s="11"/>
      <c r="AP123" s="11"/>
      <c r="AQ123" s="11"/>
      <c r="AR123" s="11"/>
      <c r="AS123" s="11"/>
      <c r="AT123" s="11"/>
    </row>
    <row r="124" spans="1:46" hidden="1" x14ac:dyDescent="0.3">
      <c r="A124" s="78" t="s">
        <v>349</v>
      </c>
      <c r="B124" s="79">
        <v>46212</v>
      </c>
      <c r="C124" s="78" t="s">
        <v>103</v>
      </c>
      <c r="D124" s="78"/>
      <c r="E124" s="78"/>
      <c r="F124" s="78"/>
      <c r="G124" s="78"/>
      <c r="H124" s="78"/>
      <c r="I124" s="78" t="s">
        <v>30</v>
      </c>
      <c r="J124" s="78"/>
      <c r="K124" s="78"/>
      <c r="L124" s="78"/>
      <c r="M124" s="78"/>
      <c r="N124" s="78"/>
      <c r="O124" s="89" t="s">
        <v>249</v>
      </c>
      <c r="P124" s="36"/>
      <c r="Q124" s="36"/>
      <c r="R124" s="36"/>
      <c r="S124" s="36"/>
      <c r="T124" s="36"/>
      <c r="U124" s="36"/>
      <c r="V124" s="36" t="s">
        <v>30</v>
      </c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40"/>
      <c r="AI124" s="11"/>
      <c r="AJ124" s="11"/>
      <c r="AK124" s="11"/>
      <c r="AL124" s="11" t="s">
        <v>30</v>
      </c>
      <c r="AM124" s="11"/>
      <c r="AN124" s="11"/>
      <c r="AO124" s="11"/>
      <c r="AP124" s="11"/>
      <c r="AQ124" s="11"/>
      <c r="AR124" s="11"/>
      <c r="AS124" s="11"/>
      <c r="AT124" s="11"/>
    </row>
    <row r="125" spans="1:46" hidden="1" x14ac:dyDescent="0.3">
      <c r="A125" s="78" t="s">
        <v>350</v>
      </c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89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40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</row>
    <row r="126" spans="1:46" hidden="1" x14ac:dyDescent="0.3">
      <c r="A126" s="78" t="s">
        <v>351</v>
      </c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89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40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</row>
    <row r="127" spans="1:46" hidden="1" x14ac:dyDescent="0.3">
      <c r="A127" s="78" t="s">
        <v>352</v>
      </c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89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40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</row>
    <row r="128" spans="1:46" hidden="1" x14ac:dyDescent="0.3">
      <c r="A128" s="78" t="s">
        <v>353</v>
      </c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89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7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</row>
    <row r="129" spans="1:46" hidden="1" x14ac:dyDescent="0.3">
      <c r="A129" s="78" t="s">
        <v>354</v>
      </c>
      <c r="B129" s="90"/>
      <c r="C129" s="33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10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40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</row>
    <row r="130" spans="1:46" hidden="1" x14ac:dyDescent="0.3">
      <c r="A130" s="78"/>
      <c r="B130" s="90"/>
      <c r="C130" s="33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10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40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</row>
    <row r="131" spans="1:46" hidden="1" x14ac:dyDescent="0.3">
      <c r="A131" s="78"/>
      <c r="B131" s="90"/>
      <c r="C131" s="33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10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40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</row>
    <row r="132" spans="1:46" hidden="1" x14ac:dyDescent="0.3">
      <c r="A132" s="78"/>
      <c r="B132" s="90"/>
      <c r="C132" s="33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10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40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</row>
    <row r="133" spans="1:46" hidden="1" x14ac:dyDescent="0.3">
      <c r="A133" s="78"/>
      <c r="B133" s="90"/>
      <c r="C133" s="33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10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40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</row>
    <row r="134" spans="1:46" hidden="1" x14ac:dyDescent="0.3">
      <c r="A134" s="78"/>
      <c r="B134" s="92"/>
      <c r="C134" s="44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27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7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</row>
  </sheetData>
  <sheetProtection algorithmName="SHA-512" hashValue="5CfuxItHAApyf1xoyd4+fWKs05NLTXTrfZtAg3EnzT/Eb30e629qYqFScACMY1fvt8K2YrBv8qmb3jZnqb1IRw==" saltValue="QouhLXQ3bpyhLEPlBHY75Q==" spinCount="100000" sheet="1" objects="1" scenarios="1" autoFilter="0" pivotTables="0"/>
  <mergeCells count="6">
    <mergeCell ref="D1:N2"/>
    <mergeCell ref="AI2:AK2"/>
    <mergeCell ref="AL2:AT2"/>
    <mergeCell ref="AI1:AT1"/>
    <mergeCell ref="P1:AH2"/>
    <mergeCell ref="O1:O2"/>
  </mergeCells>
  <phoneticPr fontId="2" type="noConversion"/>
  <conditionalFormatting sqref="O1:P1">
    <cfRule type="duplicateValues" dxfId="22" priority="57"/>
  </conditionalFormatting>
  <conditionalFormatting sqref="P4:P1048576">
    <cfRule type="duplicateValues" dxfId="21" priority="54"/>
  </conditionalFormatting>
  <conditionalFormatting sqref="Q4:Q1048576">
    <cfRule type="duplicateValues" dxfId="20" priority="53"/>
  </conditionalFormatting>
  <conditionalFormatting sqref="R4:S1048576">
    <cfRule type="duplicateValues" dxfId="19" priority="52"/>
  </conditionalFormatting>
  <conditionalFormatting sqref="R3:AG3">
    <cfRule type="duplicateValues" dxfId="18" priority="77"/>
  </conditionalFormatting>
  <conditionalFormatting sqref="T4:U1048576">
    <cfRule type="duplicateValues" dxfId="17" priority="51"/>
  </conditionalFormatting>
  <conditionalFormatting sqref="V4:V1048576">
    <cfRule type="duplicateValues" dxfId="16" priority="50"/>
  </conditionalFormatting>
  <conditionalFormatting sqref="W4:W1048576">
    <cfRule type="duplicateValues" dxfId="15" priority="48"/>
  </conditionalFormatting>
  <conditionalFormatting sqref="X4:X1048576">
    <cfRule type="duplicateValues" dxfId="14" priority="47"/>
  </conditionalFormatting>
  <conditionalFormatting sqref="Y4:Y1048576">
    <cfRule type="duplicateValues" dxfId="13" priority="45"/>
  </conditionalFormatting>
  <conditionalFormatting sqref="Z4:Z1048576">
    <cfRule type="duplicateValues" dxfId="12" priority="44"/>
  </conditionalFormatting>
  <conditionalFormatting sqref="AA4:AA1048576">
    <cfRule type="duplicateValues" dxfId="11" priority="43"/>
  </conditionalFormatting>
  <conditionalFormatting sqref="AB4:AE1048576">
    <cfRule type="duplicateValues" dxfId="10" priority="42"/>
  </conditionalFormatting>
  <conditionalFormatting sqref="AF4:AG134">
    <cfRule type="duplicateValues" dxfId="9" priority="40"/>
  </conditionalFormatting>
  <conditionalFormatting sqref="AF62:AG1048576">
    <cfRule type="duplicateValues" dxfId="8" priority="74"/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9EA21A-4BFE-401A-B44A-F6B8A167AE8A}">
          <x14:formula1>
            <xm:f>OFFSET('Static Data'!$A$2, 0, 0, COUNTA('Static Data'!$A:$A)-1, 1)</xm:f>
          </x14:formula1>
          <xm:sqref>O3:O134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0211-B980-4D10-AD55-64384177C4E6}">
  <dimension ref="A1:T30"/>
  <sheetViews>
    <sheetView zoomScale="70" zoomScaleNormal="70" workbookViewId="0">
      <selection activeCell="B1" sqref="B1"/>
    </sheetView>
  </sheetViews>
  <sheetFormatPr defaultColWidth="0" defaultRowHeight="14.4" zeroHeight="1" x14ac:dyDescent="0.3"/>
  <cols>
    <col min="1" max="1" width="30.109375" customWidth="1"/>
    <col min="2" max="2" width="15.5546875" bestFit="1" customWidth="1"/>
    <col min="3" max="20" width="10.6640625" customWidth="1"/>
    <col min="21" max="16384" width="9.109375" hidden="1"/>
  </cols>
  <sheetData>
    <row r="1" spans="1:20" x14ac:dyDescent="0.3">
      <c r="A1" s="85" t="s">
        <v>279</v>
      </c>
      <c r="B1" s="86">
        <f ca="1">TODAY()</f>
        <v>46269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</row>
    <row r="2" spans="1:20" ht="57.6" x14ac:dyDescent="0.3">
      <c r="A2" s="83" t="s">
        <v>280</v>
      </c>
      <c r="B2" s="84" t="s">
        <v>269</v>
      </c>
      <c r="C2" s="84" t="s">
        <v>270</v>
      </c>
      <c r="D2" s="84" t="s">
        <v>196</v>
      </c>
      <c r="E2" s="84" t="s">
        <v>197</v>
      </c>
      <c r="F2" s="84" t="s">
        <v>271</v>
      </c>
      <c r="G2" s="84" t="s">
        <v>193</v>
      </c>
      <c r="H2" s="84" t="s">
        <v>272</v>
      </c>
      <c r="I2" s="84" t="s">
        <v>273</v>
      </c>
      <c r="J2" s="84" t="s">
        <v>274</v>
      </c>
      <c r="K2" s="84" t="s">
        <v>275</v>
      </c>
      <c r="L2" s="84" t="s">
        <v>276</v>
      </c>
      <c r="M2" s="84" t="s">
        <v>277</v>
      </c>
      <c r="N2" s="84" t="s">
        <v>192</v>
      </c>
      <c r="O2" s="84" t="s">
        <v>194</v>
      </c>
      <c r="P2" s="84" t="s">
        <v>172</v>
      </c>
      <c r="Q2" s="84" t="s">
        <v>171</v>
      </c>
      <c r="R2" s="84" t="s">
        <v>87</v>
      </c>
      <c r="S2" s="84" t="s">
        <v>278</v>
      </c>
      <c r="T2" s="84" t="s">
        <v>89</v>
      </c>
    </row>
    <row r="3" spans="1:20" x14ac:dyDescent="0.3">
      <c r="A3" s="76" t="s">
        <v>257</v>
      </c>
      <c r="B3" t="str">
        <f ca="1">_xlfn.LET(
  _xlpm.result,
  COUNTIFS(
    'Deviation RC Data'!$O:$O, $A3,
    'Deviation RC Data'!P:P, "x",
    'Deviation RC Data'!$B:$B, "&gt;=" &amp; EDATE($B$1, -12),
    'Deviation RC Data'!$B:$B, "&lt;=" &amp; $B$1
  ),
  IF(_xlpm.result = 0, "", _xlpm.result)
)</f>
        <v/>
      </c>
      <c r="C3" t="str">
        <f ca="1">_xlfn.LET(
  _xlpm.result,
  COUNTIFS(
    'Deviation RC Data'!$O:$O, $A3,
    'Deviation RC Data'!Q:Q, "x",
    'Deviation RC Data'!$B:$B, "&gt;=" &amp; EDATE($B$1, -12),
    'Deviation RC Data'!$B:$B, "&lt;=" &amp; $B$1
  ),
  IF(_xlpm.result = 0, "", _xlpm.result)
)</f>
        <v/>
      </c>
      <c r="D3" t="str">
        <f ca="1">_xlfn.LET(
  _xlpm.result,
  COUNTIFS(
    'Deviation RC Data'!$O:$O, $A3,
    'Deviation RC Data'!R:R, "x",
    'Deviation RC Data'!$B:$B, "&gt;=" &amp; EDATE($B$1, -12),
    'Deviation RC Data'!$B:$B, "&lt;=" &amp; $B$1
  ),
  IF(_xlpm.result = 0, "", _xlpm.result)
)</f>
        <v/>
      </c>
      <c r="E3" t="str">
        <f ca="1">_xlfn.LET(
  _xlpm.result,
  COUNTIFS(
    'Deviation RC Data'!$O:$O, $A3,
    'Deviation RC Data'!S:S, "x",
    'Deviation RC Data'!$B:$B, "&gt;=" &amp; EDATE($B$1, -12),
    'Deviation RC Data'!$B:$B, "&lt;=" &amp; $B$1
  ),
  IF(_xlpm.result = 0, "", _xlpm.result)
)</f>
        <v/>
      </c>
      <c r="F3" t="str">
        <f ca="1">_xlfn.LET(
  _xlpm.result,
  COUNTIFS(
    'Deviation RC Data'!$O:$O, $A3,
    'Deviation RC Data'!T:T, "x",
    'Deviation RC Data'!$B:$B, "&gt;=" &amp; EDATE($B$1, -12),
    'Deviation RC Data'!$B:$B, "&lt;=" &amp; $B$1
  ),
  IF(_xlpm.result = 0, "", _xlpm.result)
)</f>
        <v/>
      </c>
      <c r="G3" t="str">
        <f ca="1">_xlfn.LET(
  _xlpm.result,
  COUNTIFS(
    'Deviation RC Data'!$O:$O, $A3,
    'Deviation RC Data'!U:U, "x",
    'Deviation RC Data'!$B:$B, "&gt;=" &amp; EDATE($B$1, -12),
    'Deviation RC Data'!$B:$B, "&lt;=" &amp; $B$1
  ),
  IF(_xlpm.result = 0, "", _xlpm.result)
)</f>
        <v/>
      </c>
      <c r="H3">
        <f ca="1">_xlfn.LET(
  _xlpm.result,
  COUNTIFS(
    'Deviation RC Data'!$O:$O, $A3,
    'Deviation RC Data'!V:V, "x",
    'Deviation RC Data'!$B:$B, "&gt;=" &amp; EDATE($B$1, -12),
    'Deviation RC Data'!$B:$B, "&lt;=" &amp; $B$1
  ),
  IF(_xlpm.result = 0, "", _xlpm.result)
)</f>
        <v>1</v>
      </c>
      <c r="I3">
        <f ca="1">_xlfn.LET(
  _xlpm.result,
  COUNTIFS(
    'Deviation RC Data'!$O:$O, $A3,
    'Deviation RC Data'!W:W, "x",
    'Deviation RC Data'!$B:$B, "&gt;=" &amp; EDATE($B$1, -12),
    'Deviation RC Data'!$B:$B, "&lt;=" &amp; $B$1
  ),
  IF(_xlpm.result = 0, "", _xlpm.result)
)</f>
        <v>2</v>
      </c>
      <c r="J3" t="str">
        <f ca="1">_xlfn.LET(
  _xlpm.result,
  COUNTIFS(
    'Deviation RC Data'!$O:$O, $A3,
    'Deviation RC Data'!X:X, "x",
    'Deviation RC Data'!$B:$B, "&gt;=" &amp; EDATE($B$1, -12),
    'Deviation RC Data'!$B:$B, "&lt;=" &amp; $B$1
  ),
  IF(_xlpm.result = 0, "", _xlpm.result)
)</f>
        <v/>
      </c>
      <c r="K3" t="str">
        <f ca="1">_xlfn.LET(
  _xlpm.result,
  COUNTIFS(
    'Deviation RC Data'!$O:$O, $A3,
    'Deviation RC Data'!Y:Y, "x",
    'Deviation RC Data'!$B:$B, "&gt;=" &amp; EDATE($B$1, -12),
    'Deviation RC Data'!$B:$B, "&lt;=" &amp; $B$1
  ),
  IF(_xlpm.result = 0, "", _xlpm.result)
)</f>
        <v/>
      </c>
      <c r="L3" t="str">
        <f ca="1">_xlfn.LET(
  _xlpm.result,
  COUNTIFS(
    'Deviation RC Data'!$O:$O, $A3,
    'Deviation RC Data'!Z:Z, "x",
    'Deviation RC Data'!$B:$B, "&gt;=" &amp; EDATE($B$1, -12),
    'Deviation RC Data'!$B:$B, "&lt;=" &amp; $B$1
  ),
  IF(_xlpm.result = 0, "", _xlpm.result)
)</f>
        <v/>
      </c>
      <c r="M3" t="str">
        <f ca="1">_xlfn.LET(
  _xlpm.result,
  COUNTIFS(
    'Deviation RC Data'!$O:$O, $A3,
    'Deviation RC Data'!AA:AA, "x",
    'Deviation RC Data'!$B:$B, "&gt;=" &amp; EDATE($B$1, -12),
    'Deviation RC Data'!$B:$B, "&lt;=" &amp; $B$1
  ),
  IF(_xlpm.result = 0, "", _xlpm.result)
)</f>
        <v/>
      </c>
      <c r="N3" t="str">
        <f ca="1">_xlfn.LET(
  _xlpm.result,
  COUNTIFS(
    'Deviation RC Data'!$O:$O, $A3,
    'Deviation RC Data'!AB:AB, "x",
    'Deviation RC Data'!$B:$B, "&gt;=" &amp; EDATE($B$1, -12),
    'Deviation RC Data'!$B:$B, "&lt;=" &amp; $B$1
  ),
  IF(_xlpm.result = 0, "", _xlpm.result)
)</f>
        <v/>
      </c>
      <c r="O3" t="str">
        <f ca="1">_xlfn.LET(
  _xlpm.result,
  COUNTIFS(
    'Deviation RC Data'!$O:$O, $A3,
    'Deviation RC Data'!AC:AC, "x",
    'Deviation RC Data'!$B:$B, "&gt;=" &amp; EDATE($B$1, -12),
    'Deviation RC Data'!$B:$B, "&lt;=" &amp; $B$1
  ),
  IF(_xlpm.result = 0, "", _xlpm.result)
)</f>
        <v/>
      </c>
      <c r="P3" t="str">
        <f ca="1">_xlfn.LET(
  _xlpm.result,
  COUNTIFS(
    'Deviation RC Data'!$O:$O, $A3,
    'Deviation RC Data'!AD:AD, "x",
    'Deviation RC Data'!$B:$B, "&gt;=" &amp; EDATE($B$1, -12),
    'Deviation RC Data'!$B:$B, "&lt;=" &amp; $B$1
  ),
  IF(_xlpm.result = 0, "", _xlpm.result)
)</f>
        <v/>
      </c>
      <c r="Q3" t="str">
        <f ca="1">_xlfn.LET(
  _xlpm.result,
  COUNTIFS(
    'Deviation RC Data'!$O:$O, $A3,
    'Deviation RC Data'!AE:AE, "x",
    'Deviation RC Data'!$B:$B, "&gt;=" &amp; EDATE($B$1, -12),
    'Deviation RC Data'!$B:$B, "&lt;=" &amp; $B$1
  ),
  IF(_xlpm.result = 0, "", _xlpm.result)
)</f>
        <v/>
      </c>
      <c r="R3" t="str">
        <f ca="1">_xlfn.LET(
  _xlpm.result,
  COUNTIFS(
    'Deviation RC Data'!$O:$O, $A3,
    'Deviation RC Data'!AF:AF, "x",
    'Deviation RC Data'!$B:$B, "&gt;=" &amp; EDATE($B$1, -12),
    'Deviation RC Data'!$B:$B, "&lt;=" &amp; $B$1
  ),
  IF(_xlpm.result = 0, "", _xlpm.result)
)</f>
        <v/>
      </c>
      <c r="S3" t="str">
        <f ca="1">_xlfn.LET(
  _xlpm.result,
  COUNTIFS(
    'Deviation RC Data'!$O:$O, $A3,
    'Deviation RC Data'!AG:AG, "x",
    'Deviation RC Data'!$B:$B, "&gt;=" &amp; EDATE($B$1, -12),
    'Deviation RC Data'!$B:$B, "&lt;=" &amp; $B$1
  ),
  IF(_xlpm.result = 0, "", _xlpm.result)
)</f>
        <v/>
      </c>
      <c r="T3" t="str">
        <f ca="1">_xlfn.LET(
  _xlpm.result,
  COUNTIFS(
    'Deviation RC Data'!$O:$O, $A3,
    'Deviation RC Data'!AH:AH, "x",
    'Deviation RC Data'!$B:$B, "&gt;=" &amp; EDATE($B$1, -12),
    'Deviation RC Data'!$B:$B, "&lt;=" &amp; $B$1
  ),
  IF(_xlpm.result = 0, "", _xlpm.result)
)</f>
        <v/>
      </c>
    </row>
    <row r="4" spans="1:20" x14ac:dyDescent="0.3">
      <c r="A4" s="81" t="s">
        <v>259</v>
      </c>
      <c r="B4" s="82" t="str">
        <f ca="1">_xlfn.LET(
  _xlpm.result,
  COUNTIFS(
    'Deviation RC Data'!$O:$O, $A4,
    'Deviation RC Data'!P:P, "x",
    'Deviation RC Data'!$B:$B, "&gt;=" &amp; EDATE($B$1, -12),
    'Deviation RC Data'!$B:$B, "&lt;=" &amp; $B$1
  ),
  IF(_xlpm.result = 0, "", _xlpm.result)
)</f>
        <v/>
      </c>
      <c r="C4" s="82" t="str">
        <f ca="1">_xlfn.LET(
  _xlpm.result,
  COUNTIFS(
    'Deviation RC Data'!$O:$O, $A4,
    'Deviation RC Data'!Q:Q, "x",
    'Deviation RC Data'!$B:$B, "&gt;=" &amp; EDATE($B$1, -12),
    'Deviation RC Data'!$B:$B, "&lt;=" &amp; $B$1
  ),
  IF(_xlpm.result = 0, "", _xlpm.result)
)</f>
        <v/>
      </c>
      <c r="D4" s="82" t="str">
        <f ca="1">_xlfn.LET(
  _xlpm.result,
  COUNTIFS(
    'Deviation RC Data'!$O:$O, $A4,
    'Deviation RC Data'!R:R, "x",
    'Deviation RC Data'!$B:$B, "&gt;=" &amp; EDATE($B$1, -12),
    'Deviation RC Data'!$B:$B, "&lt;=" &amp; $B$1
  ),
  IF(_xlpm.result = 0, "", _xlpm.result)
)</f>
        <v/>
      </c>
      <c r="E4" s="82" t="str">
        <f ca="1">_xlfn.LET(
  _xlpm.result,
  COUNTIFS(
    'Deviation RC Data'!$O:$O, $A4,
    'Deviation RC Data'!S:S, "x",
    'Deviation RC Data'!$B:$B, "&gt;=" &amp; EDATE($B$1, -12),
    'Deviation RC Data'!$B:$B, "&lt;=" &amp; $B$1
  ),
  IF(_xlpm.result = 0, "", _xlpm.result)
)</f>
        <v/>
      </c>
      <c r="F4" s="82" t="str">
        <f ca="1">_xlfn.LET(
  _xlpm.result,
  COUNTIFS(
    'Deviation RC Data'!$O:$O, $A4,
    'Deviation RC Data'!T:T, "x",
    'Deviation RC Data'!$B:$B, "&gt;=" &amp; EDATE($B$1, -12),
    'Deviation RC Data'!$B:$B, "&lt;=" &amp; $B$1
  ),
  IF(_xlpm.result = 0, "", _xlpm.result)
)</f>
        <v/>
      </c>
      <c r="G4" s="82" t="str">
        <f ca="1">_xlfn.LET(
  _xlpm.result,
  COUNTIFS(
    'Deviation RC Data'!$O:$O, $A4,
    'Deviation RC Data'!U:U, "x",
    'Deviation RC Data'!$B:$B, "&gt;=" &amp; EDATE($B$1, -12),
    'Deviation RC Data'!$B:$B, "&lt;=" &amp; $B$1
  ),
  IF(_xlpm.result = 0, "", _xlpm.result)
)</f>
        <v/>
      </c>
      <c r="H4" s="82" t="str">
        <f ca="1">_xlfn.LET(
  _xlpm.result,
  COUNTIFS(
    'Deviation RC Data'!$O:$O, $A4,
    'Deviation RC Data'!V:V, "x",
    'Deviation RC Data'!$B:$B, "&gt;=" &amp; EDATE($B$1, -12),
    'Deviation RC Data'!$B:$B, "&lt;=" &amp; $B$1
  ),
  IF(_xlpm.result = 0, "", _xlpm.result)
)</f>
        <v/>
      </c>
      <c r="I4" s="82">
        <f ca="1">_xlfn.LET(
  _xlpm.result,
  COUNTIFS(
    'Deviation RC Data'!$O:$O, $A4,
    'Deviation RC Data'!W:W, "x",
    'Deviation RC Data'!$B:$B, "&gt;=" &amp; EDATE($B$1, -12),
    'Deviation RC Data'!$B:$B, "&lt;=" &amp; $B$1
  ),
  IF(_xlpm.result = 0, "", _xlpm.result)
)</f>
        <v>1</v>
      </c>
      <c r="J4" s="82" t="str">
        <f ca="1">_xlfn.LET(
  _xlpm.result,
  COUNTIFS(
    'Deviation RC Data'!$O:$O, $A4,
    'Deviation RC Data'!X:X, "x",
    'Deviation RC Data'!$B:$B, "&gt;=" &amp; EDATE($B$1, -12),
    'Deviation RC Data'!$B:$B, "&lt;=" &amp; $B$1
  ),
  IF(_xlpm.result = 0, "", _xlpm.result)
)</f>
        <v/>
      </c>
      <c r="K4" s="82" t="str">
        <f ca="1">_xlfn.LET(
  _xlpm.result,
  COUNTIFS(
    'Deviation RC Data'!$O:$O, $A4,
    'Deviation RC Data'!Y:Y, "x",
    'Deviation RC Data'!$B:$B, "&gt;=" &amp; EDATE($B$1, -12),
    'Deviation RC Data'!$B:$B, "&lt;=" &amp; $B$1
  ),
  IF(_xlpm.result = 0, "", _xlpm.result)
)</f>
        <v/>
      </c>
      <c r="L4" s="82" t="str">
        <f ca="1">_xlfn.LET(
  _xlpm.result,
  COUNTIFS(
    'Deviation RC Data'!$O:$O, $A4,
    'Deviation RC Data'!Z:Z, "x",
    'Deviation RC Data'!$B:$B, "&gt;=" &amp; EDATE($B$1, -12),
    'Deviation RC Data'!$B:$B, "&lt;=" &amp; $B$1
  ),
  IF(_xlpm.result = 0, "", _xlpm.result)
)</f>
        <v/>
      </c>
      <c r="M4" s="82" t="str">
        <f ca="1">_xlfn.LET(
  _xlpm.result,
  COUNTIFS(
    'Deviation RC Data'!$O:$O, $A4,
    'Deviation RC Data'!AA:AA, "x",
    'Deviation RC Data'!$B:$B, "&gt;=" &amp; EDATE($B$1, -12),
    'Deviation RC Data'!$B:$B, "&lt;=" &amp; $B$1
  ),
  IF(_xlpm.result = 0, "", _xlpm.result)
)</f>
        <v/>
      </c>
      <c r="N4" s="82" t="str">
        <f ca="1">_xlfn.LET(
  _xlpm.result,
  COUNTIFS(
    'Deviation RC Data'!$O:$O, $A4,
    'Deviation RC Data'!AB:AB, "x",
    'Deviation RC Data'!$B:$B, "&gt;=" &amp; EDATE($B$1, -12),
    'Deviation RC Data'!$B:$B, "&lt;=" &amp; $B$1
  ),
  IF(_xlpm.result = 0, "", _xlpm.result)
)</f>
        <v/>
      </c>
      <c r="O4" s="82" t="str">
        <f ca="1">_xlfn.LET(
  _xlpm.result,
  COUNTIFS(
    'Deviation RC Data'!$O:$O, $A4,
    'Deviation RC Data'!AC:AC, "x",
    'Deviation RC Data'!$B:$B, "&gt;=" &amp; EDATE($B$1, -12),
    'Deviation RC Data'!$B:$B, "&lt;=" &amp; $B$1
  ),
  IF(_xlpm.result = 0, "", _xlpm.result)
)</f>
        <v/>
      </c>
      <c r="P4" s="82" t="str">
        <f ca="1">_xlfn.LET(
  _xlpm.result,
  COUNTIFS(
    'Deviation RC Data'!$O:$O, $A4,
    'Deviation RC Data'!AD:AD, "x",
    'Deviation RC Data'!$B:$B, "&gt;=" &amp; EDATE($B$1, -12),
    'Deviation RC Data'!$B:$B, "&lt;=" &amp; $B$1
  ),
  IF(_xlpm.result = 0, "", _xlpm.result)
)</f>
        <v/>
      </c>
      <c r="Q4" s="82" t="str">
        <f ca="1">_xlfn.LET(
  _xlpm.result,
  COUNTIFS(
    'Deviation RC Data'!$O:$O, $A4,
    'Deviation RC Data'!AE:AE, "x",
    'Deviation RC Data'!$B:$B, "&gt;=" &amp; EDATE($B$1, -12),
    'Deviation RC Data'!$B:$B, "&lt;=" &amp; $B$1
  ),
  IF(_xlpm.result = 0, "", _xlpm.result)
)</f>
        <v/>
      </c>
      <c r="R4" s="82" t="str">
        <f ca="1">_xlfn.LET(
  _xlpm.result,
  COUNTIFS(
    'Deviation RC Data'!$O:$O, $A4,
    'Deviation RC Data'!AF:AF, "x",
    'Deviation RC Data'!$B:$B, "&gt;=" &amp; EDATE($B$1, -12),
    'Deviation RC Data'!$B:$B, "&lt;=" &amp; $B$1
  ),
  IF(_xlpm.result = 0, "", _xlpm.result)
)</f>
        <v/>
      </c>
      <c r="S4" s="82" t="str">
        <f ca="1">_xlfn.LET(
  _xlpm.result,
  COUNTIFS(
    'Deviation RC Data'!$O:$O, $A4,
    'Deviation RC Data'!AG:AG, "x",
    'Deviation RC Data'!$B:$B, "&gt;=" &amp; EDATE($B$1, -12),
    'Deviation RC Data'!$B:$B, "&lt;=" &amp; $B$1
  ),
  IF(_xlpm.result = 0, "", _xlpm.result)
)</f>
        <v/>
      </c>
      <c r="T4" s="82">
        <f ca="1">_xlfn.LET(
  _xlpm.result,
  COUNTIFS(
    'Deviation RC Data'!$O:$O, $A4,
    'Deviation RC Data'!AH:AH, "x",
    'Deviation RC Data'!$B:$B, "&gt;=" &amp; EDATE($B$1, -12),
    'Deviation RC Data'!$B:$B, "&lt;=" &amp; $B$1
  ),
  IF(_xlpm.result = 0, "", _xlpm.result)
)</f>
        <v>1</v>
      </c>
    </row>
    <row r="5" spans="1:20" ht="28.8" x14ac:dyDescent="0.3">
      <c r="A5" s="76" t="s">
        <v>260</v>
      </c>
      <c r="B5" t="str">
        <f ca="1">_xlfn.LET(
  _xlpm.result,
  COUNTIFS(
    'Deviation RC Data'!$O:$O, $A5,
    'Deviation RC Data'!P:P, "x",
    'Deviation RC Data'!$B:$B, "&gt;=" &amp; EDATE($B$1, -12),
    'Deviation RC Data'!$B:$B, "&lt;=" &amp; $B$1
  ),
  IF(_xlpm.result = 0, "", _xlpm.result)
)</f>
        <v/>
      </c>
      <c r="C5" t="str">
        <f ca="1">_xlfn.LET(
  _xlpm.result,
  COUNTIFS(
    'Deviation RC Data'!$O:$O, $A5,
    'Deviation RC Data'!Q:Q, "x",
    'Deviation RC Data'!$B:$B, "&gt;=" &amp; EDATE($B$1, -12),
    'Deviation RC Data'!$B:$B, "&lt;=" &amp; $B$1
  ),
  IF(_xlpm.result = 0, "", _xlpm.result)
)</f>
        <v/>
      </c>
      <c r="D5" t="str">
        <f ca="1">_xlfn.LET(
  _xlpm.result,
  COUNTIFS(
    'Deviation RC Data'!$O:$O, $A5,
    'Deviation RC Data'!R:R, "x",
    'Deviation RC Data'!$B:$B, "&gt;=" &amp; EDATE($B$1, -12),
    'Deviation RC Data'!$B:$B, "&lt;=" &amp; $B$1
  ),
  IF(_xlpm.result = 0, "", _xlpm.result)
)</f>
        <v/>
      </c>
      <c r="E5" t="str">
        <f ca="1">_xlfn.LET(
  _xlpm.result,
  COUNTIFS(
    'Deviation RC Data'!$O:$O, $A5,
    'Deviation RC Data'!S:S, "x",
    'Deviation RC Data'!$B:$B, "&gt;=" &amp; EDATE($B$1, -12),
    'Deviation RC Data'!$B:$B, "&lt;=" &amp; $B$1
  ),
  IF(_xlpm.result = 0, "", _xlpm.result)
)</f>
        <v/>
      </c>
      <c r="F5" t="str">
        <f ca="1">_xlfn.LET(
  _xlpm.result,
  COUNTIFS(
    'Deviation RC Data'!$O:$O, $A5,
    'Deviation RC Data'!T:T, "x",
    'Deviation RC Data'!$B:$B, "&gt;=" &amp; EDATE($B$1, -12),
    'Deviation RC Data'!$B:$B, "&lt;=" &amp; $B$1
  ),
  IF(_xlpm.result = 0, "", _xlpm.result)
)</f>
        <v/>
      </c>
      <c r="G5" t="str">
        <f ca="1">_xlfn.LET(
  _xlpm.result,
  COUNTIFS(
    'Deviation RC Data'!$O:$O, $A5,
    'Deviation RC Data'!U:U, "x",
    'Deviation RC Data'!$B:$B, "&gt;=" &amp; EDATE($B$1, -12),
    'Deviation RC Data'!$B:$B, "&lt;=" &amp; $B$1
  ),
  IF(_xlpm.result = 0, "", _xlpm.result)
)</f>
        <v/>
      </c>
      <c r="H5" t="str">
        <f ca="1">_xlfn.LET(
  _xlpm.result,
  COUNTIFS(
    'Deviation RC Data'!$O:$O, $A5,
    'Deviation RC Data'!V:V, "x",
    'Deviation RC Data'!$B:$B, "&gt;=" &amp; EDATE($B$1, -12),
    'Deviation RC Data'!$B:$B, "&lt;=" &amp; $B$1
  ),
  IF(_xlpm.result = 0, "", _xlpm.result)
)</f>
        <v/>
      </c>
      <c r="I5" t="str">
        <f ca="1">_xlfn.LET(
  _xlpm.result,
  COUNTIFS(
    'Deviation RC Data'!$O:$O, $A5,
    'Deviation RC Data'!W:W, "x",
    'Deviation RC Data'!$B:$B, "&gt;=" &amp; EDATE($B$1, -12),
    'Deviation RC Data'!$B:$B, "&lt;=" &amp; $B$1
  ),
  IF(_xlpm.result = 0, "", _xlpm.result)
)</f>
        <v/>
      </c>
      <c r="J5" t="str">
        <f ca="1">_xlfn.LET(
  _xlpm.result,
  COUNTIFS(
    'Deviation RC Data'!$O:$O, $A5,
    'Deviation RC Data'!X:X, "x",
    'Deviation RC Data'!$B:$B, "&gt;=" &amp; EDATE($B$1, -12),
    'Deviation RC Data'!$B:$B, "&lt;=" &amp; $B$1
  ),
  IF(_xlpm.result = 0, "", _xlpm.result)
)</f>
        <v/>
      </c>
      <c r="K5" t="str">
        <f ca="1">_xlfn.LET(
  _xlpm.result,
  COUNTIFS(
    'Deviation RC Data'!$O:$O, $A5,
    'Deviation RC Data'!Y:Y, "x",
    'Deviation RC Data'!$B:$B, "&gt;=" &amp; EDATE($B$1, -12),
    'Deviation RC Data'!$B:$B, "&lt;=" &amp; $B$1
  ),
  IF(_xlpm.result = 0, "", _xlpm.result)
)</f>
        <v/>
      </c>
      <c r="L5" t="str">
        <f ca="1">_xlfn.LET(
  _xlpm.result,
  COUNTIFS(
    'Deviation RC Data'!$O:$O, $A5,
    'Deviation RC Data'!Z:Z, "x",
    'Deviation RC Data'!$B:$B, "&gt;=" &amp; EDATE($B$1, -12),
    'Deviation RC Data'!$B:$B, "&lt;=" &amp; $B$1
  ),
  IF(_xlpm.result = 0, "", _xlpm.result)
)</f>
        <v/>
      </c>
      <c r="M5" t="str">
        <f ca="1">_xlfn.LET(
  _xlpm.result,
  COUNTIFS(
    'Deviation RC Data'!$O:$O, $A5,
    'Deviation RC Data'!AA:AA, "x",
    'Deviation RC Data'!$B:$B, "&gt;=" &amp; EDATE($B$1, -12),
    'Deviation RC Data'!$B:$B, "&lt;=" &amp; $B$1
  ),
  IF(_xlpm.result = 0, "", _xlpm.result)
)</f>
        <v/>
      </c>
      <c r="N5" t="str">
        <f ca="1">_xlfn.LET(
  _xlpm.result,
  COUNTIFS(
    'Deviation RC Data'!$O:$O, $A5,
    'Deviation RC Data'!AB:AB, "x",
    'Deviation RC Data'!$B:$B, "&gt;=" &amp; EDATE($B$1, -12),
    'Deviation RC Data'!$B:$B, "&lt;=" &amp; $B$1
  ),
  IF(_xlpm.result = 0, "", _xlpm.result)
)</f>
        <v/>
      </c>
      <c r="O5" t="str">
        <f ca="1">_xlfn.LET(
  _xlpm.result,
  COUNTIFS(
    'Deviation RC Data'!$O:$O, $A5,
    'Deviation RC Data'!AC:AC, "x",
    'Deviation RC Data'!$B:$B, "&gt;=" &amp; EDATE($B$1, -12),
    'Deviation RC Data'!$B:$B, "&lt;=" &amp; $B$1
  ),
  IF(_xlpm.result = 0, "", _xlpm.result)
)</f>
        <v/>
      </c>
      <c r="P5" t="str">
        <f ca="1">_xlfn.LET(
  _xlpm.result,
  COUNTIFS(
    'Deviation RC Data'!$O:$O, $A5,
    'Deviation RC Data'!AD:AD, "x",
    'Deviation RC Data'!$B:$B, "&gt;=" &amp; EDATE($B$1, -12),
    'Deviation RC Data'!$B:$B, "&lt;=" &amp; $B$1
  ),
  IF(_xlpm.result = 0, "", _xlpm.result)
)</f>
        <v/>
      </c>
      <c r="Q5" t="str">
        <f ca="1">_xlfn.LET(
  _xlpm.result,
  COUNTIFS(
    'Deviation RC Data'!$O:$O, $A5,
    'Deviation RC Data'!AE:AE, "x",
    'Deviation RC Data'!$B:$B, "&gt;=" &amp; EDATE($B$1, -12),
    'Deviation RC Data'!$B:$B, "&lt;=" &amp; $B$1
  ),
  IF(_xlpm.result = 0, "", _xlpm.result)
)</f>
        <v/>
      </c>
      <c r="R5" t="str">
        <f ca="1">_xlfn.LET(
  _xlpm.result,
  COUNTIFS(
    'Deviation RC Data'!$O:$O, $A5,
    'Deviation RC Data'!AF:AF, "x",
    'Deviation RC Data'!$B:$B, "&gt;=" &amp; EDATE($B$1, -12),
    'Deviation RC Data'!$B:$B, "&lt;=" &amp; $B$1
  ),
  IF(_xlpm.result = 0, "", _xlpm.result)
)</f>
        <v/>
      </c>
      <c r="S5" t="str">
        <f ca="1">_xlfn.LET(
  _xlpm.result,
  COUNTIFS(
    'Deviation RC Data'!$O:$O, $A5,
    'Deviation RC Data'!AG:AG, "x",
    'Deviation RC Data'!$B:$B, "&gt;=" &amp; EDATE($B$1, -12),
    'Deviation RC Data'!$B:$B, "&lt;=" &amp; $B$1
  ),
  IF(_xlpm.result = 0, "", _xlpm.result)
)</f>
        <v/>
      </c>
      <c r="T5" t="str">
        <f ca="1">_xlfn.LET(
  _xlpm.result,
  COUNTIFS(
    'Deviation RC Data'!$O:$O, $A5,
    'Deviation RC Data'!AH:AH, "x",
    'Deviation RC Data'!$B:$B, "&gt;=" &amp; EDATE($B$1, -12),
    'Deviation RC Data'!$B:$B, "&lt;=" &amp; $B$1
  ),
  IF(_xlpm.result = 0, "", _xlpm.result)
)</f>
        <v/>
      </c>
    </row>
    <row r="6" spans="1:20" x14ac:dyDescent="0.3">
      <c r="A6" s="81" t="s">
        <v>107</v>
      </c>
      <c r="B6" s="82" t="str">
        <f ca="1">_xlfn.LET(
  _xlpm.result,
  COUNTIFS(
    'Deviation RC Data'!$O:$O, $A6,
    'Deviation RC Data'!P:P, "x",
    'Deviation RC Data'!$B:$B, "&gt;=" &amp; EDATE($B$1, -12),
    'Deviation RC Data'!$B:$B, "&lt;=" &amp; $B$1
  ),
  IF(_xlpm.result = 0, "", _xlpm.result)
)</f>
        <v/>
      </c>
      <c r="C6" s="82" t="str">
        <f ca="1">_xlfn.LET(
  _xlpm.result,
  COUNTIFS(
    'Deviation RC Data'!$O:$O, $A6,
    'Deviation RC Data'!Q:Q, "x",
    'Deviation RC Data'!$B:$B, "&gt;=" &amp; EDATE($B$1, -12),
    'Deviation RC Data'!$B:$B, "&lt;=" &amp; $B$1
  ),
  IF(_xlpm.result = 0, "", _xlpm.result)
)</f>
        <v/>
      </c>
      <c r="D6" s="82" t="str">
        <f ca="1">_xlfn.LET(
  _xlpm.result,
  COUNTIFS(
    'Deviation RC Data'!$O:$O, $A6,
    'Deviation RC Data'!R:R, "x",
    'Deviation RC Data'!$B:$B, "&gt;=" &amp; EDATE($B$1, -12),
    'Deviation RC Data'!$B:$B, "&lt;=" &amp; $B$1
  ),
  IF(_xlpm.result = 0, "", _xlpm.result)
)</f>
        <v/>
      </c>
      <c r="E6" s="82" t="str">
        <f ca="1">_xlfn.LET(
  _xlpm.result,
  COUNTIFS(
    'Deviation RC Data'!$O:$O, $A6,
    'Deviation RC Data'!S:S, "x",
    'Deviation RC Data'!$B:$B, "&gt;=" &amp; EDATE($B$1, -12),
    'Deviation RC Data'!$B:$B, "&lt;=" &amp; $B$1
  ),
  IF(_xlpm.result = 0, "", _xlpm.result)
)</f>
        <v/>
      </c>
      <c r="F6" s="82" t="str">
        <f ca="1">_xlfn.LET(
  _xlpm.result,
  COUNTIFS(
    'Deviation RC Data'!$O:$O, $A6,
    'Deviation RC Data'!T:T, "x",
    'Deviation RC Data'!$B:$B, "&gt;=" &amp; EDATE($B$1, -12),
    'Deviation RC Data'!$B:$B, "&lt;=" &amp; $B$1
  ),
  IF(_xlpm.result = 0, "", _xlpm.result)
)</f>
        <v/>
      </c>
      <c r="G6" s="82" t="str">
        <f ca="1">_xlfn.LET(
  _xlpm.result,
  COUNTIFS(
    'Deviation RC Data'!$O:$O, $A6,
    'Deviation RC Data'!U:U, "x",
    'Deviation RC Data'!$B:$B, "&gt;=" &amp; EDATE($B$1, -12),
    'Deviation RC Data'!$B:$B, "&lt;=" &amp; $B$1
  ),
  IF(_xlpm.result = 0, "", _xlpm.result)
)</f>
        <v/>
      </c>
      <c r="H6" s="82" t="str">
        <f ca="1">_xlfn.LET(
  _xlpm.result,
  COUNTIFS(
    'Deviation RC Data'!$O:$O, $A6,
    'Deviation RC Data'!V:V, "x",
    'Deviation RC Data'!$B:$B, "&gt;=" &amp; EDATE($B$1, -12),
    'Deviation RC Data'!$B:$B, "&lt;=" &amp; $B$1
  ),
  IF(_xlpm.result = 0, "", _xlpm.result)
)</f>
        <v/>
      </c>
      <c r="I6" s="82" t="str">
        <f ca="1">_xlfn.LET(
  _xlpm.result,
  COUNTIFS(
    'Deviation RC Data'!$O:$O, $A6,
    'Deviation RC Data'!W:W, "x",
    'Deviation RC Data'!$B:$B, "&gt;=" &amp; EDATE($B$1, -12),
    'Deviation RC Data'!$B:$B, "&lt;=" &amp; $B$1
  ),
  IF(_xlpm.result = 0, "", _xlpm.result)
)</f>
        <v/>
      </c>
      <c r="J6" s="82" t="str">
        <f ca="1">_xlfn.LET(
  _xlpm.result,
  COUNTIFS(
    'Deviation RC Data'!$O:$O, $A6,
    'Deviation RC Data'!X:X, "x",
    'Deviation RC Data'!$B:$B, "&gt;=" &amp; EDATE($B$1, -12),
    'Deviation RC Data'!$B:$B, "&lt;=" &amp; $B$1
  ),
  IF(_xlpm.result = 0, "", _xlpm.result)
)</f>
        <v/>
      </c>
      <c r="K6" s="82" t="str">
        <f ca="1">_xlfn.LET(
  _xlpm.result,
  COUNTIFS(
    'Deviation RC Data'!$O:$O, $A6,
    'Deviation RC Data'!Y:Y, "x",
    'Deviation RC Data'!$B:$B, "&gt;=" &amp; EDATE($B$1, -12),
    'Deviation RC Data'!$B:$B, "&lt;=" &amp; $B$1
  ),
  IF(_xlpm.result = 0, "", _xlpm.result)
)</f>
        <v/>
      </c>
      <c r="L6" s="82" t="str">
        <f ca="1">_xlfn.LET(
  _xlpm.result,
  COUNTIFS(
    'Deviation RC Data'!$O:$O, $A6,
    'Deviation RC Data'!Z:Z, "x",
    'Deviation RC Data'!$B:$B, "&gt;=" &amp; EDATE($B$1, -12),
    'Deviation RC Data'!$B:$B, "&lt;=" &amp; $B$1
  ),
  IF(_xlpm.result = 0, "", _xlpm.result)
)</f>
        <v/>
      </c>
      <c r="M6" s="82" t="str">
        <f ca="1">_xlfn.LET(
  _xlpm.result,
  COUNTIFS(
    'Deviation RC Data'!$O:$O, $A6,
    'Deviation RC Data'!AA:AA, "x",
    'Deviation RC Data'!$B:$B, "&gt;=" &amp; EDATE($B$1, -12),
    'Deviation RC Data'!$B:$B, "&lt;=" &amp; $B$1
  ),
  IF(_xlpm.result = 0, "", _xlpm.result)
)</f>
        <v/>
      </c>
      <c r="N6" s="82" t="str">
        <f ca="1">_xlfn.LET(
  _xlpm.result,
  COUNTIFS(
    'Deviation RC Data'!$O:$O, $A6,
    'Deviation RC Data'!AB:AB, "x",
    'Deviation RC Data'!$B:$B, "&gt;=" &amp; EDATE($B$1, -12),
    'Deviation RC Data'!$B:$B, "&lt;=" &amp; $B$1
  ),
  IF(_xlpm.result = 0, "", _xlpm.result)
)</f>
        <v/>
      </c>
      <c r="O6" s="82" t="str">
        <f ca="1">_xlfn.LET(
  _xlpm.result,
  COUNTIFS(
    'Deviation RC Data'!$O:$O, $A6,
    'Deviation RC Data'!AC:AC, "x",
    'Deviation RC Data'!$B:$B, "&gt;=" &amp; EDATE($B$1, -12),
    'Deviation RC Data'!$B:$B, "&lt;=" &amp; $B$1
  ),
  IF(_xlpm.result = 0, "", _xlpm.result)
)</f>
        <v/>
      </c>
      <c r="P6" s="82" t="str">
        <f ca="1">_xlfn.LET(
  _xlpm.result,
  COUNTIFS(
    'Deviation RC Data'!$O:$O, $A6,
    'Deviation RC Data'!AD:AD, "x",
    'Deviation RC Data'!$B:$B, "&gt;=" &amp; EDATE($B$1, -12),
    'Deviation RC Data'!$B:$B, "&lt;=" &amp; $B$1
  ),
  IF(_xlpm.result = 0, "", _xlpm.result)
)</f>
        <v/>
      </c>
      <c r="Q6" s="82" t="str">
        <f ca="1">_xlfn.LET(
  _xlpm.result,
  COUNTIFS(
    'Deviation RC Data'!$O:$O, $A6,
    'Deviation RC Data'!AE:AE, "x",
    'Deviation RC Data'!$B:$B, "&gt;=" &amp; EDATE($B$1, -12),
    'Deviation RC Data'!$B:$B, "&lt;=" &amp; $B$1
  ),
  IF(_xlpm.result = 0, "", _xlpm.result)
)</f>
        <v/>
      </c>
      <c r="R6" s="82" t="str">
        <f ca="1">_xlfn.LET(
  _xlpm.result,
  COUNTIFS(
    'Deviation RC Data'!$O:$O, $A6,
    'Deviation RC Data'!AF:AF, "x",
    'Deviation RC Data'!$B:$B, "&gt;=" &amp; EDATE($B$1, -12),
    'Deviation RC Data'!$B:$B, "&lt;=" &amp; $B$1
  ),
  IF(_xlpm.result = 0, "", _xlpm.result)
)</f>
        <v/>
      </c>
      <c r="S6" s="82" t="str">
        <f ca="1">_xlfn.LET(
  _xlpm.result,
  COUNTIFS(
    'Deviation RC Data'!$O:$O, $A6,
    'Deviation RC Data'!AG:AG, "x",
    'Deviation RC Data'!$B:$B, "&gt;=" &amp; EDATE($B$1, -12),
    'Deviation RC Data'!$B:$B, "&lt;=" &amp; $B$1
  ),
  IF(_xlpm.result = 0, "", _xlpm.result)
)</f>
        <v/>
      </c>
      <c r="T6" s="82" t="str">
        <f ca="1">_xlfn.LET(
  _xlpm.result,
  COUNTIFS(
    'Deviation RC Data'!$O:$O, $A6,
    'Deviation RC Data'!AH:AH, "x",
    'Deviation RC Data'!$B:$B, "&gt;=" &amp; EDATE($B$1, -12),
    'Deviation RC Data'!$B:$B, "&lt;=" &amp; $B$1
  ),
  IF(_xlpm.result = 0, "", _xlpm.result)
)</f>
        <v/>
      </c>
    </row>
    <row r="7" spans="1:20" x14ac:dyDescent="0.3">
      <c r="A7" s="76" t="s">
        <v>105</v>
      </c>
      <c r="B7" t="str">
        <f ca="1">_xlfn.LET(
  _xlpm.result,
  COUNTIFS(
    'Deviation RC Data'!$O:$O, $A7,
    'Deviation RC Data'!P:P, "x",
    'Deviation RC Data'!$B:$B, "&gt;=" &amp; EDATE($B$1, -12),
    'Deviation RC Data'!$B:$B, "&lt;=" &amp; $B$1
  ),
  IF(_xlpm.result = 0, "", _xlpm.result)
)</f>
        <v/>
      </c>
      <c r="C7" t="str">
        <f ca="1">_xlfn.LET(
  _xlpm.result,
  COUNTIFS(
    'Deviation RC Data'!$O:$O, $A7,
    'Deviation RC Data'!Q:Q, "x",
    'Deviation RC Data'!$B:$B, "&gt;=" &amp; EDATE($B$1, -12),
    'Deviation RC Data'!$B:$B, "&lt;=" &amp; $B$1
  ),
  IF(_xlpm.result = 0, "", _xlpm.result)
)</f>
        <v/>
      </c>
      <c r="D7" t="str">
        <f ca="1">_xlfn.LET(
  _xlpm.result,
  COUNTIFS(
    'Deviation RC Data'!$O:$O, $A7,
    'Deviation RC Data'!R:R, "x",
    'Deviation RC Data'!$B:$B, "&gt;=" &amp; EDATE($B$1, -12),
    'Deviation RC Data'!$B:$B, "&lt;=" &amp; $B$1
  ),
  IF(_xlpm.result = 0, "", _xlpm.result)
)</f>
        <v/>
      </c>
      <c r="E7" t="str">
        <f ca="1">_xlfn.LET(
  _xlpm.result,
  COUNTIFS(
    'Deviation RC Data'!$O:$O, $A7,
    'Deviation RC Data'!S:S, "x",
    'Deviation RC Data'!$B:$B, "&gt;=" &amp; EDATE($B$1, -12),
    'Deviation RC Data'!$B:$B, "&lt;=" &amp; $B$1
  ),
  IF(_xlpm.result = 0, "", _xlpm.result)
)</f>
        <v/>
      </c>
      <c r="F7" t="str">
        <f ca="1">_xlfn.LET(
  _xlpm.result,
  COUNTIFS(
    'Deviation RC Data'!$O:$O, $A7,
    'Deviation RC Data'!T:T, "x",
    'Deviation RC Data'!$B:$B, "&gt;=" &amp; EDATE($B$1, -12),
    'Deviation RC Data'!$B:$B, "&lt;=" &amp; $B$1
  ),
  IF(_xlpm.result = 0, "", _xlpm.result)
)</f>
        <v/>
      </c>
      <c r="G7" t="str">
        <f ca="1">_xlfn.LET(
  _xlpm.result,
  COUNTIFS(
    'Deviation RC Data'!$O:$O, $A7,
    'Deviation RC Data'!U:U, "x",
    'Deviation RC Data'!$B:$B, "&gt;=" &amp; EDATE($B$1, -12),
    'Deviation RC Data'!$B:$B, "&lt;=" &amp; $B$1
  ),
  IF(_xlpm.result = 0, "", _xlpm.result)
)</f>
        <v/>
      </c>
      <c r="H7" t="str">
        <f ca="1">_xlfn.LET(
  _xlpm.result,
  COUNTIFS(
    'Deviation RC Data'!$O:$O, $A7,
    'Deviation RC Data'!V:V, "x",
    'Deviation RC Data'!$B:$B, "&gt;=" &amp; EDATE($B$1, -12),
    'Deviation RC Data'!$B:$B, "&lt;=" &amp; $B$1
  ),
  IF(_xlpm.result = 0, "", _xlpm.result)
)</f>
        <v/>
      </c>
      <c r="I7" t="str">
        <f ca="1">_xlfn.LET(
  _xlpm.result,
  COUNTIFS(
    'Deviation RC Data'!$O:$O, $A7,
    'Deviation RC Data'!W:W, "x",
    'Deviation RC Data'!$B:$B, "&gt;=" &amp; EDATE($B$1, -12),
    'Deviation RC Data'!$B:$B, "&lt;=" &amp; $B$1
  ),
  IF(_xlpm.result = 0, "", _xlpm.result)
)</f>
        <v/>
      </c>
      <c r="J7" t="str">
        <f ca="1">_xlfn.LET(
  _xlpm.result,
  COUNTIFS(
    'Deviation RC Data'!$O:$O, $A7,
    'Deviation RC Data'!X:X, "x",
    'Deviation RC Data'!$B:$B, "&gt;=" &amp; EDATE($B$1, -12),
    'Deviation RC Data'!$B:$B, "&lt;=" &amp; $B$1
  ),
  IF(_xlpm.result = 0, "", _xlpm.result)
)</f>
        <v/>
      </c>
      <c r="K7" t="str">
        <f ca="1">_xlfn.LET(
  _xlpm.result,
  COUNTIFS(
    'Deviation RC Data'!$O:$O, $A7,
    'Deviation RC Data'!Y:Y, "x",
    'Deviation RC Data'!$B:$B, "&gt;=" &amp; EDATE($B$1, -12),
    'Deviation RC Data'!$B:$B, "&lt;=" &amp; $B$1
  ),
  IF(_xlpm.result = 0, "", _xlpm.result)
)</f>
        <v/>
      </c>
      <c r="L7" t="str">
        <f ca="1">_xlfn.LET(
  _xlpm.result,
  COUNTIFS(
    'Deviation RC Data'!$O:$O, $A7,
    'Deviation RC Data'!Z:Z, "x",
    'Deviation RC Data'!$B:$B, "&gt;=" &amp; EDATE($B$1, -12),
    'Deviation RC Data'!$B:$B, "&lt;=" &amp; $B$1
  ),
  IF(_xlpm.result = 0, "", _xlpm.result)
)</f>
        <v/>
      </c>
      <c r="M7" t="str">
        <f ca="1">_xlfn.LET(
  _xlpm.result,
  COUNTIFS(
    'Deviation RC Data'!$O:$O, $A7,
    'Deviation RC Data'!AA:AA, "x",
    'Deviation RC Data'!$B:$B, "&gt;=" &amp; EDATE($B$1, -12),
    'Deviation RC Data'!$B:$B, "&lt;=" &amp; $B$1
  ),
  IF(_xlpm.result = 0, "", _xlpm.result)
)</f>
        <v/>
      </c>
      <c r="N7" t="str">
        <f ca="1">_xlfn.LET(
  _xlpm.result,
  COUNTIFS(
    'Deviation RC Data'!$O:$O, $A7,
    'Deviation RC Data'!AB:AB, "x",
    'Deviation RC Data'!$B:$B, "&gt;=" &amp; EDATE($B$1, -12),
    'Deviation RC Data'!$B:$B, "&lt;=" &amp; $B$1
  ),
  IF(_xlpm.result = 0, "", _xlpm.result)
)</f>
        <v/>
      </c>
      <c r="O7" t="str">
        <f ca="1">_xlfn.LET(
  _xlpm.result,
  COUNTIFS(
    'Deviation RC Data'!$O:$O, $A7,
    'Deviation RC Data'!AC:AC, "x",
    'Deviation RC Data'!$B:$B, "&gt;=" &amp; EDATE($B$1, -12),
    'Deviation RC Data'!$B:$B, "&lt;=" &amp; $B$1
  ),
  IF(_xlpm.result = 0, "", _xlpm.result)
)</f>
        <v/>
      </c>
      <c r="P7" t="str">
        <f ca="1">_xlfn.LET(
  _xlpm.result,
  COUNTIFS(
    'Deviation RC Data'!$O:$O, $A7,
    'Deviation RC Data'!AD:AD, "x",
    'Deviation RC Data'!$B:$B, "&gt;=" &amp; EDATE($B$1, -12),
    'Deviation RC Data'!$B:$B, "&lt;=" &amp; $B$1
  ),
  IF(_xlpm.result = 0, "", _xlpm.result)
)</f>
        <v/>
      </c>
      <c r="Q7" t="str">
        <f ca="1">_xlfn.LET(
  _xlpm.result,
  COUNTIFS(
    'Deviation RC Data'!$O:$O, $A7,
    'Deviation RC Data'!AE:AE, "x",
    'Deviation RC Data'!$B:$B, "&gt;=" &amp; EDATE($B$1, -12),
    'Deviation RC Data'!$B:$B, "&lt;=" &amp; $B$1
  ),
  IF(_xlpm.result = 0, "", _xlpm.result)
)</f>
        <v/>
      </c>
      <c r="R7" t="str">
        <f ca="1">_xlfn.LET(
  _xlpm.result,
  COUNTIFS(
    'Deviation RC Data'!$O:$O, $A7,
    'Deviation RC Data'!AF:AF, "x",
    'Deviation RC Data'!$B:$B, "&gt;=" &amp; EDATE($B$1, -12),
    'Deviation RC Data'!$B:$B, "&lt;=" &amp; $B$1
  ),
  IF(_xlpm.result = 0, "", _xlpm.result)
)</f>
        <v/>
      </c>
      <c r="S7" t="str">
        <f ca="1">_xlfn.LET(
  _xlpm.result,
  COUNTIFS(
    'Deviation RC Data'!$O:$O, $A7,
    'Deviation RC Data'!AG:AG, "x",
    'Deviation RC Data'!$B:$B, "&gt;=" &amp; EDATE($B$1, -12),
    'Deviation RC Data'!$B:$B, "&lt;=" &amp; $B$1
  ),
  IF(_xlpm.result = 0, "", _xlpm.result)
)</f>
        <v/>
      </c>
      <c r="T7" t="str">
        <f ca="1">_xlfn.LET(
  _xlpm.result,
  COUNTIFS(
    'Deviation RC Data'!$O:$O, $A7,
    'Deviation RC Data'!AH:AH, "x",
    'Deviation RC Data'!$B:$B, "&gt;=" &amp; EDATE($B$1, -12),
    'Deviation RC Data'!$B:$B, "&lt;=" &amp; $B$1
  ),
  IF(_xlpm.result = 0, "", _xlpm.result)
)</f>
        <v/>
      </c>
    </row>
    <row r="8" spans="1:20" x14ac:dyDescent="0.3">
      <c r="A8" s="81" t="s">
        <v>261</v>
      </c>
      <c r="B8" s="82" t="str">
        <f ca="1">_xlfn.LET(
  _xlpm.result,
  COUNTIFS(
    'Deviation RC Data'!$O:$O, $A8,
    'Deviation RC Data'!P:P, "x",
    'Deviation RC Data'!$B:$B, "&gt;=" &amp; EDATE($B$1, -12),
    'Deviation RC Data'!$B:$B, "&lt;=" &amp; $B$1
  ),
  IF(_xlpm.result = 0, "", _xlpm.result)
)</f>
        <v/>
      </c>
      <c r="C8" s="82" t="str">
        <f ca="1">_xlfn.LET(
  _xlpm.result,
  COUNTIFS(
    'Deviation RC Data'!$O:$O, $A8,
    'Deviation RC Data'!Q:Q, "x",
    'Deviation RC Data'!$B:$B, "&gt;=" &amp; EDATE($B$1, -12),
    'Deviation RC Data'!$B:$B, "&lt;=" &amp; $B$1
  ),
  IF(_xlpm.result = 0, "", _xlpm.result)
)</f>
        <v/>
      </c>
      <c r="D8" s="82" t="str">
        <f ca="1">_xlfn.LET(
  _xlpm.result,
  COUNTIFS(
    'Deviation RC Data'!$O:$O, $A8,
    'Deviation RC Data'!R:R, "x",
    'Deviation RC Data'!$B:$B, "&gt;=" &amp; EDATE($B$1, -12),
    'Deviation RC Data'!$B:$B, "&lt;=" &amp; $B$1
  ),
  IF(_xlpm.result = 0, "", _xlpm.result)
)</f>
        <v/>
      </c>
      <c r="E8" s="82" t="str">
        <f ca="1">_xlfn.LET(
  _xlpm.result,
  COUNTIFS(
    'Deviation RC Data'!$O:$O, $A8,
    'Deviation RC Data'!S:S, "x",
    'Deviation RC Data'!$B:$B, "&gt;=" &amp; EDATE($B$1, -12),
    'Deviation RC Data'!$B:$B, "&lt;=" &amp; $B$1
  ),
  IF(_xlpm.result = 0, "", _xlpm.result)
)</f>
        <v/>
      </c>
      <c r="F8" s="82" t="str">
        <f ca="1">_xlfn.LET(
  _xlpm.result,
  COUNTIFS(
    'Deviation RC Data'!$O:$O, $A8,
    'Deviation RC Data'!T:T, "x",
    'Deviation RC Data'!$B:$B, "&gt;=" &amp; EDATE($B$1, -12),
    'Deviation RC Data'!$B:$B, "&lt;=" &amp; $B$1
  ),
  IF(_xlpm.result = 0, "", _xlpm.result)
)</f>
        <v/>
      </c>
      <c r="G8" s="82" t="str">
        <f ca="1">_xlfn.LET(
  _xlpm.result,
  COUNTIFS(
    'Deviation RC Data'!$O:$O, $A8,
    'Deviation RC Data'!U:U, "x",
    'Deviation RC Data'!$B:$B, "&gt;=" &amp; EDATE($B$1, -12),
    'Deviation RC Data'!$B:$B, "&lt;=" &amp; $B$1
  ),
  IF(_xlpm.result = 0, "", _xlpm.result)
)</f>
        <v/>
      </c>
      <c r="H8" s="82" t="str">
        <f ca="1">_xlfn.LET(
  _xlpm.result,
  COUNTIFS(
    'Deviation RC Data'!$O:$O, $A8,
    'Deviation RC Data'!V:V, "x",
    'Deviation RC Data'!$B:$B, "&gt;=" &amp; EDATE($B$1, -12),
    'Deviation RC Data'!$B:$B, "&lt;=" &amp; $B$1
  ),
  IF(_xlpm.result = 0, "", _xlpm.result)
)</f>
        <v/>
      </c>
      <c r="I8" s="82" t="str">
        <f ca="1">_xlfn.LET(
  _xlpm.result,
  COUNTIFS(
    'Deviation RC Data'!$O:$O, $A8,
    'Deviation RC Data'!W:W, "x",
    'Deviation RC Data'!$B:$B, "&gt;=" &amp; EDATE($B$1, -12),
    'Deviation RC Data'!$B:$B, "&lt;=" &amp; $B$1
  ),
  IF(_xlpm.result = 0, "", _xlpm.result)
)</f>
        <v/>
      </c>
      <c r="J8" s="82" t="str">
        <f ca="1">_xlfn.LET(
  _xlpm.result,
  COUNTIFS(
    'Deviation RC Data'!$O:$O, $A8,
    'Deviation RC Data'!X:X, "x",
    'Deviation RC Data'!$B:$B, "&gt;=" &amp; EDATE($B$1, -12),
    'Deviation RC Data'!$B:$B, "&lt;=" &amp; $B$1
  ),
  IF(_xlpm.result = 0, "", _xlpm.result)
)</f>
        <v/>
      </c>
      <c r="K8" s="82" t="str">
        <f ca="1">_xlfn.LET(
  _xlpm.result,
  COUNTIFS(
    'Deviation RC Data'!$O:$O, $A8,
    'Deviation RC Data'!Y:Y, "x",
    'Deviation RC Data'!$B:$B, "&gt;=" &amp; EDATE($B$1, -12),
    'Deviation RC Data'!$B:$B, "&lt;=" &amp; $B$1
  ),
  IF(_xlpm.result = 0, "", _xlpm.result)
)</f>
        <v/>
      </c>
      <c r="L8" s="82" t="str">
        <f ca="1">_xlfn.LET(
  _xlpm.result,
  COUNTIFS(
    'Deviation RC Data'!$O:$O, $A8,
    'Deviation RC Data'!Z:Z, "x",
    'Deviation RC Data'!$B:$B, "&gt;=" &amp; EDATE($B$1, -12),
    'Deviation RC Data'!$B:$B, "&lt;=" &amp; $B$1
  ),
  IF(_xlpm.result = 0, "", _xlpm.result)
)</f>
        <v/>
      </c>
      <c r="M8" s="82" t="str">
        <f ca="1">_xlfn.LET(
  _xlpm.result,
  COUNTIFS(
    'Deviation RC Data'!$O:$O, $A8,
    'Deviation RC Data'!AA:AA, "x",
    'Deviation RC Data'!$B:$B, "&gt;=" &amp; EDATE($B$1, -12),
    'Deviation RC Data'!$B:$B, "&lt;=" &amp; $B$1
  ),
  IF(_xlpm.result = 0, "", _xlpm.result)
)</f>
        <v/>
      </c>
      <c r="N8" s="82" t="str">
        <f ca="1">_xlfn.LET(
  _xlpm.result,
  COUNTIFS(
    'Deviation RC Data'!$O:$O, $A8,
    'Deviation RC Data'!AB:AB, "x",
    'Deviation RC Data'!$B:$B, "&gt;=" &amp; EDATE($B$1, -12),
    'Deviation RC Data'!$B:$B, "&lt;=" &amp; $B$1
  ),
  IF(_xlpm.result = 0, "", _xlpm.result)
)</f>
        <v/>
      </c>
      <c r="O8" s="82" t="str">
        <f ca="1">_xlfn.LET(
  _xlpm.result,
  COUNTIFS(
    'Deviation RC Data'!$O:$O, $A8,
    'Deviation RC Data'!AC:AC, "x",
    'Deviation RC Data'!$B:$B, "&gt;=" &amp; EDATE($B$1, -12),
    'Deviation RC Data'!$B:$B, "&lt;=" &amp; $B$1
  ),
  IF(_xlpm.result = 0, "", _xlpm.result)
)</f>
        <v/>
      </c>
      <c r="P8" s="82" t="str">
        <f ca="1">_xlfn.LET(
  _xlpm.result,
  COUNTIFS(
    'Deviation RC Data'!$O:$O, $A8,
    'Deviation RC Data'!AD:AD, "x",
    'Deviation RC Data'!$B:$B, "&gt;=" &amp; EDATE($B$1, -12),
    'Deviation RC Data'!$B:$B, "&lt;=" &amp; $B$1
  ),
  IF(_xlpm.result = 0, "", _xlpm.result)
)</f>
        <v/>
      </c>
      <c r="Q8" s="82" t="str">
        <f ca="1">_xlfn.LET(
  _xlpm.result,
  COUNTIFS(
    'Deviation RC Data'!$O:$O, $A8,
    'Deviation RC Data'!AE:AE, "x",
    'Deviation RC Data'!$B:$B, "&gt;=" &amp; EDATE($B$1, -12),
    'Deviation RC Data'!$B:$B, "&lt;=" &amp; $B$1
  ),
  IF(_xlpm.result = 0, "", _xlpm.result)
)</f>
        <v/>
      </c>
      <c r="R8" s="82" t="str">
        <f ca="1">_xlfn.LET(
  _xlpm.result,
  COUNTIFS(
    'Deviation RC Data'!$O:$O, $A8,
    'Deviation RC Data'!AF:AF, "x",
    'Deviation RC Data'!$B:$B, "&gt;=" &amp; EDATE($B$1, -12),
    'Deviation RC Data'!$B:$B, "&lt;=" &amp; $B$1
  ),
  IF(_xlpm.result = 0, "", _xlpm.result)
)</f>
        <v/>
      </c>
      <c r="S8" s="82" t="str">
        <f ca="1">_xlfn.LET(
  _xlpm.result,
  COUNTIFS(
    'Deviation RC Data'!$O:$O, $A8,
    'Deviation RC Data'!AG:AG, "x",
    'Deviation RC Data'!$B:$B, "&gt;=" &amp; EDATE($B$1, -12),
    'Deviation RC Data'!$B:$B, "&lt;=" &amp; $B$1
  ),
  IF(_xlpm.result = 0, "", _xlpm.result)
)</f>
        <v/>
      </c>
      <c r="T8" s="82" t="str">
        <f ca="1">_xlfn.LET(
  _xlpm.result,
  COUNTIFS(
    'Deviation RC Data'!$O:$O, $A8,
    'Deviation RC Data'!AH:AH, "x",
    'Deviation RC Data'!$B:$B, "&gt;=" &amp; EDATE($B$1, -12),
    'Deviation RC Data'!$B:$B, "&lt;=" &amp; $B$1
  ),
  IF(_xlpm.result = 0, "", _xlpm.result)
)</f>
        <v/>
      </c>
    </row>
    <row r="9" spans="1:20" x14ac:dyDescent="0.3">
      <c r="A9" s="76" t="s">
        <v>262</v>
      </c>
      <c r="B9" t="str">
        <f ca="1">_xlfn.LET(
  _xlpm.result,
  COUNTIFS(
    'Deviation RC Data'!$O:$O, $A9,
    'Deviation RC Data'!P:P, "x",
    'Deviation RC Data'!$B:$B, "&gt;=" &amp; EDATE($B$1, -12),
    'Deviation RC Data'!$B:$B, "&lt;=" &amp; $B$1
  ),
  IF(_xlpm.result = 0, "", _xlpm.result)
)</f>
        <v/>
      </c>
      <c r="C9" t="str">
        <f ca="1">_xlfn.LET(
  _xlpm.result,
  COUNTIFS(
    'Deviation RC Data'!$O:$O, $A9,
    'Deviation RC Data'!Q:Q, "x",
    'Deviation RC Data'!$B:$B, "&gt;=" &amp; EDATE($B$1, -12),
    'Deviation RC Data'!$B:$B, "&lt;=" &amp; $B$1
  ),
  IF(_xlpm.result = 0, "", _xlpm.result)
)</f>
        <v/>
      </c>
      <c r="D9" t="str">
        <f ca="1">_xlfn.LET(
  _xlpm.result,
  COUNTIFS(
    'Deviation RC Data'!$O:$O, $A9,
    'Deviation RC Data'!R:R, "x",
    'Deviation RC Data'!$B:$B, "&gt;=" &amp; EDATE($B$1, -12),
    'Deviation RC Data'!$B:$B, "&lt;=" &amp; $B$1
  ),
  IF(_xlpm.result = 0, "", _xlpm.result)
)</f>
        <v/>
      </c>
      <c r="E9" t="str">
        <f ca="1">_xlfn.LET(
  _xlpm.result,
  COUNTIFS(
    'Deviation RC Data'!$O:$O, $A9,
    'Deviation RC Data'!S:S, "x",
    'Deviation RC Data'!$B:$B, "&gt;=" &amp; EDATE($B$1, -12),
    'Deviation RC Data'!$B:$B, "&lt;=" &amp; $B$1
  ),
  IF(_xlpm.result = 0, "", _xlpm.result)
)</f>
        <v/>
      </c>
      <c r="F9" t="str">
        <f ca="1">_xlfn.LET(
  _xlpm.result,
  COUNTIFS(
    'Deviation RC Data'!$O:$O, $A9,
    'Deviation RC Data'!T:T, "x",
    'Deviation RC Data'!$B:$B, "&gt;=" &amp; EDATE($B$1, -12),
    'Deviation RC Data'!$B:$B, "&lt;=" &amp; $B$1
  ),
  IF(_xlpm.result = 0, "", _xlpm.result)
)</f>
        <v/>
      </c>
      <c r="G9" t="str">
        <f ca="1">_xlfn.LET(
  _xlpm.result,
  COUNTIFS(
    'Deviation RC Data'!$O:$O, $A9,
    'Deviation RC Data'!U:U, "x",
    'Deviation RC Data'!$B:$B, "&gt;=" &amp; EDATE($B$1, -12),
    'Deviation RC Data'!$B:$B, "&lt;=" &amp; $B$1
  ),
  IF(_xlpm.result = 0, "", _xlpm.result)
)</f>
        <v/>
      </c>
      <c r="H9" t="str">
        <f ca="1">_xlfn.LET(
  _xlpm.result,
  COUNTIFS(
    'Deviation RC Data'!$O:$O, $A9,
    'Deviation RC Data'!V:V, "x",
    'Deviation RC Data'!$B:$B, "&gt;=" &amp; EDATE($B$1, -12),
    'Deviation RC Data'!$B:$B, "&lt;=" &amp; $B$1
  ),
  IF(_xlpm.result = 0, "", _xlpm.result)
)</f>
        <v/>
      </c>
      <c r="I9" t="str">
        <f ca="1">_xlfn.LET(
  _xlpm.result,
  COUNTIFS(
    'Deviation RC Data'!$O:$O, $A9,
    'Deviation RC Data'!W:W, "x",
    'Deviation RC Data'!$B:$B, "&gt;=" &amp; EDATE($B$1, -12),
    'Deviation RC Data'!$B:$B, "&lt;=" &amp; $B$1
  ),
  IF(_xlpm.result = 0, "", _xlpm.result)
)</f>
        <v/>
      </c>
      <c r="J9" t="str">
        <f ca="1">_xlfn.LET(
  _xlpm.result,
  COUNTIFS(
    'Deviation RC Data'!$O:$O, $A9,
    'Deviation RC Data'!X:X, "x",
    'Deviation RC Data'!$B:$B, "&gt;=" &amp; EDATE($B$1, -12),
    'Deviation RC Data'!$B:$B, "&lt;=" &amp; $B$1
  ),
  IF(_xlpm.result = 0, "", _xlpm.result)
)</f>
        <v/>
      </c>
      <c r="K9" t="str">
        <f ca="1">_xlfn.LET(
  _xlpm.result,
  COUNTIFS(
    'Deviation RC Data'!$O:$O, $A9,
    'Deviation RC Data'!Y:Y, "x",
    'Deviation RC Data'!$B:$B, "&gt;=" &amp; EDATE($B$1, -12),
    'Deviation RC Data'!$B:$B, "&lt;=" &amp; $B$1
  ),
  IF(_xlpm.result = 0, "", _xlpm.result)
)</f>
        <v/>
      </c>
      <c r="L9" t="str">
        <f ca="1">_xlfn.LET(
  _xlpm.result,
  COUNTIFS(
    'Deviation RC Data'!$O:$O, $A9,
    'Deviation RC Data'!Z:Z, "x",
    'Deviation RC Data'!$B:$B, "&gt;=" &amp; EDATE($B$1, -12),
    'Deviation RC Data'!$B:$B, "&lt;=" &amp; $B$1
  ),
  IF(_xlpm.result = 0, "", _xlpm.result)
)</f>
        <v/>
      </c>
      <c r="M9" t="str">
        <f ca="1">_xlfn.LET(
  _xlpm.result,
  COUNTIFS(
    'Deviation RC Data'!$O:$O, $A9,
    'Deviation RC Data'!AA:AA, "x",
    'Deviation RC Data'!$B:$B, "&gt;=" &amp; EDATE($B$1, -12),
    'Deviation RC Data'!$B:$B, "&lt;=" &amp; $B$1
  ),
  IF(_xlpm.result = 0, "", _xlpm.result)
)</f>
        <v/>
      </c>
      <c r="N9" t="str">
        <f ca="1">_xlfn.LET(
  _xlpm.result,
  COUNTIFS(
    'Deviation RC Data'!$O:$O, $A9,
    'Deviation RC Data'!AB:AB, "x",
    'Deviation RC Data'!$B:$B, "&gt;=" &amp; EDATE($B$1, -12),
    'Deviation RC Data'!$B:$B, "&lt;=" &amp; $B$1
  ),
  IF(_xlpm.result = 0, "", _xlpm.result)
)</f>
        <v/>
      </c>
      <c r="O9" t="str">
        <f ca="1">_xlfn.LET(
  _xlpm.result,
  COUNTIFS(
    'Deviation RC Data'!$O:$O, $A9,
    'Deviation RC Data'!AC:AC, "x",
    'Deviation RC Data'!$B:$B, "&gt;=" &amp; EDATE($B$1, -12),
    'Deviation RC Data'!$B:$B, "&lt;=" &amp; $B$1
  ),
  IF(_xlpm.result = 0, "", _xlpm.result)
)</f>
        <v/>
      </c>
      <c r="P9" t="str">
        <f ca="1">_xlfn.LET(
  _xlpm.result,
  COUNTIFS(
    'Deviation RC Data'!$O:$O, $A9,
    'Deviation RC Data'!AD:AD, "x",
    'Deviation RC Data'!$B:$B, "&gt;=" &amp; EDATE($B$1, -12),
    'Deviation RC Data'!$B:$B, "&lt;=" &amp; $B$1
  ),
  IF(_xlpm.result = 0, "", _xlpm.result)
)</f>
        <v/>
      </c>
      <c r="Q9" t="str">
        <f ca="1">_xlfn.LET(
  _xlpm.result,
  COUNTIFS(
    'Deviation RC Data'!$O:$O, $A9,
    'Deviation RC Data'!AE:AE, "x",
    'Deviation RC Data'!$B:$B, "&gt;=" &amp; EDATE($B$1, -12),
    'Deviation RC Data'!$B:$B, "&lt;=" &amp; $B$1
  ),
  IF(_xlpm.result = 0, "", _xlpm.result)
)</f>
        <v/>
      </c>
      <c r="R9" t="str">
        <f ca="1">_xlfn.LET(
  _xlpm.result,
  COUNTIFS(
    'Deviation RC Data'!$O:$O, $A9,
    'Deviation RC Data'!AF:AF, "x",
    'Deviation RC Data'!$B:$B, "&gt;=" &amp; EDATE($B$1, -12),
    'Deviation RC Data'!$B:$B, "&lt;=" &amp; $B$1
  ),
  IF(_xlpm.result = 0, "", _xlpm.result)
)</f>
        <v/>
      </c>
      <c r="S9" t="str">
        <f ca="1">_xlfn.LET(
  _xlpm.result,
  COUNTIFS(
    'Deviation RC Data'!$O:$O, $A9,
    'Deviation RC Data'!AG:AG, "x",
    'Deviation RC Data'!$B:$B, "&gt;=" &amp; EDATE($B$1, -12),
    'Deviation RC Data'!$B:$B, "&lt;=" &amp; $B$1
  ),
  IF(_xlpm.result = 0, "", _xlpm.result)
)</f>
        <v/>
      </c>
      <c r="T9" t="str">
        <f ca="1">_xlfn.LET(
  _xlpm.result,
  COUNTIFS(
    'Deviation RC Data'!$O:$O, $A9,
    'Deviation RC Data'!AH:AH, "x",
    'Deviation RC Data'!$B:$B, "&gt;=" &amp; EDATE($B$1, -12),
    'Deviation RC Data'!$B:$B, "&lt;=" &amp; $B$1
  ),
  IF(_xlpm.result = 0, "", _xlpm.result)
)</f>
        <v/>
      </c>
    </row>
    <row r="10" spans="1:20" x14ac:dyDescent="0.3">
      <c r="A10" s="81" t="s">
        <v>249</v>
      </c>
      <c r="B10" s="82">
        <f ca="1">_xlfn.LET(
  _xlpm.result,
  COUNTIFS(
    'Deviation RC Data'!$O:$O, $A10,
    'Deviation RC Data'!P:P, "x",
    'Deviation RC Data'!$B:$B, "&gt;=" &amp; EDATE($B$1, -12),
    'Deviation RC Data'!$B:$B, "&lt;=" &amp; $B$1
  ),
  IF(_xlpm.result = 0, "", _xlpm.result)
)</f>
        <v>3</v>
      </c>
      <c r="C10" s="82">
        <f ca="1">_xlfn.LET(
  _xlpm.result,
  COUNTIFS(
    'Deviation RC Data'!$O:$O, $A10,
    'Deviation RC Data'!Q:Q, "x",
    'Deviation RC Data'!$B:$B, "&gt;=" &amp; EDATE($B$1, -12),
    'Deviation RC Data'!$B:$B, "&lt;=" &amp; $B$1
  ),
  IF(_xlpm.result = 0, "", _xlpm.result)
)</f>
        <v>1</v>
      </c>
      <c r="D10" s="82" t="str">
        <f ca="1">_xlfn.LET(
  _xlpm.result,
  COUNTIFS(
    'Deviation RC Data'!$O:$O, $A10,
    'Deviation RC Data'!R:R, "x",
    'Deviation RC Data'!$B:$B, "&gt;=" &amp; EDATE($B$1, -12),
    'Deviation RC Data'!$B:$B, "&lt;=" &amp; $B$1
  ),
  IF(_xlpm.result = 0, "", _xlpm.result)
)</f>
        <v/>
      </c>
      <c r="E10" s="82" t="str">
        <f ca="1">_xlfn.LET(
  _xlpm.result,
  COUNTIFS(
    'Deviation RC Data'!$O:$O, $A10,
    'Deviation RC Data'!S:S, "x",
    'Deviation RC Data'!$B:$B, "&gt;=" &amp; EDATE($B$1, -12),
    'Deviation RC Data'!$B:$B, "&lt;=" &amp; $B$1
  ),
  IF(_xlpm.result = 0, "", _xlpm.result)
)</f>
        <v/>
      </c>
      <c r="F10" s="82" t="str">
        <f ca="1">_xlfn.LET(
  _xlpm.result,
  COUNTIFS(
    'Deviation RC Data'!$O:$O, $A10,
    'Deviation RC Data'!T:T, "x",
    'Deviation RC Data'!$B:$B, "&gt;=" &amp; EDATE($B$1, -12),
    'Deviation RC Data'!$B:$B, "&lt;=" &amp; $B$1
  ),
  IF(_xlpm.result = 0, "", _xlpm.result)
)</f>
        <v/>
      </c>
      <c r="G10" s="82" t="str">
        <f ca="1">_xlfn.LET(
  _xlpm.result,
  COUNTIFS(
    'Deviation RC Data'!$O:$O, $A10,
    'Deviation RC Data'!U:U, "x",
    'Deviation RC Data'!$B:$B, "&gt;=" &amp; EDATE($B$1, -12),
    'Deviation RC Data'!$B:$B, "&lt;=" &amp; $B$1
  ),
  IF(_xlpm.result = 0, "", _xlpm.result)
)</f>
        <v/>
      </c>
      <c r="H10" s="82">
        <f ca="1">_xlfn.LET(
  _xlpm.result,
  COUNTIFS(
    'Deviation RC Data'!$O:$O, $A10,
    'Deviation RC Data'!V:V, "x",
    'Deviation RC Data'!$B:$B, "&gt;=" &amp; EDATE($B$1, -12),
    'Deviation RC Data'!$B:$B, "&lt;=" &amp; $B$1
  ),
  IF(_xlpm.result = 0, "", _xlpm.result)
)</f>
        <v>4</v>
      </c>
      <c r="I10" s="82" t="str">
        <f ca="1">_xlfn.LET(
  _xlpm.result,
  COUNTIFS(
    'Deviation RC Data'!$O:$O, $A10,
    'Deviation RC Data'!W:W, "x",
    'Deviation RC Data'!$B:$B, "&gt;=" &amp; EDATE($B$1, -12),
    'Deviation RC Data'!$B:$B, "&lt;=" &amp; $B$1
  ),
  IF(_xlpm.result = 0, "", _xlpm.result)
)</f>
        <v/>
      </c>
      <c r="J10" s="82" t="str">
        <f ca="1">_xlfn.LET(
  _xlpm.result,
  COUNTIFS(
    'Deviation RC Data'!$O:$O, $A10,
    'Deviation RC Data'!X:X, "x",
    'Deviation RC Data'!$B:$B, "&gt;=" &amp; EDATE($B$1, -12),
    'Deviation RC Data'!$B:$B, "&lt;=" &amp; $B$1
  ),
  IF(_xlpm.result = 0, "", _xlpm.result)
)</f>
        <v/>
      </c>
      <c r="K10" s="82">
        <f ca="1">_xlfn.LET(
  _xlpm.result,
  COUNTIFS(
    'Deviation RC Data'!$O:$O, $A10,
    'Deviation RC Data'!Y:Y, "x",
    'Deviation RC Data'!$B:$B, "&gt;=" &amp; EDATE($B$1, -12),
    'Deviation RC Data'!$B:$B, "&lt;=" &amp; $B$1
  ),
  IF(_xlpm.result = 0, "", _xlpm.result)
)</f>
        <v>1</v>
      </c>
      <c r="L10" s="82" t="str">
        <f ca="1">_xlfn.LET(
  _xlpm.result,
  COUNTIFS(
    'Deviation RC Data'!$O:$O, $A10,
    'Deviation RC Data'!Z:Z, "x",
    'Deviation RC Data'!$B:$B, "&gt;=" &amp; EDATE($B$1, -12),
    'Deviation RC Data'!$B:$B, "&lt;=" &amp; $B$1
  ),
  IF(_xlpm.result = 0, "", _xlpm.result)
)</f>
        <v/>
      </c>
      <c r="M10" s="82" t="str">
        <f ca="1">_xlfn.LET(
  _xlpm.result,
  COUNTIFS(
    'Deviation RC Data'!$O:$O, $A10,
    'Deviation RC Data'!AA:AA, "x",
    'Deviation RC Data'!$B:$B, "&gt;=" &amp; EDATE($B$1, -12),
    'Deviation RC Data'!$B:$B, "&lt;=" &amp; $B$1
  ),
  IF(_xlpm.result = 0, "", _xlpm.result)
)</f>
        <v/>
      </c>
      <c r="N10" s="82" t="str">
        <f ca="1">_xlfn.LET(
  _xlpm.result,
  COUNTIFS(
    'Deviation RC Data'!$O:$O, $A10,
    'Deviation RC Data'!AB:AB, "x",
    'Deviation RC Data'!$B:$B, "&gt;=" &amp; EDATE($B$1, -12),
    'Deviation RC Data'!$B:$B, "&lt;=" &amp; $B$1
  ),
  IF(_xlpm.result = 0, "", _xlpm.result)
)</f>
        <v/>
      </c>
      <c r="O10" s="82" t="str">
        <f ca="1">_xlfn.LET(
  _xlpm.result,
  COUNTIFS(
    'Deviation RC Data'!$O:$O, $A10,
    'Deviation RC Data'!AC:AC, "x",
    'Deviation RC Data'!$B:$B, "&gt;=" &amp; EDATE($B$1, -12),
    'Deviation RC Data'!$B:$B, "&lt;=" &amp; $B$1
  ),
  IF(_xlpm.result = 0, "", _xlpm.result)
)</f>
        <v/>
      </c>
      <c r="P10" s="82" t="str">
        <f ca="1">_xlfn.LET(
  _xlpm.result,
  COUNTIFS(
    'Deviation RC Data'!$O:$O, $A10,
    'Deviation RC Data'!AD:AD, "x",
    'Deviation RC Data'!$B:$B, "&gt;=" &amp; EDATE($B$1, -12),
    'Deviation RC Data'!$B:$B, "&lt;=" &amp; $B$1
  ),
  IF(_xlpm.result = 0, "", _xlpm.result)
)</f>
        <v/>
      </c>
      <c r="Q10" s="82" t="str">
        <f ca="1">_xlfn.LET(
  _xlpm.result,
  COUNTIFS(
    'Deviation RC Data'!$O:$O, $A10,
    'Deviation RC Data'!AE:AE, "x",
    'Deviation RC Data'!$B:$B, "&gt;=" &amp; EDATE($B$1, -12),
    'Deviation RC Data'!$B:$B, "&lt;=" &amp; $B$1
  ),
  IF(_xlpm.result = 0, "", _xlpm.result)
)</f>
        <v/>
      </c>
      <c r="R10" s="82" t="str">
        <f ca="1">_xlfn.LET(
  _xlpm.result,
  COUNTIFS(
    'Deviation RC Data'!$O:$O, $A10,
    'Deviation RC Data'!AF:AF, "x",
    'Deviation RC Data'!$B:$B, "&gt;=" &amp; EDATE($B$1, -12),
    'Deviation RC Data'!$B:$B, "&lt;=" &amp; $B$1
  ),
  IF(_xlpm.result = 0, "", _xlpm.result)
)</f>
        <v/>
      </c>
      <c r="S10" s="82" t="str">
        <f ca="1">_xlfn.LET(
  _xlpm.result,
  COUNTIFS(
    'Deviation RC Data'!$O:$O, $A10,
    'Deviation RC Data'!AG:AG, "x",
    'Deviation RC Data'!$B:$B, "&gt;=" &amp; EDATE($B$1, -12),
    'Deviation RC Data'!$B:$B, "&lt;=" &amp; $B$1
  ),
  IF(_xlpm.result = 0, "", _xlpm.result)
)</f>
        <v/>
      </c>
      <c r="T10" s="82" t="str">
        <f ca="1">_xlfn.LET(
  _xlpm.result,
  COUNTIFS(
    'Deviation RC Data'!$O:$O, $A10,
    'Deviation RC Data'!AH:AH, "x",
    'Deviation RC Data'!$B:$B, "&gt;=" &amp; EDATE($B$1, -12),
    'Deviation RC Data'!$B:$B, "&lt;=" &amp; $B$1
  ),
  IF(_xlpm.result = 0, "", _xlpm.result)
)</f>
        <v/>
      </c>
    </row>
    <row r="11" spans="1:20" x14ac:dyDescent="0.3">
      <c r="A11" s="76" t="s">
        <v>263</v>
      </c>
      <c r="B11" t="str">
        <f ca="1">_xlfn.LET(
  _xlpm.result,
  COUNTIFS(
    'Deviation RC Data'!$O:$O, $A11,
    'Deviation RC Data'!P:P, "x",
    'Deviation RC Data'!$B:$B, "&gt;=" &amp; EDATE($B$1, -12),
    'Deviation RC Data'!$B:$B, "&lt;=" &amp; $B$1
  ),
  IF(_xlpm.result = 0, "", _xlpm.result)
)</f>
        <v/>
      </c>
      <c r="C11" t="str">
        <f ca="1">_xlfn.LET(
  _xlpm.result,
  COUNTIFS(
    'Deviation RC Data'!$O:$O, $A11,
    'Deviation RC Data'!Q:Q, "x",
    'Deviation RC Data'!$B:$B, "&gt;=" &amp; EDATE($B$1, -12),
    'Deviation RC Data'!$B:$B, "&lt;=" &amp; $B$1
  ),
  IF(_xlpm.result = 0, "", _xlpm.result)
)</f>
        <v/>
      </c>
      <c r="D11" t="str">
        <f ca="1">_xlfn.LET(
  _xlpm.result,
  COUNTIFS(
    'Deviation RC Data'!$O:$O, $A11,
    'Deviation RC Data'!R:R, "x",
    'Deviation RC Data'!$B:$B, "&gt;=" &amp; EDATE($B$1, -12),
    'Deviation RC Data'!$B:$B, "&lt;=" &amp; $B$1
  ),
  IF(_xlpm.result = 0, "", _xlpm.result)
)</f>
        <v/>
      </c>
      <c r="E11" t="str">
        <f ca="1">_xlfn.LET(
  _xlpm.result,
  COUNTIFS(
    'Deviation RC Data'!$O:$O, $A11,
    'Deviation RC Data'!S:S, "x",
    'Deviation RC Data'!$B:$B, "&gt;=" &amp; EDATE($B$1, -12),
    'Deviation RC Data'!$B:$B, "&lt;=" &amp; $B$1
  ),
  IF(_xlpm.result = 0, "", _xlpm.result)
)</f>
        <v/>
      </c>
      <c r="F11" t="str">
        <f ca="1">_xlfn.LET(
  _xlpm.result,
  COUNTIFS(
    'Deviation RC Data'!$O:$O, $A11,
    'Deviation RC Data'!T:T, "x",
    'Deviation RC Data'!$B:$B, "&gt;=" &amp; EDATE($B$1, -12),
    'Deviation RC Data'!$B:$B, "&lt;=" &amp; $B$1
  ),
  IF(_xlpm.result = 0, "", _xlpm.result)
)</f>
        <v/>
      </c>
      <c r="G11" t="str">
        <f ca="1">_xlfn.LET(
  _xlpm.result,
  COUNTIFS(
    'Deviation RC Data'!$O:$O, $A11,
    'Deviation RC Data'!U:U, "x",
    'Deviation RC Data'!$B:$B, "&gt;=" &amp; EDATE($B$1, -12),
    'Deviation RC Data'!$B:$B, "&lt;=" &amp; $B$1
  ),
  IF(_xlpm.result = 0, "", _xlpm.result)
)</f>
        <v/>
      </c>
      <c r="H11" t="str">
        <f ca="1">_xlfn.LET(
  _xlpm.result,
  COUNTIFS(
    'Deviation RC Data'!$O:$O, $A11,
    'Deviation RC Data'!V:V, "x",
    'Deviation RC Data'!$B:$B, "&gt;=" &amp; EDATE($B$1, -12),
    'Deviation RC Data'!$B:$B, "&lt;=" &amp; $B$1
  ),
  IF(_xlpm.result = 0, "", _xlpm.result)
)</f>
        <v/>
      </c>
      <c r="I11">
        <f ca="1">_xlfn.LET(
  _xlpm.result,
  COUNTIFS(
    'Deviation RC Data'!$O:$O, $A11,
    'Deviation RC Data'!W:W, "x",
    'Deviation RC Data'!$B:$B, "&gt;=" &amp; EDATE($B$1, -12),
    'Deviation RC Data'!$B:$B, "&lt;=" &amp; $B$1
  ),
  IF(_xlpm.result = 0, "", _xlpm.result)
)</f>
        <v>1</v>
      </c>
      <c r="J11" t="str">
        <f ca="1">_xlfn.LET(
  _xlpm.result,
  COUNTIFS(
    'Deviation RC Data'!$O:$O, $A11,
    'Deviation RC Data'!X:X, "x",
    'Deviation RC Data'!$B:$B, "&gt;=" &amp; EDATE($B$1, -12),
    'Deviation RC Data'!$B:$B, "&lt;=" &amp; $B$1
  ),
  IF(_xlpm.result = 0, "", _xlpm.result)
)</f>
        <v/>
      </c>
      <c r="K11" t="str">
        <f ca="1">_xlfn.LET(
  _xlpm.result,
  COUNTIFS(
    'Deviation RC Data'!$O:$O, $A11,
    'Deviation RC Data'!Y:Y, "x",
    'Deviation RC Data'!$B:$B, "&gt;=" &amp; EDATE($B$1, -12),
    'Deviation RC Data'!$B:$B, "&lt;=" &amp; $B$1
  ),
  IF(_xlpm.result = 0, "", _xlpm.result)
)</f>
        <v/>
      </c>
      <c r="L11" t="str">
        <f ca="1">_xlfn.LET(
  _xlpm.result,
  COUNTIFS(
    'Deviation RC Data'!$O:$O, $A11,
    'Deviation RC Data'!Z:Z, "x",
    'Deviation RC Data'!$B:$B, "&gt;=" &amp; EDATE($B$1, -12),
    'Deviation RC Data'!$B:$B, "&lt;=" &amp; $B$1
  ),
  IF(_xlpm.result = 0, "", _xlpm.result)
)</f>
        <v/>
      </c>
      <c r="M11" t="str">
        <f ca="1">_xlfn.LET(
  _xlpm.result,
  COUNTIFS(
    'Deviation RC Data'!$O:$O, $A11,
    'Deviation RC Data'!AA:AA, "x",
    'Deviation RC Data'!$B:$B, "&gt;=" &amp; EDATE($B$1, -12),
    'Deviation RC Data'!$B:$B, "&lt;=" &amp; $B$1
  ),
  IF(_xlpm.result = 0, "", _xlpm.result)
)</f>
        <v/>
      </c>
      <c r="N11" t="str">
        <f ca="1">_xlfn.LET(
  _xlpm.result,
  COUNTIFS(
    'Deviation RC Data'!$O:$O, $A11,
    'Deviation RC Data'!AB:AB, "x",
    'Deviation RC Data'!$B:$B, "&gt;=" &amp; EDATE($B$1, -12),
    'Deviation RC Data'!$B:$B, "&lt;=" &amp; $B$1
  ),
  IF(_xlpm.result = 0, "", _xlpm.result)
)</f>
        <v/>
      </c>
      <c r="O11" t="str">
        <f ca="1">_xlfn.LET(
  _xlpm.result,
  COUNTIFS(
    'Deviation RC Data'!$O:$O, $A11,
    'Deviation RC Data'!AC:AC, "x",
    'Deviation RC Data'!$B:$B, "&gt;=" &amp; EDATE($B$1, -12),
    'Deviation RC Data'!$B:$B, "&lt;=" &amp; $B$1
  ),
  IF(_xlpm.result = 0, "", _xlpm.result)
)</f>
        <v/>
      </c>
      <c r="P11" t="str">
        <f ca="1">_xlfn.LET(
  _xlpm.result,
  COUNTIFS(
    'Deviation RC Data'!$O:$O, $A11,
    'Deviation RC Data'!AD:AD, "x",
    'Deviation RC Data'!$B:$B, "&gt;=" &amp; EDATE($B$1, -12),
    'Deviation RC Data'!$B:$B, "&lt;=" &amp; $B$1
  ),
  IF(_xlpm.result = 0, "", _xlpm.result)
)</f>
        <v/>
      </c>
      <c r="Q11" t="str">
        <f ca="1">_xlfn.LET(
  _xlpm.result,
  COUNTIFS(
    'Deviation RC Data'!$O:$O, $A11,
    'Deviation RC Data'!AE:AE, "x",
    'Deviation RC Data'!$B:$B, "&gt;=" &amp; EDATE($B$1, -12),
    'Deviation RC Data'!$B:$B, "&lt;=" &amp; $B$1
  ),
  IF(_xlpm.result = 0, "", _xlpm.result)
)</f>
        <v/>
      </c>
      <c r="R11" t="str">
        <f ca="1">_xlfn.LET(
  _xlpm.result,
  COUNTIFS(
    'Deviation RC Data'!$O:$O, $A11,
    'Deviation RC Data'!AF:AF, "x",
    'Deviation RC Data'!$B:$B, "&gt;=" &amp; EDATE($B$1, -12),
    'Deviation RC Data'!$B:$B, "&lt;=" &amp; $B$1
  ),
  IF(_xlpm.result = 0, "", _xlpm.result)
)</f>
        <v/>
      </c>
      <c r="S11" t="str">
        <f ca="1">_xlfn.LET(
  _xlpm.result,
  COUNTIFS(
    'Deviation RC Data'!$O:$O, $A11,
    'Deviation RC Data'!AG:AG, "x",
    'Deviation RC Data'!$B:$B, "&gt;=" &amp; EDATE($B$1, -12),
    'Deviation RC Data'!$B:$B, "&lt;=" &amp; $B$1
  ),
  IF(_xlpm.result = 0, "", _xlpm.result)
)</f>
        <v/>
      </c>
      <c r="T11" t="str">
        <f ca="1">_xlfn.LET(
  _xlpm.result,
  COUNTIFS(
    'Deviation RC Data'!$O:$O, $A11,
    'Deviation RC Data'!AH:AH, "x",
    'Deviation RC Data'!$B:$B, "&gt;=" &amp; EDATE($B$1, -12),
    'Deviation RC Data'!$B:$B, "&lt;=" &amp; $B$1
  ),
  IF(_xlpm.result = 0, "", _xlpm.result)
)</f>
        <v/>
      </c>
    </row>
    <row r="12" spans="1:20" x14ac:dyDescent="0.3">
      <c r="A12" s="81" t="s">
        <v>117</v>
      </c>
      <c r="B12" s="82">
        <f ca="1">_xlfn.LET(
  _xlpm.result,
  COUNTIFS(
    'Deviation RC Data'!$O:$O, $A12,
    'Deviation RC Data'!P:P, "x",
    'Deviation RC Data'!$B:$B, "&gt;=" &amp; EDATE($B$1, -12),
    'Deviation RC Data'!$B:$B, "&lt;=" &amp; $B$1
  ),
  IF(_xlpm.result = 0, "", _xlpm.result)
)</f>
        <v>1</v>
      </c>
      <c r="C12" s="82" t="str">
        <f ca="1">_xlfn.LET(
  _xlpm.result,
  COUNTIFS(
    'Deviation RC Data'!$O:$O, $A12,
    'Deviation RC Data'!Q:Q, "x",
    'Deviation RC Data'!$B:$B, "&gt;=" &amp; EDATE($B$1, -12),
    'Deviation RC Data'!$B:$B, "&lt;=" &amp; $B$1
  ),
  IF(_xlpm.result = 0, "", _xlpm.result)
)</f>
        <v/>
      </c>
      <c r="D12" s="82" t="str">
        <f ca="1">_xlfn.LET(
  _xlpm.result,
  COUNTIFS(
    'Deviation RC Data'!$O:$O, $A12,
    'Deviation RC Data'!R:R, "x",
    'Deviation RC Data'!$B:$B, "&gt;=" &amp; EDATE($B$1, -12),
    'Deviation RC Data'!$B:$B, "&lt;=" &amp; $B$1
  ),
  IF(_xlpm.result = 0, "", _xlpm.result)
)</f>
        <v/>
      </c>
      <c r="E12" s="82" t="str">
        <f ca="1">_xlfn.LET(
  _xlpm.result,
  COUNTIFS(
    'Deviation RC Data'!$O:$O, $A12,
    'Deviation RC Data'!S:S, "x",
    'Deviation RC Data'!$B:$B, "&gt;=" &amp; EDATE($B$1, -12),
    'Deviation RC Data'!$B:$B, "&lt;=" &amp; $B$1
  ),
  IF(_xlpm.result = 0, "", _xlpm.result)
)</f>
        <v/>
      </c>
      <c r="F12" s="82" t="str">
        <f ca="1">_xlfn.LET(
  _xlpm.result,
  COUNTIFS(
    'Deviation RC Data'!$O:$O, $A12,
    'Deviation RC Data'!T:T, "x",
    'Deviation RC Data'!$B:$B, "&gt;=" &amp; EDATE($B$1, -12),
    'Deviation RC Data'!$B:$B, "&lt;=" &amp; $B$1
  ),
  IF(_xlpm.result = 0, "", _xlpm.result)
)</f>
        <v/>
      </c>
      <c r="G12" s="82" t="str">
        <f ca="1">_xlfn.LET(
  _xlpm.result,
  COUNTIFS(
    'Deviation RC Data'!$O:$O, $A12,
    'Deviation RC Data'!U:U, "x",
    'Deviation RC Data'!$B:$B, "&gt;=" &amp; EDATE($B$1, -12),
    'Deviation RC Data'!$B:$B, "&lt;=" &amp; $B$1
  ),
  IF(_xlpm.result = 0, "", _xlpm.result)
)</f>
        <v/>
      </c>
      <c r="H12" s="82">
        <f ca="1">_xlfn.LET(
  _xlpm.result,
  COUNTIFS(
    'Deviation RC Data'!$O:$O, $A12,
    'Deviation RC Data'!V:V, "x",
    'Deviation RC Data'!$B:$B, "&gt;=" &amp; EDATE($B$1, -12),
    'Deviation RC Data'!$B:$B, "&lt;=" &amp; $B$1
  ),
  IF(_xlpm.result = 0, "", _xlpm.result)
)</f>
        <v>2</v>
      </c>
      <c r="I12" s="82" t="str">
        <f ca="1">_xlfn.LET(
  _xlpm.result,
  COUNTIFS(
    'Deviation RC Data'!$O:$O, $A12,
    'Deviation RC Data'!W:W, "x",
    'Deviation RC Data'!$B:$B, "&gt;=" &amp; EDATE($B$1, -12),
    'Deviation RC Data'!$B:$B, "&lt;=" &amp; $B$1
  ),
  IF(_xlpm.result = 0, "", _xlpm.result)
)</f>
        <v/>
      </c>
      <c r="J12" s="82" t="str">
        <f ca="1">_xlfn.LET(
  _xlpm.result,
  COUNTIFS(
    'Deviation RC Data'!$O:$O, $A12,
    'Deviation RC Data'!X:X, "x",
    'Deviation RC Data'!$B:$B, "&gt;=" &amp; EDATE($B$1, -12),
    'Deviation RC Data'!$B:$B, "&lt;=" &amp; $B$1
  ),
  IF(_xlpm.result = 0, "", _xlpm.result)
)</f>
        <v/>
      </c>
      <c r="K12" s="82" t="str">
        <f ca="1">_xlfn.LET(
  _xlpm.result,
  COUNTIFS(
    'Deviation RC Data'!$O:$O, $A12,
    'Deviation RC Data'!Y:Y, "x",
    'Deviation RC Data'!$B:$B, "&gt;=" &amp; EDATE($B$1, -12),
    'Deviation RC Data'!$B:$B, "&lt;=" &amp; $B$1
  ),
  IF(_xlpm.result = 0, "", _xlpm.result)
)</f>
        <v/>
      </c>
      <c r="L12" s="82" t="str">
        <f ca="1">_xlfn.LET(
  _xlpm.result,
  COUNTIFS(
    'Deviation RC Data'!$O:$O, $A12,
    'Deviation RC Data'!Z:Z, "x",
    'Deviation RC Data'!$B:$B, "&gt;=" &amp; EDATE($B$1, -12),
    'Deviation RC Data'!$B:$B, "&lt;=" &amp; $B$1
  ),
  IF(_xlpm.result = 0, "", _xlpm.result)
)</f>
        <v/>
      </c>
      <c r="M12" s="82" t="str">
        <f ca="1">_xlfn.LET(
  _xlpm.result,
  COUNTIFS(
    'Deviation RC Data'!$O:$O, $A12,
    'Deviation RC Data'!AA:AA, "x",
    'Deviation RC Data'!$B:$B, "&gt;=" &amp; EDATE($B$1, -12),
    'Deviation RC Data'!$B:$B, "&lt;=" &amp; $B$1
  ),
  IF(_xlpm.result = 0, "", _xlpm.result)
)</f>
        <v/>
      </c>
      <c r="N12" s="82" t="str">
        <f ca="1">_xlfn.LET(
  _xlpm.result,
  COUNTIFS(
    'Deviation RC Data'!$O:$O, $A12,
    'Deviation RC Data'!AB:AB, "x",
    'Deviation RC Data'!$B:$B, "&gt;=" &amp; EDATE($B$1, -12),
    'Deviation RC Data'!$B:$B, "&lt;=" &amp; $B$1
  ),
  IF(_xlpm.result = 0, "", _xlpm.result)
)</f>
        <v/>
      </c>
      <c r="O12" s="82" t="str">
        <f ca="1">_xlfn.LET(
  _xlpm.result,
  COUNTIFS(
    'Deviation RC Data'!$O:$O, $A12,
    'Deviation RC Data'!AC:AC, "x",
    'Deviation RC Data'!$B:$B, "&gt;=" &amp; EDATE($B$1, -12),
    'Deviation RC Data'!$B:$B, "&lt;=" &amp; $B$1
  ),
  IF(_xlpm.result = 0, "", _xlpm.result)
)</f>
        <v/>
      </c>
      <c r="P12" s="82" t="str">
        <f ca="1">_xlfn.LET(
  _xlpm.result,
  COUNTIFS(
    'Deviation RC Data'!$O:$O, $A12,
    'Deviation RC Data'!AD:AD, "x",
    'Deviation RC Data'!$B:$B, "&gt;=" &amp; EDATE($B$1, -12),
    'Deviation RC Data'!$B:$B, "&lt;=" &amp; $B$1
  ),
  IF(_xlpm.result = 0, "", _xlpm.result)
)</f>
        <v/>
      </c>
      <c r="Q12" s="82" t="str">
        <f ca="1">_xlfn.LET(
  _xlpm.result,
  COUNTIFS(
    'Deviation RC Data'!$O:$O, $A12,
    'Deviation RC Data'!AE:AE, "x",
    'Deviation RC Data'!$B:$B, "&gt;=" &amp; EDATE($B$1, -12),
    'Deviation RC Data'!$B:$B, "&lt;=" &amp; $B$1
  ),
  IF(_xlpm.result = 0, "", _xlpm.result)
)</f>
        <v/>
      </c>
      <c r="R12" s="82" t="str">
        <f ca="1">_xlfn.LET(
  _xlpm.result,
  COUNTIFS(
    'Deviation RC Data'!$O:$O, $A12,
    'Deviation RC Data'!AF:AF, "x",
    'Deviation RC Data'!$B:$B, "&gt;=" &amp; EDATE($B$1, -12),
    'Deviation RC Data'!$B:$B, "&lt;=" &amp; $B$1
  ),
  IF(_xlpm.result = 0, "", _xlpm.result)
)</f>
        <v/>
      </c>
      <c r="S12" s="82" t="str">
        <f ca="1">_xlfn.LET(
  _xlpm.result,
  COUNTIFS(
    'Deviation RC Data'!$O:$O, $A12,
    'Deviation RC Data'!AG:AG, "x",
    'Deviation RC Data'!$B:$B, "&gt;=" &amp; EDATE($B$1, -12),
    'Deviation RC Data'!$B:$B, "&lt;=" &amp; $B$1
  ),
  IF(_xlpm.result = 0, "", _xlpm.result)
)</f>
        <v/>
      </c>
      <c r="T12" s="82" t="str">
        <f ca="1">_xlfn.LET(
  _xlpm.result,
  COUNTIFS(
    'Deviation RC Data'!$O:$O, $A12,
    'Deviation RC Data'!AH:AH, "x",
    'Deviation RC Data'!$B:$B, "&gt;=" &amp; EDATE($B$1, -12),
    'Deviation RC Data'!$B:$B, "&lt;=" &amp; $B$1
  ),
  IF(_xlpm.result = 0, "", _xlpm.result)
)</f>
        <v/>
      </c>
    </row>
    <row r="13" spans="1:20" x14ac:dyDescent="0.3">
      <c r="A13" s="76" t="s">
        <v>118</v>
      </c>
      <c r="B13" t="str">
        <f ca="1">_xlfn.LET(
  _xlpm.result,
  COUNTIFS(
    'Deviation RC Data'!$O:$O, $A13,
    'Deviation RC Data'!P:P, "x",
    'Deviation RC Data'!$B:$B, "&gt;=" &amp; EDATE($B$1, -12),
    'Deviation RC Data'!$B:$B, "&lt;=" &amp; $B$1
  ),
  IF(_xlpm.result = 0, "", _xlpm.result)
)</f>
        <v/>
      </c>
      <c r="C13" t="str">
        <f ca="1">_xlfn.LET(
  _xlpm.result,
  COUNTIFS(
    'Deviation RC Data'!$O:$O, $A13,
    'Deviation RC Data'!Q:Q, "x",
    'Deviation RC Data'!$B:$B, "&gt;=" &amp; EDATE($B$1, -12),
    'Deviation RC Data'!$B:$B, "&lt;=" &amp; $B$1
  ),
  IF(_xlpm.result = 0, "", _xlpm.result)
)</f>
        <v/>
      </c>
      <c r="D13" t="str">
        <f ca="1">_xlfn.LET(
  _xlpm.result,
  COUNTIFS(
    'Deviation RC Data'!$O:$O, $A13,
    'Deviation RC Data'!R:R, "x",
    'Deviation RC Data'!$B:$B, "&gt;=" &amp; EDATE($B$1, -12),
    'Deviation RC Data'!$B:$B, "&lt;=" &amp; $B$1
  ),
  IF(_xlpm.result = 0, "", _xlpm.result)
)</f>
        <v/>
      </c>
      <c r="E13" t="str">
        <f ca="1">_xlfn.LET(
  _xlpm.result,
  COUNTIFS(
    'Deviation RC Data'!$O:$O, $A13,
    'Deviation RC Data'!S:S, "x",
    'Deviation RC Data'!$B:$B, "&gt;=" &amp; EDATE($B$1, -12),
    'Deviation RC Data'!$B:$B, "&lt;=" &amp; $B$1
  ),
  IF(_xlpm.result = 0, "", _xlpm.result)
)</f>
        <v/>
      </c>
      <c r="F13" t="str">
        <f ca="1">_xlfn.LET(
  _xlpm.result,
  COUNTIFS(
    'Deviation RC Data'!$O:$O, $A13,
    'Deviation RC Data'!T:T, "x",
    'Deviation RC Data'!$B:$B, "&gt;=" &amp; EDATE($B$1, -12),
    'Deviation RC Data'!$B:$B, "&lt;=" &amp; $B$1
  ),
  IF(_xlpm.result = 0, "", _xlpm.result)
)</f>
        <v/>
      </c>
      <c r="G13" t="str">
        <f ca="1">_xlfn.LET(
  _xlpm.result,
  COUNTIFS(
    'Deviation RC Data'!$O:$O, $A13,
    'Deviation RC Data'!U:U, "x",
    'Deviation RC Data'!$B:$B, "&gt;=" &amp; EDATE($B$1, -12),
    'Deviation RC Data'!$B:$B, "&lt;=" &amp; $B$1
  ),
  IF(_xlpm.result = 0, "", _xlpm.result)
)</f>
        <v/>
      </c>
      <c r="H13" t="str">
        <f ca="1">_xlfn.LET(
  _xlpm.result,
  COUNTIFS(
    'Deviation RC Data'!$O:$O, $A13,
    'Deviation RC Data'!V:V, "x",
    'Deviation RC Data'!$B:$B, "&gt;=" &amp; EDATE($B$1, -12),
    'Deviation RC Data'!$B:$B, "&lt;=" &amp; $B$1
  ),
  IF(_xlpm.result = 0, "", _xlpm.result)
)</f>
        <v/>
      </c>
      <c r="I13" t="str">
        <f ca="1">_xlfn.LET(
  _xlpm.result,
  COUNTIFS(
    'Deviation RC Data'!$O:$O, $A13,
    'Deviation RC Data'!W:W, "x",
    'Deviation RC Data'!$B:$B, "&gt;=" &amp; EDATE($B$1, -12),
    'Deviation RC Data'!$B:$B, "&lt;=" &amp; $B$1
  ),
  IF(_xlpm.result = 0, "", _xlpm.result)
)</f>
        <v/>
      </c>
      <c r="J13" t="str">
        <f ca="1">_xlfn.LET(
  _xlpm.result,
  COUNTIFS(
    'Deviation RC Data'!$O:$O, $A13,
    'Deviation RC Data'!X:X, "x",
    'Deviation RC Data'!$B:$B, "&gt;=" &amp; EDATE($B$1, -12),
    'Deviation RC Data'!$B:$B, "&lt;=" &amp; $B$1
  ),
  IF(_xlpm.result = 0, "", _xlpm.result)
)</f>
        <v/>
      </c>
      <c r="K13" t="str">
        <f ca="1">_xlfn.LET(
  _xlpm.result,
  COUNTIFS(
    'Deviation RC Data'!$O:$O, $A13,
    'Deviation RC Data'!Y:Y, "x",
    'Deviation RC Data'!$B:$B, "&gt;=" &amp; EDATE($B$1, -12),
    'Deviation RC Data'!$B:$B, "&lt;=" &amp; $B$1
  ),
  IF(_xlpm.result = 0, "", _xlpm.result)
)</f>
        <v/>
      </c>
      <c r="L13" t="str">
        <f ca="1">_xlfn.LET(
  _xlpm.result,
  COUNTIFS(
    'Deviation RC Data'!$O:$O, $A13,
    'Deviation RC Data'!Z:Z, "x",
    'Deviation RC Data'!$B:$B, "&gt;=" &amp; EDATE($B$1, -12),
    'Deviation RC Data'!$B:$B, "&lt;=" &amp; $B$1
  ),
  IF(_xlpm.result = 0, "", _xlpm.result)
)</f>
        <v/>
      </c>
      <c r="M13" t="str">
        <f ca="1">_xlfn.LET(
  _xlpm.result,
  COUNTIFS(
    'Deviation RC Data'!$O:$O, $A13,
    'Deviation RC Data'!AA:AA, "x",
    'Deviation RC Data'!$B:$B, "&gt;=" &amp; EDATE($B$1, -12),
    'Deviation RC Data'!$B:$B, "&lt;=" &amp; $B$1
  ),
  IF(_xlpm.result = 0, "", _xlpm.result)
)</f>
        <v/>
      </c>
      <c r="N13" t="str">
        <f ca="1">_xlfn.LET(
  _xlpm.result,
  COUNTIFS(
    'Deviation RC Data'!$O:$O, $A13,
    'Deviation RC Data'!AB:AB, "x",
    'Deviation RC Data'!$B:$B, "&gt;=" &amp; EDATE($B$1, -12),
    'Deviation RC Data'!$B:$B, "&lt;=" &amp; $B$1
  ),
  IF(_xlpm.result = 0, "", _xlpm.result)
)</f>
        <v/>
      </c>
      <c r="O13" t="str">
        <f ca="1">_xlfn.LET(
  _xlpm.result,
  COUNTIFS(
    'Deviation RC Data'!$O:$O, $A13,
    'Deviation RC Data'!AC:AC, "x",
    'Deviation RC Data'!$B:$B, "&gt;=" &amp; EDATE($B$1, -12),
    'Deviation RC Data'!$B:$B, "&lt;=" &amp; $B$1
  ),
  IF(_xlpm.result = 0, "", _xlpm.result)
)</f>
        <v/>
      </c>
      <c r="P13" t="str">
        <f ca="1">_xlfn.LET(
  _xlpm.result,
  COUNTIFS(
    'Deviation RC Data'!$O:$O, $A13,
    'Deviation RC Data'!AD:AD, "x",
    'Deviation RC Data'!$B:$B, "&gt;=" &amp; EDATE($B$1, -12),
    'Deviation RC Data'!$B:$B, "&lt;=" &amp; $B$1
  ),
  IF(_xlpm.result = 0, "", _xlpm.result)
)</f>
        <v/>
      </c>
      <c r="Q13" t="str">
        <f ca="1">_xlfn.LET(
  _xlpm.result,
  COUNTIFS(
    'Deviation RC Data'!$O:$O, $A13,
    'Deviation RC Data'!AE:AE, "x",
    'Deviation RC Data'!$B:$B, "&gt;=" &amp; EDATE($B$1, -12),
    'Deviation RC Data'!$B:$B, "&lt;=" &amp; $B$1
  ),
  IF(_xlpm.result = 0, "", _xlpm.result)
)</f>
        <v/>
      </c>
      <c r="R13" t="str">
        <f ca="1">_xlfn.LET(
  _xlpm.result,
  COUNTIFS(
    'Deviation RC Data'!$O:$O, $A13,
    'Deviation RC Data'!AF:AF, "x",
    'Deviation RC Data'!$B:$B, "&gt;=" &amp; EDATE($B$1, -12),
    'Deviation RC Data'!$B:$B, "&lt;=" &amp; $B$1
  ),
  IF(_xlpm.result = 0, "", _xlpm.result)
)</f>
        <v/>
      </c>
      <c r="S13" t="str">
        <f ca="1">_xlfn.LET(
  _xlpm.result,
  COUNTIFS(
    'Deviation RC Data'!$O:$O, $A13,
    'Deviation RC Data'!AG:AG, "x",
    'Deviation RC Data'!$B:$B, "&gt;=" &amp; EDATE($B$1, -12),
    'Deviation RC Data'!$B:$B, "&lt;=" &amp; $B$1
  ),
  IF(_xlpm.result = 0, "", _xlpm.result)
)</f>
        <v/>
      </c>
      <c r="T13" t="str">
        <f ca="1">_xlfn.LET(
  _xlpm.result,
  COUNTIFS(
    'Deviation RC Data'!$O:$O, $A13,
    'Deviation RC Data'!AH:AH, "x",
    'Deviation RC Data'!$B:$B, "&gt;=" &amp; EDATE($B$1, -12),
    'Deviation RC Data'!$B:$B, "&lt;=" &amp; $B$1
  ),
  IF(_xlpm.result = 0, "", _xlpm.result)
)</f>
        <v/>
      </c>
    </row>
    <row r="14" spans="1:20" x14ac:dyDescent="0.3">
      <c r="A14" s="81" t="s">
        <v>119</v>
      </c>
      <c r="B14" s="82" t="str">
        <f ca="1">_xlfn.LET(
  _xlpm.result,
  COUNTIFS(
    'Deviation RC Data'!$O:$O, $A14,
    'Deviation RC Data'!P:P, "x",
    'Deviation RC Data'!$B:$B, "&gt;=" &amp; EDATE($B$1, -12),
    'Deviation RC Data'!$B:$B, "&lt;=" &amp; $B$1
  ),
  IF(_xlpm.result = 0, "", _xlpm.result)
)</f>
        <v/>
      </c>
      <c r="C14" s="82" t="str">
        <f ca="1">_xlfn.LET(
  _xlpm.result,
  COUNTIFS(
    'Deviation RC Data'!$O:$O, $A14,
    'Deviation RC Data'!Q:Q, "x",
    'Deviation RC Data'!$B:$B, "&gt;=" &amp; EDATE($B$1, -12),
    'Deviation RC Data'!$B:$B, "&lt;=" &amp; $B$1
  ),
  IF(_xlpm.result = 0, "", _xlpm.result)
)</f>
        <v/>
      </c>
      <c r="D14" s="82" t="str">
        <f ca="1">_xlfn.LET(
  _xlpm.result,
  COUNTIFS(
    'Deviation RC Data'!$O:$O, $A14,
    'Deviation RC Data'!R:R, "x",
    'Deviation RC Data'!$B:$B, "&gt;=" &amp; EDATE($B$1, -12),
    'Deviation RC Data'!$B:$B, "&lt;=" &amp; $B$1
  ),
  IF(_xlpm.result = 0, "", _xlpm.result)
)</f>
        <v/>
      </c>
      <c r="E14" s="82" t="str">
        <f ca="1">_xlfn.LET(
  _xlpm.result,
  COUNTIFS(
    'Deviation RC Data'!$O:$O, $A14,
    'Deviation RC Data'!S:S, "x",
    'Deviation RC Data'!$B:$B, "&gt;=" &amp; EDATE($B$1, -12),
    'Deviation RC Data'!$B:$B, "&lt;=" &amp; $B$1
  ),
  IF(_xlpm.result = 0, "", _xlpm.result)
)</f>
        <v/>
      </c>
      <c r="F14" s="82">
        <f ca="1">_xlfn.LET(
  _xlpm.result,
  COUNTIFS(
    'Deviation RC Data'!$O:$O, $A14,
    'Deviation RC Data'!T:T, "x",
    'Deviation RC Data'!$B:$B, "&gt;=" &amp; EDATE($B$1, -12),
    'Deviation RC Data'!$B:$B, "&lt;=" &amp; $B$1
  ),
  IF(_xlpm.result = 0, "", _xlpm.result)
)</f>
        <v>2</v>
      </c>
      <c r="G14" s="82" t="str">
        <f ca="1">_xlfn.LET(
  _xlpm.result,
  COUNTIFS(
    'Deviation RC Data'!$O:$O, $A14,
    'Deviation RC Data'!U:U, "x",
    'Deviation RC Data'!$B:$B, "&gt;=" &amp; EDATE($B$1, -12),
    'Deviation RC Data'!$B:$B, "&lt;=" &amp; $B$1
  ),
  IF(_xlpm.result = 0, "", _xlpm.result)
)</f>
        <v/>
      </c>
      <c r="H14" s="82">
        <f ca="1">_xlfn.LET(
  _xlpm.result,
  COUNTIFS(
    'Deviation RC Data'!$O:$O, $A14,
    'Deviation RC Data'!V:V, "x",
    'Deviation RC Data'!$B:$B, "&gt;=" &amp; EDATE($B$1, -12),
    'Deviation RC Data'!$B:$B, "&lt;=" &amp; $B$1
  ),
  IF(_xlpm.result = 0, "", _xlpm.result)
)</f>
        <v>2</v>
      </c>
      <c r="I14" s="82" t="str">
        <f ca="1">_xlfn.LET(
  _xlpm.result,
  COUNTIFS(
    'Deviation RC Data'!$O:$O, $A14,
    'Deviation RC Data'!W:W, "x",
    'Deviation RC Data'!$B:$B, "&gt;=" &amp; EDATE($B$1, -12),
    'Deviation RC Data'!$B:$B, "&lt;=" &amp; $B$1
  ),
  IF(_xlpm.result = 0, "", _xlpm.result)
)</f>
        <v/>
      </c>
      <c r="J14" s="82" t="str">
        <f ca="1">_xlfn.LET(
  _xlpm.result,
  COUNTIFS(
    'Deviation RC Data'!$O:$O, $A14,
    'Deviation RC Data'!X:X, "x",
    'Deviation RC Data'!$B:$B, "&gt;=" &amp; EDATE($B$1, -12),
    'Deviation RC Data'!$B:$B, "&lt;=" &amp; $B$1
  ),
  IF(_xlpm.result = 0, "", _xlpm.result)
)</f>
        <v/>
      </c>
      <c r="K14" s="82" t="str">
        <f ca="1">_xlfn.LET(
  _xlpm.result,
  COUNTIFS(
    'Deviation RC Data'!$O:$O, $A14,
    'Deviation RC Data'!Y:Y, "x",
    'Deviation RC Data'!$B:$B, "&gt;=" &amp; EDATE($B$1, -12),
    'Deviation RC Data'!$B:$B, "&lt;=" &amp; $B$1
  ),
  IF(_xlpm.result = 0, "", _xlpm.result)
)</f>
        <v/>
      </c>
      <c r="L14" s="82" t="str">
        <f ca="1">_xlfn.LET(
  _xlpm.result,
  COUNTIFS(
    'Deviation RC Data'!$O:$O, $A14,
    'Deviation RC Data'!Z:Z, "x",
    'Deviation RC Data'!$B:$B, "&gt;=" &amp; EDATE($B$1, -12),
    'Deviation RC Data'!$B:$B, "&lt;=" &amp; $B$1
  ),
  IF(_xlpm.result = 0, "", _xlpm.result)
)</f>
        <v/>
      </c>
      <c r="M14" s="82">
        <f ca="1">_xlfn.LET(
  _xlpm.result,
  COUNTIFS(
    'Deviation RC Data'!$O:$O, $A14,
    'Deviation RC Data'!AA:AA, "x",
    'Deviation RC Data'!$B:$B, "&gt;=" &amp; EDATE($B$1, -12),
    'Deviation RC Data'!$B:$B, "&lt;=" &amp; $B$1
  ),
  IF(_xlpm.result = 0, "", _xlpm.result)
)</f>
        <v>1</v>
      </c>
      <c r="N14" s="82" t="str">
        <f ca="1">_xlfn.LET(
  _xlpm.result,
  COUNTIFS(
    'Deviation RC Data'!$O:$O, $A14,
    'Deviation RC Data'!AB:AB, "x",
    'Deviation RC Data'!$B:$B, "&gt;=" &amp; EDATE($B$1, -12),
    'Deviation RC Data'!$B:$B, "&lt;=" &amp; $B$1
  ),
  IF(_xlpm.result = 0, "", _xlpm.result)
)</f>
        <v/>
      </c>
      <c r="O14" s="82" t="str">
        <f ca="1">_xlfn.LET(
  _xlpm.result,
  COUNTIFS(
    'Deviation RC Data'!$O:$O, $A14,
    'Deviation RC Data'!AC:AC, "x",
    'Deviation RC Data'!$B:$B, "&gt;=" &amp; EDATE($B$1, -12),
    'Deviation RC Data'!$B:$B, "&lt;=" &amp; $B$1
  ),
  IF(_xlpm.result = 0, "", _xlpm.result)
)</f>
        <v/>
      </c>
      <c r="P14" s="82" t="str">
        <f ca="1">_xlfn.LET(
  _xlpm.result,
  COUNTIFS(
    'Deviation RC Data'!$O:$O, $A14,
    'Deviation RC Data'!AD:AD, "x",
    'Deviation RC Data'!$B:$B, "&gt;=" &amp; EDATE($B$1, -12),
    'Deviation RC Data'!$B:$B, "&lt;=" &amp; $B$1
  ),
  IF(_xlpm.result = 0, "", _xlpm.result)
)</f>
        <v/>
      </c>
      <c r="Q14" s="82" t="str">
        <f ca="1">_xlfn.LET(
  _xlpm.result,
  COUNTIFS(
    'Deviation RC Data'!$O:$O, $A14,
    'Deviation RC Data'!AE:AE, "x",
    'Deviation RC Data'!$B:$B, "&gt;=" &amp; EDATE($B$1, -12),
    'Deviation RC Data'!$B:$B, "&lt;=" &amp; $B$1
  ),
  IF(_xlpm.result = 0, "", _xlpm.result)
)</f>
        <v/>
      </c>
      <c r="R14" s="82" t="str">
        <f ca="1">_xlfn.LET(
  _xlpm.result,
  COUNTIFS(
    'Deviation RC Data'!$O:$O, $A14,
    'Deviation RC Data'!AF:AF, "x",
    'Deviation RC Data'!$B:$B, "&gt;=" &amp; EDATE($B$1, -12),
    'Deviation RC Data'!$B:$B, "&lt;=" &amp; $B$1
  ),
  IF(_xlpm.result = 0, "", _xlpm.result)
)</f>
        <v/>
      </c>
      <c r="S14" s="82" t="str">
        <f ca="1">_xlfn.LET(
  _xlpm.result,
  COUNTIFS(
    'Deviation RC Data'!$O:$O, $A14,
    'Deviation RC Data'!AG:AG, "x",
    'Deviation RC Data'!$B:$B, "&gt;=" &amp; EDATE($B$1, -12),
    'Deviation RC Data'!$B:$B, "&lt;=" &amp; $B$1
  ),
  IF(_xlpm.result = 0, "", _xlpm.result)
)</f>
        <v/>
      </c>
      <c r="T14" s="82" t="str">
        <f ca="1">_xlfn.LET(
  _xlpm.result,
  COUNTIFS(
    'Deviation RC Data'!$O:$O, $A14,
    'Deviation RC Data'!AH:AH, "x",
    'Deviation RC Data'!$B:$B, "&gt;=" &amp; EDATE($B$1, -12),
    'Deviation RC Data'!$B:$B, "&lt;=" &amp; $B$1
  ),
  IF(_xlpm.result = 0, "", _xlpm.result)
)</f>
        <v/>
      </c>
    </row>
    <row r="15" spans="1:20" x14ac:dyDescent="0.3">
      <c r="A15" s="76" t="s">
        <v>264</v>
      </c>
      <c r="B15">
        <f ca="1">_xlfn.LET(
  _xlpm.result,
  COUNTIFS(
    'Deviation RC Data'!$O:$O, $A15,
    'Deviation RC Data'!P:P, "x",
    'Deviation RC Data'!$B:$B, "&gt;=" &amp; EDATE($B$1, -12),
    'Deviation RC Data'!$B:$B, "&lt;=" &amp; $B$1
  ),
  IF(_xlpm.result = 0, "", _xlpm.result)
)</f>
        <v>1</v>
      </c>
      <c r="C15" t="str">
        <f ca="1">_xlfn.LET(
  _xlpm.result,
  COUNTIFS(
    'Deviation RC Data'!$O:$O, $A15,
    'Deviation RC Data'!Q:Q, "x",
    'Deviation RC Data'!$B:$B, "&gt;=" &amp; EDATE($B$1, -12),
    'Deviation RC Data'!$B:$B, "&lt;=" &amp; $B$1
  ),
  IF(_xlpm.result = 0, "", _xlpm.result)
)</f>
        <v/>
      </c>
      <c r="D15" t="str">
        <f ca="1">_xlfn.LET(
  _xlpm.result,
  COUNTIFS(
    'Deviation RC Data'!$O:$O, $A15,
    'Deviation RC Data'!R:R, "x",
    'Deviation RC Data'!$B:$B, "&gt;=" &amp; EDATE($B$1, -12),
    'Deviation RC Data'!$B:$B, "&lt;=" &amp; $B$1
  ),
  IF(_xlpm.result = 0, "", _xlpm.result)
)</f>
        <v/>
      </c>
      <c r="E15" t="str">
        <f ca="1">_xlfn.LET(
  _xlpm.result,
  COUNTIFS(
    'Deviation RC Data'!$O:$O, $A15,
    'Deviation RC Data'!S:S, "x",
    'Deviation RC Data'!$B:$B, "&gt;=" &amp; EDATE($B$1, -12),
    'Deviation RC Data'!$B:$B, "&lt;=" &amp; $B$1
  ),
  IF(_xlpm.result = 0, "", _xlpm.result)
)</f>
        <v/>
      </c>
      <c r="F15" t="str">
        <f ca="1">_xlfn.LET(
  _xlpm.result,
  COUNTIFS(
    'Deviation RC Data'!$O:$O, $A15,
    'Deviation RC Data'!T:T, "x",
    'Deviation RC Data'!$B:$B, "&gt;=" &amp; EDATE($B$1, -12),
    'Deviation RC Data'!$B:$B, "&lt;=" &amp; $B$1
  ),
  IF(_xlpm.result = 0, "", _xlpm.result)
)</f>
        <v/>
      </c>
      <c r="G15" t="str">
        <f ca="1">_xlfn.LET(
  _xlpm.result,
  COUNTIFS(
    'Deviation RC Data'!$O:$O, $A15,
    'Deviation RC Data'!U:U, "x",
    'Deviation RC Data'!$B:$B, "&gt;=" &amp; EDATE($B$1, -12),
    'Deviation RC Data'!$B:$B, "&lt;=" &amp; $B$1
  ),
  IF(_xlpm.result = 0, "", _xlpm.result)
)</f>
        <v/>
      </c>
      <c r="H15" t="str">
        <f ca="1">_xlfn.LET(
  _xlpm.result,
  COUNTIFS(
    'Deviation RC Data'!$O:$O, $A15,
    'Deviation RC Data'!V:V, "x",
    'Deviation RC Data'!$B:$B, "&gt;=" &amp; EDATE($B$1, -12),
    'Deviation RC Data'!$B:$B, "&lt;=" &amp; $B$1
  ),
  IF(_xlpm.result = 0, "", _xlpm.result)
)</f>
        <v/>
      </c>
      <c r="I15" t="str">
        <f ca="1">_xlfn.LET(
  _xlpm.result,
  COUNTIFS(
    'Deviation RC Data'!$O:$O, $A15,
    'Deviation RC Data'!W:W, "x",
    'Deviation RC Data'!$B:$B, "&gt;=" &amp; EDATE($B$1, -12),
    'Deviation RC Data'!$B:$B, "&lt;=" &amp; $B$1
  ),
  IF(_xlpm.result = 0, "", _xlpm.result)
)</f>
        <v/>
      </c>
      <c r="J15" t="str">
        <f ca="1">_xlfn.LET(
  _xlpm.result,
  COUNTIFS(
    'Deviation RC Data'!$O:$O, $A15,
    'Deviation RC Data'!X:X, "x",
    'Deviation RC Data'!$B:$B, "&gt;=" &amp; EDATE($B$1, -12),
    'Deviation RC Data'!$B:$B, "&lt;=" &amp; $B$1
  ),
  IF(_xlpm.result = 0, "", _xlpm.result)
)</f>
        <v/>
      </c>
      <c r="K15" t="str">
        <f ca="1">_xlfn.LET(
  _xlpm.result,
  COUNTIFS(
    'Deviation RC Data'!$O:$O, $A15,
    'Deviation RC Data'!Y:Y, "x",
    'Deviation RC Data'!$B:$B, "&gt;=" &amp; EDATE($B$1, -12),
    'Deviation RC Data'!$B:$B, "&lt;=" &amp; $B$1
  ),
  IF(_xlpm.result = 0, "", _xlpm.result)
)</f>
        <v/>
      </c>
      <c r="L15" t="str">
        <f ca="1">_xlfn.LET(
  _xlpm.result,
  COUNTIFS(
    'Deviation RC Data'!$O:$O, $A15,
    'Deviation RC Data'!Z:Z, "x",
    'Deviation RC Data'!$B:$B, "&gt;=" &amp; EDATE($B$1, -12),
    'Deviation RC Data'!$B:$B, "&lt;=" &amp; $B$1
  ),
  IF(_xlpm.result = 0, "", _xlpm.result)
)</f>
        <v/>
      </c>
      <c r="M15" t="str">
        <f ca="1">_xlfn.LET(
  _xlpm.result,
  COUNTIFS(
    'Deviation RC Data'!$O:$O, $A15,
    'Deviation RC Data'!AA:AA, "x",
    'Deviation RC Data'!$B:$B, "&gt;=" &amp; EDATE($B$1, -12),
    'Deviation RC Data'!$B:$B, "&lt;=" &amp; $B$1
  ),
  IF(_xlpm.result = 0, "", _xlpm.result)
)</f>
        <v/>
      </c>
      <c r="N15" t="str">
        <f ca="1">_xlfn.LET(
  _xlpm.result,
  COUNTIFS(
    'Deviation RC Data'!$O:$O, $A15,
    'Deviation RC Data'!AB:AB, "x",
    'Deviation RC Data'!$B:$B, "&gt;=" &amp; EDATE($B$1, -12),
    'Deviation RC Data'!$B:$B, "&lt;=" &amp; $B$1
  ),
  IF(_xlpm.result = 0, "", _xlpm.result)
)</f>
        <v/>
      </c>
      <c r="O15" t="str">
        <f ca="1">_xlfn.LET(
  _xlpm.result,
  COUNTIFS(
    'Deviation RC Data'!$O:$O, $A15,
    'Deviation RC Data'!AC:AC, "x",
    'Deviation RC Data'!$B:$B, "&gt;=" &amp; EDATE($B$1, -12),
    'Deviation RC Data'!$B:$B, "&lt;=" &amp; $B$1
  ),
  IF(_xlpm.result = 0, "", _xlpm.result)
)</f>
        <v/>
      </c>
      <c r="P15" t="str">
        <f ca="1">_xlfn.LET(
  _xlpm.result,
  COUNTIFS(
    'Deviation RC Data'!$O:$O, $A15,
    'Deviation RC Data'!AD:AD, "x",
    'Deviation RC Data'!$B:$B, "&gt;=" &amp; EDATE($B$1, -12),
    'Deviation RC Data'!$B:$B, "&lt;=" &amp; $B$1
  ),
  IF(_xlpm.result = 0, "", _xlpm.result)
)</f>
        <v/>
      </c>
      <c r="Q15" t="str">
        <f ca="1">_xlfn.LET(
  _xlpm.result,
  COUNTIFS(
    'Deviation RC Data'!$O:$O, $A15,
    'Deviation RC Data'!AE:AE, "x",
    'Deviation RC Data'!$B:$B, "&gt;=" &amp; EDATE($B$1, -12),
    'Deviation RC Data'!$B:$B, "&lt;=" &amp; $B$1
  ),
  IF(_xlpm.result = 0, "", _xlpm.result)
)</f>
        <v/>
      </c>
      <c r="R15" t="str">
        <f ca="1">_xlfn.LET(
  _xlpm.result,
  COUNTIFS(
    'Deviation RC Data'!$O:$O, $A15,
    'Deviation RC Data'!AF:AF, "x",
    'Deviation RC Data'!$B:$B, "&gt;=" &amp; EDATE($B$1, -12),
    'Deviation RC Data'!$B:$B, "&lt;=" &amp; $B$1
  ),
  IF(_xlpm.result = 0, "", _xlpm.result)
)</f>
        <v/>
      </c>
      <c r="S15" t="str">
        <f ca="1">_xlfn.LET(
  _xlpm.result,
  COUNTIFS(
    'Deviation RC Data'!$O:$O, $A15,
    'Deviation RC Data'!AG:AG, "x",
    'Deviation RC Data'!$B:$B, "&gt;=" &amp; EDATE($B$1, -12),
    'Deviation RC Data'!$B:$B, "&lt;=" &amp; $B$1
  ),
  IF(_xlpm.result = 0, "", _xlpm.result)
)</f>
        <v/>
      </c>
      <c r="T15" t="str">
        <f ca="1">_xlfn.LET(
  _xlpm.result,
  COUNTIFS(
    'Deviation RC Data'!$O:$O, $A15,
    'Deviation RC Data'!AH:AH, "x",
    'Deviation RC Data'!$B:$B, "&gt;=" &amp; EDATE($B$1, -12),
    'Deviation RC Data'!$B:$B, "&lt;=" &amp; $B$1
  ),
  IF(_xlpm.result = 0, "", _xlpm.result)
)</f>
        <v/>
      </c>
    </row>
    <row r="16" spans="1:20" x14ac:dyDescent="0.3">
      <c r="A16" s="81" t="s">
        <v>265</v>
      </c>
      <c r="B16" s="82" t="str">
        <f ca="1">_xlfn.LET(
  _xlpm.result,
  COUNTIFS(
    'Deviation RC Data'!$O:$O, $A16,
    'Deviation RC Data'!P:P, "x",
    'Deviation RC Data'!$B:$B, "&gt;=" &amp; EDATE($B$1, -12),
    'Deviation RC Data'!$B:$B, "&lt;=" &amp; $B$1
  ),
  IF(_xlpm.result = 0, "", _xlpm.result)
)</f>
        <v/>
      </c>
      <c r="C16" s="82" t="str">
        <f ca="1">_xlfn.LET(
  _xlpm.result,
  COUNTIFS(
    'Deviation RC Data'!$O:$O, $A16,
    'Deviation RC Data'!Q:Q, "x",
    'Deviation RC Data'!$B:$B, "&gt;=" &amp; EDATE($B$1, -12),
    'Deviation RC Data'!$B:$B, "&lt;=" &amp; $B$1
  ),
  IF(_xlpm.result = 0, "", _xlpm.result)
)</f>
        <v/>
      </c>
      <c r="D16" s="82" t="str">
        <f ca="1">_xlfn.LET(
  _xlpm.result,
  COUNTIFS(
    'Deviation RC Data'!$O:$O, $A16,
    'Deviation RC Data'!R:R, "x",
    'Deviation RC Data'!$B:$B, "&gt;=" &amp; EDATE($B$1, -12),
    'Deviation RC Data'!$B:$B, "&lt;=" &amp; $B$1
  ),
  IF(_xlpm.result = 0, "", _xlpm.result)
)</f>
        <v/>
      </c>
      <c r="E16" s="82" t="str">
        <f ca="1">_xlfn.LET(
  _xlpm.result,
  COUNTIFS(
    'Deviation RC Data'!$O:$O, $A16,
    'Deviation RC Data'!S:S, "x",
    'Deviation RC Data'!$B:$B, "&gt;=" &amp; EDATE($B$1, -12),
    'Deviation RC Data'!$B:$B, "&lt;=" &amp; $B$1
  ),
  IF(_xlpm.result = 0, "", _xlpm.result)
)</f>
        <v/>
      </c>
      <c r="F16" s="82" t="str">
        <f ca="1">_xlfn.LET(
  _xlpm.result,
  COUNTIFS(
    'Deviation RC Data'!$O:$O, $A16,
    'Deviation RC Data'!T:T, "x",
    'Deviation RC Data'!$B:$B, "&gt;=" &amp; EDATE($B$1, -12),
    'Deviation RC Data'!$B:$B, "&lt;=" &amp; $B$1
  ),
  IF(_xlpm.result = 0, "", _xlpm.result)
)</f>
        <v/>
      </c>
      <c r="G16" s="82" t="str">
        <f ca="1">_xlfn.LET(
  _xlpm.result,
  COUNTIFS(
    'Deviation RC Data'!$O:$O, $A16,
    'Deviation RC Data'!U:U, "x",
    'Deviation RC Data'!$B:$B, "&gt;=" &amp; EDATE($B$1, -12),
    'Deviation RC Data'!$B:$B, "&lt;=" &amp; $B$1
  ),
  IF(_xlpm.result = 0, "", _xlpm.result)
)</f>
        <v/>
      </c>
      <c r="H16" s="82" t="str">
        <f ca="1">_xlfn.LET(
  _xlpm.result,
  COUNTIFS(
    'Deviation RC Data'!$O:$O, $A16,
    'Deviation RC Data'!V:V, "x",
    'Deviation RC Data'!$B:$B, "&gt;=" &amp; EDATE($B$1, -12),
    'Deviation RC Data'!$B:$B, "&lt;=" &amp; $B$1
  ),
  IF(_xlpm.result = 0, "", _xlpm.result)
)</f>
        <v/>
      </c>
      <c r="I16" s="82" t="str">
        <f ca="1">_xlfn.LET(
  _xlpm.result,
  COUNTIFS(
    'Deviation RC Data'!$O:$O, $A16,
    'Deviation RC Data'!W:W, "x",
    'Deviation RC Data'!$B:$B, "&gt;=" &amp; EDATE($B$1, -12),
    'Deviation RC Data'!$B:$B, "&lt;=" &amp; $B$1
  ),
  IF(_xlpm.result = 0, "", _xlpm.result)
)</f>
        <v/>
      </c>
      <c r="J16" s="82" t="str">
        <f ca="1">_xlfn.LET(
  _xlpm.result,
  COUNTIFS(
    'Deviation RC Data'!$O:$O, $A16,
    'Deviation RC Data'!X:X, "x",
    'Deviation RC Data'!$B:$B, "&gt;=" &amp; EDATE($B$1, -12),
    'Deviation RC Data'!$B:$B, "&lt;=" &amp; $B$1
  ),
  IF(_xlpm.result = 0, "", _xlpm.result)
)</f>
        <v/>
      </c>
      <c r="K16" s="82" t="str">
        <f ca="1">_xlfn.LET(
  _xlpm.result,
  COUNTIFS(
    'Deviation RC Data'!$O:$O, $A16,
    'Deviation RC Data'!Y:Y, "x",
    'Deviation RC Data'!$B:$B, "&gt;=" &amp; EDATE($B$1, -12),
    'Deviation RC Data'!$B:$B, "&lt;=" &amp; $B$1
  ),
  IF(_xlpm.result = 0, "", _xlpm.result)
)</f>
        <v/>
      </c>
      <c r="L16" s="82" t="str">
        <f ca="1">_xlfn.LET(
  _xlpm.result,
  COUNTIFS(
    'Deviation RC Data'!$O:$O, $A16,
    'Deviation RC Data'!Z:Z, "x",
    'Deviation RC Data'!$B:$B, "&gt;=" &amp; EDATE($B$1, -12),
    'Deviation RC Data'!$B:$B, "&lt;=" &amp; $B$1
  ),
  IF(_xlpm.result = 0, "", _xlpm.result)
)</f>
        <v/>
      </c>
      <c r="M16" s="82" t="str">
        <f ca="1">_xlfn.LET(
  _xlpm.result,
  COUNTIFS(
    'Deviation RC Data'!$O:$O, $A16,
    'Deviation RC Data'!AA:AA, "x",
    'Deviation RC Data'!$B:$B, "&gt;=" &amp; EDATE($B$1, -12),
    'Deviation RC Data'!$B:$B, "&lt;=" &amp; $B$1
  ),
  IF(_xlpm.result = 0, "", _xlpm.result)
)</f>
        <v/>
      </c>
      <c r="N16" s="82" t="str">
        <f ca="1">_xlfn.LET(
  _xlpm.result,
  COUNTIFS(
    'Deviation RC Data'!$O:$O, $A16,
    'Deviation RC Data'!AB:AB, "x",
    'Deviation RC Data'!$B:$B, "&gt;=" &amp; EDATE($B$1, -12),
    'Deviation RC Data'!$B:$B, "&lt;=" &amp; $B$1
  ),
  IF(_xlpm.result = 0, "", _xlpm.result)
)</f>
        <v/>
      </c>
      <c r="O16" s="82" t="str">
        <f ca="1">_xlfn.LET(
  _xlpm.result,
  COUNTIFS(
    'Deviation RC Data'!$O:$O, $A16,
    'Deviation RC Data'!AC:AC, "x",
    'Deviation RC Data'!$B:$B, "&gt;=" &amp; EDATE($B$1, -12),
    'Deviation RC Data'!$B:$B, "&lt;=" &amp; $B$1
  ),
  IF(_xlpm.result = 0, "", _xlpm.result)
)</f>
        <v/>
      </c>
      <c r="P16" s="82" t="str">
        <f ca="1">_xlfn.LET(
  _xlpm.result,
  COUNTIFS(
    'Deviation RC Data'!$O:$O, $A16,
    'Deviation RC Data'!AD:AD, "x",
    'Deviation RC Data'!$B:$B, "&gt;=" &amp; EDATE($B$1, -12),
    'Deviation RC Data'!$B:$B, "&lt;=" &amp; $B$1
  ),
  IF(_xlpm.result = 0, "", _xlpm.result)
)</f>
        <v/>
      </c>
      <c r="Q16" s="82" t="str">
        <f ca="1">_xlfn.LET(
  _xlpm.result,
  COUNTIFS(
    'Deviation RC Data'!$O:$O, $A16,
    'Deviation RC Data'!AE:AE, "x",
    'Deviation RC Data'!$B:$B, "&gt;=" &amp; EDATE($B$1, -12),
    'Deviation RC Data'!$B:$B, "&lt;=" &amp; $B$1
  ),
  IF(_xlpm.result = 0, "", _xlpm.result)
)</f>
        <v/>
      </c>
      <c r="R16" s="82" t="str">
        <f ca="1">_xlfn.LET(
  _xlpm.result,
  COUNTIFS(
    'Deviation RC Data'!$O:$O, $A16,
    'Deviation RC Data'!AF:AF, "x",
    'Deviation RC Data'!$B:$B, "&gt;=" &amp; EDATE($B$1, -12),
    'Deviation RC Data'!$B:$B, "&lt;=" &amp; $B$1
  ),
  IF(_xlpm.result = 0, "", _xlpm.result)
)</f>
        <v/>
      </c>
      <c r="S16" s="82" t="str">
        <f ca="1">_xlfn.LET(
  _xlpm.result,
  COUNTIFS(
    'Deviation RC Data'!$O:$O, $A16,
    'Deviation RC Data'!AG:AG, "x",
    'Deviation RC Data'!$B:$B, "&gt;=" &amp; EDATE($B$1, -12),
    'Deviation RC Data'!$B:$B, "&lt;=" &amp; $B$1
  ),
  IF(_xlpm.result = 0, "", _xlpm.result)
)</f>
        <v/>
      </c>
      <c r="T16" s="82" t="str">
        <f ca="1">_xlfn.LET(
  _xlpm.result,
  COUNTIFS(
    'Deviation RC Data'!$O:$O, $A16,
    'Deviation RC Data'!AH:AH, "x",
    'Deviation RC Data'!$B:$B, "&gt;=" &amp; EDATE($B$1, -12),
    'Deviation RC Data'!$B:$B, "&lt;=" &amp; $B$1
  ),
  IF(_xlpm.result = 0, "", _xlpm.result)
)</f>
        <v/>
      </c>
    </row>
    <row r="17" spans="1:20" x14ac:dyDescent="0.3">
      <c r="A17" s="76" t="s">
        <v>120</v>
      </c>
      <c r="B17" t="str">
        <f ca="1">_xlfn.LET(
  _xlpm.result,
  COUNTIFS(
    'Deviation RC Data'!$O:$O, $A17,
    'Deviation RC Data'!P:P, "x",
    'Deviation RC Data'!$B:$B, "&gt;=" &amp; EDATE($B$1, -12),
    'Deviation RC Data'!$B:$B, "&lt;=" &amp; $B$1
  ),
  IF(_xlpm.result = 0, "", _xlpm.result)
)</f>
        <v/>
      </c>
      <c r="C17" t="str">
        <f ca="1">_xlfn.LET(
  _xlpm.result,
  COUNTIFS(
    'Deviation RC Data'!$O:$O, $A17,
    'Deviation RC Data'!Q:Q, "x",
    'Deviation RC Data'!$B:$B, "&gt;=" &amp; EDATE($B$1, -12),
    'Deviation RC Data'!$B:$B, "&lt;=" &amp; $B$1
  ),
  IF(_xlpm.result = 0, "", _xlpm.result)
)</f>
        <v/>
      </c>
      <c r="D17" t="str">
        <f ca="1">_xlfn.LET(
  _xlpm.result,
  COUNTIFS(
    'Deviation RC Data'!$O:$O, $A17,
    'Deviation RC Data'!R:R, "x",
    'Deviation RC Data'!$B:$B, "&gt;=" &amp; EDATE($B$1, -12),
    'Deviation RC Data'!$B:$B, "&lt;=" &amp; $B$1
  ),
  IF(_xlpm.result = 0, "", _xlpm.result)
)</f>
        <v/>
      </c>
      <c r="E17" t="str">
        <f ca="1">_xlfn.LET(
  _xlpm.result,
  COUNTIFS(
    'Deviation RC Data'!$O:$O, $A17,
    'Deviation RC Data'!S:S, "x",
    'Deviation RC Data'!$B:$B, "&gt;=" &amp; EDATE($B$1, -12),
    'Deviation RC Data'!$B:$B, "&lt;=" &amp; $B$1
  ),
  IF(_xlpm.result = 0, "", _xlpm.result)
)</f>
        <v/>
      </c>
      <c r="F17" t="str">
        <f ca="1">_xlfn.LET(
  _xlpm.result,
  COUNTIFS(
    'Deviation RC Data'!$O:$O, $A17,
    'Deviation RC Data'!T:T, "x",
    'Deviation RC Data'!$B:$B, "&gt;=" &amp; EDATE($B$1, -12),
    'Deviation RC Data'!$B:$B, "&lt;=" &amp; $B$1
  ),
  IF(_xlpm.result = 0, "", _xlpm.result)
)</f>
        <v/>
      </c>
      <c r="G17" t="str">
        <f ca="1">_xlfn.LET(
  _xlpm.result,
  COUNTIFS(
    'Deviation RC Data'!$O:$O, $A17,
    'Deviation RC Data'!U:U, "x",
    'Deviation RC Data'!$B:$B, "&gt;=" &amp; EDATE($B$1, -12),
    'Deviation RC Data'!$B:$B, "&lt;=" &amp; $B$1
  ),
  IF(_xlpm.result = 0, "", _xlpm.result)
)</f>
        <v/>
      </c>
      <c r="H17" t="str">
        <f ca="1">_xlfn.LET(
  _xlpm.result,
  COUNTIFS(
    'Deviation RC Data'!$O:$O, $A17,
    'Deviation RC Data'!V:V, "x",
    'Deviation RC Data'!$B:$B, "&gt;=" &amp; EDATE($B$1, -12),
    'Deviation RC Data'!$B:$B, "&lt;=" &amp; $B$1
  ),
  IF(_xlpm.result = 0, "", _xlpm.result)
)</f>
        <v/>
      </c>
      <c r="I17" t="str">
        <f ca="1">_xlfn.LET(
  _xlpm.result,
  COUNTIFS(
    'Deviation RC Data'!$O:$O, $A17,
    'Deviation RC Data'!W:W, "x",
    'Deviation RC Data'!$B:$B, "&gt;=" &amp; EDATE($B$1, -12),
    'Deviation RC Data'!$B:$B, "&lt;=" &amp; $B$1
  ),
  IF(_xlpm.result = 0, "", _xlpm.result)
)</f>
        <v/>
      </c>
      <c r="J17" t="str">
        <f ca="1">_xlfn.LET(
  _xlpm.result,
  COUNTIFS(
    'Deviation RC Data'!$O:$O, $A17,
    'Deviation RC Data'!X:X, "x",
    'Deviation RC Data'!$B:$B, "&gt;=" &amp; EDATE($B$1, -12),
    'Deviation RC Data'!$B:$B, "&lt;=" &amp; $B$1
  ),
  IF(_xlpm.result = 0, "", _xlpm.result)
)</f>
        <v/>
      </c>
      <c r="K17" t="str">
        <f ca="1">_xlfn.LET(
  _xlpm.result,
  COUNTIFS(
    'Deviation RC Data'!$O:$O, $A17,
    'Deviation RC Data'!Y:Y, "x",
    'Deviation RC Data'!$B:$B, "&gt;=" &amp; EDATE($B$1, -12),
    'Deviation RC Data'!$B:$B, "&lt;=" &amp; $B$1
  ),
  IF(_xlpm.result = 0, "", _xlpm.result)
)</f>
        <v/>
      </c>
      <c r="L17" t="str">
        <f ca="1">_xlfn.LET(
  _xlpm.result,
  COUNTIFS(
    'Deviation RC Data'!$O:$O, $A17,
    'Deviation RC Data'!Z:Z, "x",
    'Deviation RC Data'!$B:$B, "&gt;=" &amp; EDATE($B$1, -12),
    'Deviation RC Data'!$B:$B, "&lt;=" &amp; $B$1
  ),
  IF(_xlpm.result = 0, "", _xlpm.result)
)</f>
        <v/>
      </c>
      <c r="M17" t="str">
        <f ca="1">_xlfn.LET(
  _xlpm.result,
  COUNTIFS(
    'Deviation RC Data'!$O:$O, $A17,
    'Deviation RC Data'!AA:AA, "x",
    'Deviation RC Data'!$B:$B, "&gt;=" &amp; EDATE($B$1, -12),
    'Deviation RC Data'!$B:$B, "&lt;=" &amp; $B$1
  ),
  IF(_xlpm.result = 0, "", _xlpm.result)
)</f>
        <v/>
      </c>
      <c r="N17" t="str">
        <f ca="1">_xlfn.LET(
  _xlpm.result,
  COUNTIFS(
    'Deviation RC Data'!$O:$O, $A17,
    'Deviation RC Data'!AB:AB, "x",
    'Deviation RC Data'!$B:$B, "&gt;=" &amp; EDATE($B$1, -12),
    'Deviation RC Data'!$B:$B, "&lt;=" &amp; $B$1
  ),
  IF(_xlpm.result = 0, "", _xlpm.result)
)</f>
        <v/>
      </c>
      <c r="O17" t="str">
        <f ca="1">_xlfn.LET(
  _xlpm.result,
  COUNTIFS(
    'Deviation RC Data'!$O:$O, $A17,
    'Deviation RC Data'!AC:AC, "x",
    'Deviation RC Data'!$B:$B, "&gt;=" &amp; EDATE($B$1, -12),
    'Deviation RC Data'!$B:$B, "&lt;=" &amp; $B$1
  ),
  IF(_xlpm.result = 0, "", _xlpm.result)
)</f>
        <v/>
      </c>
      <c r="P17">
        <f ca="1">_xlfn.LET(
  _xlpm.result,
  COUNTIFS(
    'Deviation RC Data'!$O:$O, $A17,
    'Deviation RC Data'!AD:AD, "x",
    'Deviation RC Data'!$B:$B, "&gt;=" &amp; EDATE($B$1, -12),
    'Deviation RC Data'!$B:$B, "&lt;=" &amp; $B$1
  ),
  IF(_xlpm.result = 0, "", _xlpm.result)
)</f>
        <v>1</v>
      </c>
      <c r="Q17" t="str">
        <f ca="1">_xlfn.LET(
  _xlpm.result,
  COUNTIFS(
    'Deviation RC Data'!$O:$O, $A17,
    'Deviation RC Data'!AE:AE, "x",
    'Deviation RC Data'!$B:$B, "&gt;=" &amp; EDATE($B$1, -12),
    'Deviation RC Data'!$B:$B, "&lt;=" &amp; $B$1
  ),
  IF(_xlpm.result = 0, "", _xlpm.result)
)</f>
        <v/>
      </c>
      <c r="R17" t="str">
        <f ca="1">_xlfn.LET(
  _xlpm.result,
  COUNTIFS(
    'Deviation RC Data'!$O:$O, $A17,
    'Deviation RC Data'!AF:AF, "x",
    'Deviation RC Data'!$B:$B, "&gt;=" &amp; EDATE($B$1, -12),
    'Deviation RC Data'!$B:$B, "&lt;=" &amp; $B$1
  ),
  IF(_xlpm.result = 0, "", _xlpm.result)
)</f>
        <v/>
      </c>
      <c r="S17" t="str">
        <f ca="1">_xlfn.LET(
  _xlpm.result,
  COUNTIFS(
    'Deviation RC Data'!$O:$O, $A17,
    'Deviation RC Data'!AG:AG, "x",
    'Deviation RC Data'!$B:$B, "&gt;=" &amp; EDATE($B$1, -12),
    'Deviation RC Data'!$B:$B, "&lt;=" &amp; $B$1
  ),
  IF(_xlpm.result = 0, "", _xlpm.result)
)</f>
        <v/>
      </c>
      <c r="T17" t="str">
        <f ca="1">_xlfn.LET(
  _xlpm.result,
  COUNTIFS(
    'Deviation RC Data'!$O:$O, $A17,
    'Deviation RC Data'!AH:AH, "x",
    'Deviation RC Data'!$B:$B, "&gt;=" &amp; EDATE($B$1, -12),
    'Deviation RC Data'!$B:$B, "&lt;=" &amp; $B$1
  ),
  IF(_xlpm.result = 0, "", _xlpm.result)
)</f>
        <v/>
      </c>
    </row>
    <row r="18" spans="1:20" x14ac:dyDescent="0.3">
      <c r="A18" s="81" t="s">
        <v>129</v>
      </c>
      <c r="B18" s="82" t="str">
        <f ca="1">_xlfn.LET(
  _xlpm.result,
  COUNTIFS(
    'Deviation RC Data'!$O:$O, $A18,
    'Deviation RC Data'!P:P, "x",
    'Deviation RC Data'!$B:$B, "&gt;=" &amp; EDATE($B$1, -12),
    'Deviation RC Data'!$B:$B, "&lt;=" &amp; $B$1
  ),
  IF(_xlpm.result = 0, "", _xlpm.result)
)</f>
        <v/>
      </c>
      <c r="C18" s="82" t="str">
        <f ca="1">_xlfn.LET(
  _xlpm.result,
  COUNTIFS(
    'Deviation RC Data'!$O:$O, $A18,
    'Deviation RC Data'!Q:Q, "x",
    'Deviation RC Data'!$B:$B, "&gt;=" &amp; EDATE($B$1, -12),
    'Deviation RC Data'!$B:$B, "&lt;=" &amp; $B$1
  ),
  IF(_xlpm.result = 0, "", _xlpm.result)
)</f>
        <v/>
      </c>
      <c r="D18" s="82" t="str">
        <f ca="1">_xlfn.LET(
  _xlpm.result,
  COUNTIFS(
    'Deviation RC Data'!$O:$O, $A18,
    'Deviation RC Data'!R:R, "x",
    'Deviation RC Data'!$B:$B, "&gt;=" &amp; EDATE($B$1, -12),
    'Deviation RC Data'!$B:$B, "&lt;=" &amp; $B$1
  ),
  IF(_xlpm.result = 0, "", _xlpm.result)
)</f>
        <v/>
      </c>
      <c r="E18" s="82" t="str">
        <f ca="1">_xlfn.LET(
  _xlpm.result,
  COUNTIFS(
    'Deviation RC Data'!$O:$O, $A18,
    'Deviation RC Data'!S:S, "x",
    'Deviation RC Data'!$B:$B, "&gt;=" &amp; EDATE($B$1, -12),
    'Deviation RC Data'!$B:$B, "&lt;=" &amp; $B$1
  ),
  IF(_xlpm.result = 0, "", _xlpm.result)
)</f>
        <v/>
      </c>
      <c r="F18" s="82" t="str">
        <f ca="1">_xlfn.LET(
  _xlpm.result,
  COUNTIFS(
    'Deviation RC Data'!$O:$O, $A18,
    'Deviation RC Data'!T:T, "x",
    'Deviation RC Data'!$B:$B, "&gt;=" &amp; EDATE($B$1, -12),
    'Deviation RC Data'!$B:$B, "&lt;=" &amp; $B$1
  ),
  IF(_xlpm.result = 0, "", _xlpm.result)
)</f>
        <v/>
      </c>
      <c r="G18" s="82" t="str">
        <f ca="1">_xlfn.LET(
  _xlpm.result,
  COUNTIFS(
    'Deviation RC Data'!$O:$O, $A18,
    'Deviation RC Data'!U:U, "x",
    'Deviation RC Data'!$B:$B, "&gt;=" &amp; EDATE($B$1, -12),
    'Deviation RC Data'!$B:$B, "&lt;=" &amp; $B$1
  ),
  IF(_xlpm.result = 0, "", _xlpm.result)
)</f>
        <v/>
      </c>
      <c r="H18" s="82" t="str">
        <f ca="1">_xlfn.LET(
  _xlpm.result,
  COUNTIFS(
    'Deviation RC Data'!$O:$O, $A18,
    'Deviation RC Data'!V:V, "x",
    'Deviation RC Data'!$B:$B, "&gt;=" &amp; EDATE($B$1, -12),
    'Deviation RC Data'!$B:$B, "&lt;=" &amp; $B$1
  ),
  IF(_xlpm.result = 0, "", _xlpm.result)
)</f>
        <v/>
      </c>
      <c r="I18" s="82" t="str">
        <f ca="1">_xlfn.LET(
  _xlpm.result,
  COUNTIFS(
    'Deviation RC Data'!$O:$O, $A18,
    'Deviation RC Data'!W:W, "x",
    'Deviation RC Data'!$B:$B, "&gt;=" &amp; EDATE($B$1, -12),
    'Deviation RC Data'!$B:$B, "&lt;=" &amp; $B$1
  ),
  IF(_xlpm.result = 0, "", _xlpm.result)
)</f>
        <v/>
      </c>
      <c r="J18" s="82" t="str">
        <f ca="1">_xlfn.LET(
  _xlpm.result,
  COUNTIFS(
    'Deviation RC Data'!$O:$O, $A18,
    'Deviation RC Data'!X:X, "x",
    'Deviation RC Data'!$B:$B, "&gt;=" &amp; EDATE($B$1, -12),
    'Deviation RC Data'!$B:$B, "&lt;=" &amp; $B$1
  ),
  IF(_xlpm.result = 0, "", _xlpm.result)
)</f>
        <v/>
      </c>
      <c r="K18" s="82" t="str">
        <f ca="1">_xlfn.LET(
  _xlpm.result,
  COUNTIFS(
    'Deviation RC Data'!$O:$O, $A18,
    'Deviation RC Data'!Y:Y, "x",
    'Deviation RC Data'!$B:$B, "&gt;=" &amp; EDATE($B$1, -12),
    'Deviation RC Data'!$B:$B, "&lt;=" &amp; $B$1
  ),
  IF(_xlpm.result = 0, "", _xlpm.result)
)</f>
        <v/>
      </c>
      <c r="L18" s="82" t="str">
        <f ca="1">_xlfn.LET(
  _xlpm.result,
  COUNTIFS(
    'Deviation RC Data'!$O:$O, $A18,
    'Deviation RC Data'!Z:Z, "x",
    'Deviation RC Data'!$B:$B, "&gt;=" &amp; EDATE($B$1, -12),
    'Deviation RC Data'!$B:$B, "&lt;=" &amp; $B$1
  ),
  IF(_xlpm.result = 0, "", _xlpm.result)
)</f>
        <v/>
      </c>
      <c r="M18" s="82" t="str">
        <f ca="1">_xlfn.LET(
  _xlpm.result,
  COUNTIFS(
    'Deviation RC Data'!$O:$O, $A18,
    'Deviation RC Data'!AA:AA, "x",
    'Deviation RC Data'!$B:$B, "&gt;=" &amp; EDATE($B$1, -12),
    'Deviation RC Data'!$B:$B, "&lt;=" &amp; $B$1
  ),
  IF(_xlpm.result = 0, "", _xlpm.result)
)</f>
        <v/>
      </c>
      <c r="N18" s="82" t="str">
        <f ca="1">_xlfn.LET(
  _xlpm.result,
  COUNTIFS(
    'Deviation RC Data'!$O:$O, $A18,
    'Deviation RC Data'!AB:AB, "x",
    'Deviation RC Data'!$B:$B, "&gt;=" &amp; EDATE($B$1, -12),
    'Deviation RC Data'!$B:$B, "&lt;=" &amp; $B$1
  ),
  IF(_xlpm.result = 0, "", _xlpm.result)
)</f>
        <v/>
      </c>
      <c r="O18" s="82" t="str">
        <f ca="1">_xlfn.LET(
  _xlpm.result,
  COUNTIFS(
    'Deviation RC Data'!$O:$O, $A18,
    'Deviation RC Data'!AC:AC, "x",
    'Deviation RC Data'!$B:$B, "&gt;=" &amp; EDATE($B$1, -12),
    'Deviation RC Data'!$B:$B, "&lt;=" &amp; $B$1
  ),
  IF(_xlpm.result = 0, "", _xlpm.result)
)</f>
        <v/>
      </c>
      <c r="P18" s="82" t="str">
        <f ca="1">_xlfn.LET(
  _xlpm.result,
  COUNTIFS(
    'Deviation RC Data'!$O:$O, $A18,
    'Deviation RC Data'!AD:AD, "x",
    'Deviation RC Data'!$B:$B, "&gt;=" &amp; EDATE($B$1, -12),
    'Deviation RC Data'!$B:$B, "&lt;=" &amp; $B$1
  ),
  IF(_xlpm.result = 0, "", _xlpm.result)
)</f>
        <v/>
      </c>
      <c r="Q18" s="82" t="str">
        <f ca="1">_xlfn.LET(
  _xlpm.result,
  COUNTIFS(
    'Deviation RC Data'!$O:$O, $A18,
    'Deviation RC Data'!AE:AE, "x",
    'Deviation RC Data'!$B:$B, "&gt;=" &amp; EDATE($B$1, -12),
    'Deviation RC Data'!$B:$B, "&lt;=" &amp; $B$1
  ),
  IF(_xlpm.result = 0, "", _xlpm.result)
)</f>
        <v/>
      </c>
      <c r="R18" s="82" t="str">
        <f ca="1">_xlfn.LET(
  _xlpm.result,
  COUNTIFS(
    'Deviation RC Data'!$O:$O, $A18,
    'Deviation RC Data'!AF:AF, "x",
    'Deviation RC Data'!$B:$B, "&gt;=" &amp; EDATE($B$1, -12),
    'Deviation RC Data'!$B:$B, "&lt;=" &amp; $B$1
  ),
  IF(_xlpm.result = 0, "", _xlpm.result)
)</f>
        <v/>
      </c>
      <c r="S18" s="82" t="str">
        <f ca="1">_xlfn.LET(
  _xlpm.result,
  COUNTIFS(
    'Deviation RC Data'!$O:$O, $A18,
    'Deviation RC Data'!AG:AG, "x",
    'Deviation RC Data'!$B:$B, "&gt;=" &amp; EDATE($B$1, -12),
    'Deviation RC Data'!$B:$B, "&lt;=" &amp; $B$1
  ),
  IF(_xlpm.result = 0, "", _xlpm.result)
)</f>
        <v/>
      </c>
      <c r="T18" s="82" t="str">
        <f ca="1">_xlfn.LET(
  _xlpm.result,
  COUNTIFS(
    'Deviation RC Data'!$O:$O, $A18,
    'Deviation RC Data'!AH:AH, "x",
    'Deviation RC Data'!$B:$B, "&gt;=" &amp; EDATE($B$1, -12),
    'Deviation RC Data'!$B:$B, "&lt;=" &amp; $B$1
  ),
  IF(_xlpm.result = 0, "", _xlpm.result)
)</f>
        <v/>
      </c>
    </row>
    <row r="19" spans="1:20" x14ac:dyDescent="0.3">
      <c r="A19" s="76" t="s">
        <v>130</v>
      </c>
      <c r="B19" t="str">
        <f ca="1">_xlfn.LET(
  _xlpm.result,
  COUNTIFS(
    'Deviation RC Data'!$O:$O, $A19,
    'Deviation RC Data'!P:P, "x",
    'Deviation RC Data'!$B:$B, "&gt;=" &amp; EDATE($B$1, -12),
    'Deviation RC Data'!$B:$B, "&lt;=" &amp; $B$1
  ),
  IF(_xlpm.result = 0, "", _xlpm.result)
)</f>
        <v/>
      </c>
      <c r="C19" t="str">
        <f ca="1">_xlfn.LET(
  _xlpm.result,
  COUNTIFS(
    'Deviation RC Data'!$O:$O, $A19,
    'Deviation RC Data'!Q:Q, "x",
    'Deviation RC Data'!$B:$B, "&gt;=" &amp; EDATE($B$1, -12),
    'Deviation RC Data'!$B:$B, "&lt;=" &amp; $B$1
  ),
  IF(_xlpm.result = 0, "", _xlpm.result)
)</f>
        <v/>
      </c>
      <c r="D19" t="str">
        <f ca="1">_xlfn.LET(
  _xlpm.result,
  COUNTIFS(
    'Deviation RC Data'!$O:$O, $A19,
    'Deviation RC Data'!R:R, "x",
    'Deviation RC Data'!$B:$B, "&gt;=" &amp; EDATE($B$1, -12),
    'Deviation RC Data'!$B:$B, "&lt;=" &amp; $B$1
  ),
  IF(_xlpm.result = 0, "", _xlpm.result)
)</f>
        <v/>
      </c>
      <c r="E19" t="str">
        <f ca="1">_xlfn.LET(
  _xlpm.result,
  COUNTIFS(
    'Deviation RC Data'!$O:$O, $A19,
    'Deviation RC Data'!S:S, "x",
    'Deviation RC Data'!$B:$B, "&gt;=" &amp; EDATE($B$1, -12),
    'Deviation RC Data'!$B:$B, "&lt;=" &amp; $B$1
  ),
  IF(_xlpm.result = 0, "", _xlpm.result)
)</f>
        <v/>
      </c>
      <c r="F19" t="str">
        <f ca="1">_xlfn.LET(
  _xlpm.result,
  COUNTIFS(
    'Deviation RC Data'!$O:$O, $A19,
    'Deviation RC Data'!T:T, "x",
    'Deviation RC Data'!$B:$B, "&gt;=" &amp; EDATE($B$1, -12),
    'Deviation RC Data'!$B:$B, "&lt;=" &amp; $B$1
  ),
  IF(_xlpm.result = 0, "", _xlpm.result)
)</f>
        <v/>
      </c>
      <c r="G19" t="str">
        <f ca="1">_xlfn.LET(
  _xlpm.result,
  COUNTIFS(
    'Deviation RC Data'!$O:$O, $A19,
    'Deviation RC Data'!U:U, "x",
    'Deviation RC Data'!$B:$B, "&gt;=" &amp; EDATE($B$1, -12),
    'Deviation RC Data'!$B:$B, "&lt;=" &amp; $B$1
  ),
  IF(_xlpm.result = 0, "", _xlpm.result)
)</f>
        <v/>
      </c>
      <c r="H19" t="str">
        <f ca="1">_xlfn.LET(
  _xlpm.result,
  COUNTIFS(
    'Deviation RC Data'!$O:$O, $A19,
    'Deviation RC Data'!V:V, "x",
    'Deviation RC Data'!$B:$B, "&gt;=" &amp; EDATE($B$1, -12),
    'Deviation RC Data'!$B:$B, "&lt;=" &amp; $B$1
  ),
  IF(_xlpm.result = 0, "", _xlpm.result)
)</f>
        <v/>
      </c>
      <c r="I19" t="str">
        <f ca="1">_xlfn.LET(
  _xlpm.result,
  COUNTIFS(
    'Deviation RC Data'!$O:$O, $A19,
    'Deviation RC Data'!W:W, "x",
    'Deviation RC Data'!$B:$B, "&gt;=" &amp; EDATE($B$1, -12),
    'Deviation RC Data'!$B:$B, "&lt;=" &amp; $B$1
  ),
  IF(_xlpm.result = 0, "", _xlpm.result)
)</f>
        <v/>
      </c>
      <c r="J19" t="str">
        <f ca="1">_xlfn.LET(
  _xlpm.result,
  COUNTIFS(
    'Deviation RC Data'!$O:$O, $A19,
    'Deviation RC Data'!X:X, "x",
    'Deviation RC Data'!$B:$B, "&gt;=" &amp; EDATE($B$1, -12),
    'Deviation RC Data'!$B:$B, "&lt;=" &amp; $B$1
  ),
  IF(_xlpm.result = 0, "", _xlpm.result)
)</f>
        <v/>
      </c>
      <c r="K19" t="str">
        <f ca="1">_xlfn.LET(
  _xlpm.result,
  COUNTIFS(
    'Deviation RC Data'!$O:$O, $A19,
    'Deviation RC Data'!Y:Y, "x",
    'Deviation RC Data'!$B:$B, "&gt;=" &amp; EDATE($B$1, -12),
    'Deviation RC Data'!$B:$B, "&lt;=" &amp; $B$1
  ),
  IF(_xlpm.result = 0, "", _xlpm.result)
)</f>
        <v/>
      </c>
      <c r="L19" t="str">
        <f ca="1">_xlfn.LET(
  _xlpm.result,
  COUNTIFS(
    'Deviation RC Data'!$O:$O, $A19,
    'Deviation RC Data'!Z:Z, "x",
    'Deviation RC Data'!$B:$B, "&gt;=" &amp; EDATE($B$1, -12),
    'Deviation RC Data'!$B:$B, "&lt;=" &amp; $B$1
  ),
  IF(_xlpm.result = 0, "", _xlpm.result)
)</f>
        <v/>
      </c>
      <c r="M19" t="str">
        <f ca="1">_xlfn.LET(
  _xlpm.result,
  COUNTIFS(
    'Deviation RC Data'!$O:$O, $A19,
    'Deviation RC Data'!AA:AA, "x",
    'Deviation RC Data'!$B:$B, "&gt;=" &amp; EDATE($B$1, -12),
    'Deviation RC Data'!$B:$B, "&lt;=" &amp; $B$1
  ),
  IF(_xlpm.result = 0, "", _xlpm.result)
)</f>
        <v/>
      </c>
      <c r="N19" t="str">
        <f ca="1">_xlfn.LET(
  _xlpm.result,
  COUNTIFS(
    'Deviation RC Data'!$O:$O, $A19,
    'Deviation RC Data'!AB:AB, "x",
    'Deviation RC Data'!$B:$B, "&gt;=" &amp; EDATE($B$1, -12),
    'Deviation RC Data'!$B:$B, "&lt;=" &amp; $B$1
  ),
  IF(_xlpm.result = 0, "", _xlpm.result)
)</f>
        <v/>
      </c>
      <c r="O19" t="str">
        <f ca="1">_xlfn.LET(
  _xlpm.result,
  COUNTIFS(
    'Deviation RC Data'!$O:$O, $A19,
    'Deviation RC Data'!AC:AC, "x",
    'Deviation RC Data'!$B:$B, "&gt;=" &amp; EDATE($B$1, -12),
    'Deviation RC Data'!$B:$B, "&lt;=" &amp; $B$1
  ),
  IF(_xlpm.result = 0, "", _xlpm.result)
)</f>
        <v/>
      </c>
      <c r="P19" t="str">
        <f ca="1">_xlfn.LET(
  _xlpm.result,
  COUNTIFS(
    'Deviation RC Data'!$O:$O, $A19,
    'Deviation RC Data'!AD:AD, "x",
    'Deviation RC Data'!$B:$B, "&gt;=" &amp; EDATE($B$1, -12),
    'Deviation RC Data'!$B:$B, "&lt;=" &amp; $B$1
  ),
  IF(_xlpm.result = 0, "", _xlpm.result)
)</f>
        <v/>
      </c>
      <c r="Q19" t="str">
        <f ca="1">_xlfn.LET(
  _xlpm.result,
  COUNTIFS(
    'Deviation RC Data'!$O:$O, $A19,
    'Deviation RC Data'!AE:AE, "x",
    'Deviation RC Data'!$B:$B, "&gt;=" &amp; EDATE($B$1, -12),
    'Deviation RC Data'!$B:$B, "&lt;=" &amp; $B$1
  ),
  IF(_xlpm.result = 0, "", _xlpm.result)
)</f>
        <v/>
      </c>
      <c r="R19" t="str">
        <f ca="1">_xlfn.LET(
  _xlpm.result,
  COUNTIFS(
    'Deviation RC Data'!$O:$O, $A19,
    'Deviation RC Data'!AF:AF, "x",
    'Deviation RC Data'!$B:$B, "&gt;=" &amp; EDATE($B$1, -12),
    'Deviation RC Data'!$B:$B, "&lt;=" &amp; $B$1
  ),
  IF(_xlpm.result = 0, "", _xlpm.result)
)</f>
        <v/>
      </c>
      <c r="S19" t="str">
        <f ca="1">_xlfn.LET(
  _xlpm.result,
  COUNTIFS(
    'Deviation RC Data'!$O:$O, $A19,
    'Deviation RC Data'!AG:AG, "x",
    'Deviation RC Data'!$B:$B, "&gt;=" &amp; EDATE($B$1, -12),
    'Deviation RC Data'!$B:$B, "&lt;=" &amp; $B$1
  ),
  IF(_xlpm.result = 0, "", _xlpm.result)
)</f>
        <v/>
      </c>
      <c r="T19" t="str">
        <f ca="1">_xlfn.LET(
  _xlpm.result,
  COUNTIFS(
    'Deviation RC Data'!$O:$O, $A19,
    'Deviation RC Data'!AH:AH, "x",
    'Deviation RC Data'!$B:$B, "&gt;=" &amp; EDATE($B$1, -12),
    'Deviation RC Data'!$B:$B, "&lt;=" &amp; $B$1
  ),
  IF(_xlpm.result = 0, "", _xlpm.result)
)</f>
        <v/>
      </c>
    </row>
    <row r="20" spans="1:20" x14ac:dyDescent="0.3">
      <c r="A20" s="81" t="s">
        <v>248</v>
      </c>
      <c r="B20" s="82">
        <v>1</v>
      </c>
      <c r="C20" s="82" t="str">
        <f ca="1">_xlfn.LET(
  _xlpm.result,
  COUNTIFS(
    'Deviation RC Data'!$O:$O, $A20,
    'Deviation RC Data'!Q:Q, "x",
    'Deviation RC Data'!$B:$B, "&gt;=" &amp; EDATE($B$1, -12),
    'Deviation RC Data'!$B:$B, "&lt;=" &amp; $B$1
  ),
  IF(_xlpm.result = 0, "", _xlpm.result)
)</f>
        <v/>
      </c>
      <c r="D20" s="82" t="str">
        <f ca="1">_xlfn.LET(
  _xlpm.result,
  COUNTIFS(
    'Deviation RC Data'!$O:$O, $A20,
    'Deviation RC Data'!R:R, "x",
    'Deviation RC Data'!$B:$B, "&gt;=" &amp; EDATE($B$1, -12),
    'Deviation RC Data'!$B:$B, "&lt;=" &amp; $B$1
  ),
  IF(_xlpm.result = 0, "", _xlpm.result)
)</f>
        <v/>
      </c>
      <c r="E20" s="82" t="str">
        <f ca="1">_xlfn.LET(
  _xlpm.result,
  COUNTIFS(
    'Deviation RC Data'!$O:$O, $A20,
    'Deviation RC Data'!S:S, "x",
    'Deviation RC Data'!$B:$B, "&gt;=" &amp; EDATE($B$1, -12),
    'Deviation RC Data'!$B:$B, "&lt;=" &amp; $B$1
  ),
  IF(_xlpm.result = 0, "", _xlpm.result)
)</f>
        <v/>
      </c>
      <c r="F20" s="82">
        <f ca="1">_xlfn.LET(
  _xlpm.result,
  COUNTIFS(
    'Deviation RC Data'!$O:$O, $A20,
    'Deviation RC Data'!T:T, "x",
    'Deviation RC Data'!$B:$B, "&gt;=" &amp; EDATE($B$1, -12),
    'Deviation RC Data'!$B:$B, "&lt;=" &amp; $B$1
  ),
  IF(_xlpm.result = 0, "", _xlpm.result)
)</f>
        <v>1</v>
      </c>
      <c r="G20" s="82">
        <f ca="1">_xlfn.LET(
  _xlpm.result,
  COUNTIFS(
    'Deviation RC Data'!$O:$O, $A20,
    'Deviation RC Data'!U:U, "x",
    'Deviation RC Data'!$B:$B, "&gt;=" &amp; EDATE($B$1, -12),
    'Deviation RC Data'!$B:$B, "&lt;=" &amp; $B$1
  ),
  IF(_xlpm.result = 0, "", _xlpm.result)
)</f>
        <v>1</v>
      </c>
      <c r="H20" s="82">
        <v>2</v>
      </c>
      <c r="I20" s="82" t="str">
        <f ca="1">_xlfn.LET(
  _xlpm.result,
  COUNTIFS(
    'Deviation RC Data'!$O:$O, $A20,
    'Deviation RC Data'!W:W, "x",
    'Deviation RC Data'!$B:$B, "&gt;=" &amp; EDATE($B$1, -12),
    'Deviation RC Data'!$B:$B, "&lt;=" &amp; $B$1
  ),
  IF(_xlpm.result = 0, "", _xlpm.result)
)</f>
        <v/>
      </c>
      <c r="J20" s="82" t="str">
        <f ca="1">_xlfn.LET(
  _xlpm.result,
  COUNTIFS(
    'Deviation RC Data'!$O:$O, $A20,
    'Deviation RC Data'!X:X, "x",
    'Deviation RC Data'!$B:$B, "&gt;=" &amp; EDATE($B$1, -12),
    'Deviation RC Data'!$B:$B, "&lt;=" &amp; $B$1
  ),
  IF(_xlpm.result = 0, "", _xlpm.result)
)</f>
        <v/>
      </c>
      <c r="K20" s="82">
        <v>1</v>
      </c>
      <c r="L20" s="82" t="str">
        <f ca="1">_xlfn.LET(
  _xlpm.result,
  COUNTIFS(
    'Deviation RC Data'!$O:$O, $A20,
    'Deviation RC Data'!Z:Z, "x",
    'Deviation RC Data'!$B:$B, "&gt;=" &amp; EDATE($B$1, -12),
    'Deviation RC Data'!$B:$B, "&lt;=" &amp; $B$1
  ),
  IF(_xlpm.result = 0, "", _xlpm.result)
)</f>
        <v/>
      </c>
      <c r="M20" s="82" t="str">
        <f ca="1">_xlfn.LET(
  _xlpm.result,
  COUNTIFS(
    'Deviation RC Data'!$O:$O, $A20,
    'Deviation RC Data'!AA:AA, "x",
    'Deviation RC Data'!$B:$B, "&gt;=" &amp; EDATE($B$1, -12),
    'Deviation RC Data'!$B:$B, "&lt;=" &amp; $B$1
  ),
  IF(_xlpm.result = 0, "", _xlpm.result)
)</f>
        <v/>
      </c>
      <c r="N20" s="82" t="str">
        <f ca="1">_xlfn.LET(
  _xlpm.result,
  COUNTIFS(
    'Deviation RC Data'!$O:$O, $A20,
    'Deviation RC Data'!AB:AB, "x",
    'Deviation RC Data'!$B:$B, "&gt;=" &amp; EDATE($B$1, -12),
    'Deviation RC Data'!$B:$B, "&lt;=" &amp; $B$1
  ),
  IF(_xlpm.result = 0, "", _xlpm.result)
)</f>
        <v/>
      </c>
      <c r="O20" s="82" t="str">
        <f ca="1">_xlfn.LET(
  _xlpm.result,
  COUNTIFS(
    'Deviation RC Data'!$O:$O, $A20,
    'Deviation RC Data'!AC:AC, "x",
    'Deviation RC Data'!$B:$B, "&gt;=" &amp; EDATE($B$1, -12),
    'Deviation RC Data'!$B:$B, "&lt;=" &amp; $B$1
  ),
  IF(_xlpm.result = 0, "", _xlpm.result)
)</f>
        <v/>
      </c>
      <c r="P20" s="82" t="str">
        <f ca="1">_xlfn.LET(
  _xlpm.result,
  COUNTIFS(
    'Deviation RC Data'!$O:$O, $A20,
    'Deviation RC Data'!AD:AD, "x",
    'Deviation RC Data'!$B:$B, "&gt;=" &amp; EDATE($B$1, -12),
    'Deviation RC Data'!$B:$B, "&lt;=" &amp; $B$1
  ),
  IF(_xlpm.result = 0, "", _xlpm.result)
)</f>
        <v/>
      </c>
      <c r="Q20" s="82" t="str">
        <f ca="1">_xlfn.LET(
  _xlpm.result,
  COUNTIFS(
    'Deviation RC Data'!$O:$O, $A20,
    'Deviation RC Data'!AE:AE, "x",
    'Deviation RC Data'!$B:$B, "&gt;=" &amp; EDATE($B$1, -12),
    'Deviation RC Data'!$B:$B, "&lt;=" &amp; $B$1
  ),
  IF(_xlpm.result = 0, "", _xlpm.result)
)</f>
        <v/>
      </c>
      <c r="R20" s="82">
        <f ca="1">_xlfn.LET(
  _xlpm.result,
  COUNTIFS(
    'Deviation RC Data'!$O:$O, $A20,
    'Deviation RC Data'!AF:AF, "x",
    'Deviation RC Data'!$B:$B, "&gt;=" &amp; EDATE($B$1, -12),
    'Deviation RC Data'!$B:$B, "&lt;=" &amp; $B$1
  ),
  IF(_xlpm.result = 0, "", _xlpm.result)
)</f>
        <v>1</v>
      </c>
      <c r="S20" s="82">
        <f ca="1">_xlfn.LET(
  _xlpm.result,
  COUNTIFS(
    'Deviation RC Data'!$O:$O, $A20,
    'Deviation RC Data'!AG:AG, "x",
    'Deviation RC Data'!$B:$B, "&gt;=" &amp; EDATE($B$1, -12),
    'Deviation RC Data'!$B:$B, "&lt;=" &amp; $B$1
  ),
  IF(_xlpm.result = 0, "", _xlpm.result)
)</f>
        <v>1</v>
      </c>
      <c r="T20" s="82" t="str">
        <f ca="1">_xlfn.LET(
  _xlpm.result,
  COUNTIFS(
    'Deviation RC Data'!$O:$O, $A20,
    'Deviation RC Data'!AH:AH, "x",
    'Deviation RC Data'!$B:$B, "&gt;=" &amp; EDATE($B$1, -12),
    'Deviation RC Data'!$B:$B, "&lt;=" &amp; $B$1
  ),
  IF(_xlpm.result = 0, "", _xlpm.result)
)</f>
        <v/>
      </c>
    </row>
    <row r="21" spans="1:20" x14ac:dyDescent="0.3">
      <c r="A21" s="76" t="s">
        <v>90</v>
      </c>
      <c r="B21" t="str">
        <f ca="1">_xlfn.LET(
  _xlpm.result,
  COUNTIFS(
    'Deviation RC Data'!$O:$O, $A21,
    'Deviation RC Data'!P:P, "x",
    'Deviation RC Data'!$B:$B, "&gt;=" &amp; EDATE($B$1, -12),
    'Deviation RC Data'!$B:$B, "&lt;=" &amp; $B$1
  ),
  IF(_xlpm.result = 0, "", _xlpm.result)
)</f>
        <v/>
      </c>
      <c r="C21" t="str">
        <f ca="1">_xlfn.LET(
  _xlpm.result,
  COUNTIFS(
    'Deviation RC Data'!$O:$O, $A21,
    'Deviation RC Data'!Q:Q, "x",
    'Deviation RC Data'!$B:$B, "&gt;=" &amp; EDATE($B$1, -12),
    'Deviation RC Data'!$B:$B, "&lt;=" &amp; $B$1
  ),
  IF(_xlpm.result = 0, "", _xlpm.result)
)</f>
        <v/>
      </c>
      <c r="D21" t="str">
        <f ca="1">_xlfn.LET(
  _xlpm.result,
  COUNTIFS(
    'Deviation RC Data'!$O:$O, $A21,
    'Deviation RC Data'!R:R, "x",
    'Deviation RC Data'!$B:$B, "&gt;=" &amp; EDATE($B$1, -12),
    'Deviation RC Data'!$B:$B, "&lt;=" &amp; $B$1
  ),
  IF(_xlpm.result = 0, "", _xlpm.result)
)</f>
        <v/>
      </c>
      <c r="E21" t="str">
        <f ca="1">_xlfn.LET(
  _xlpm.result,
  COUNTIFS(
    'Deviation RC Data'!$O:$O, $A21,
    'Deviation RC Data'!S:S, "x",
    'Deviation RC Data'!$B:$B, "&gt;=" &amp; EDATE($B$1, -12),
    'Deviation RC Data'!$B:$B, "&lt;=" &amp; $B$1
  ),
  IF(_xlpm.result = 0, "", _xlpm.result)
)</f>
        <v/>
      </c>
      <c r="F21" t="str">
        <f ca="1">_xlfn.LET(
  _xlpm.result,
  COUNTIFS(
    'Deviation RC Data'!$O:$O, $A21,
    'Deviation RC Data'!T:T, "x",
    'Deviation RC Data'!$B:$B, "&gt;=" &amp; EDATE($B$1, -12),
    'Deviation RC Data'!$B:$B, "&lt;=" &amp; $B$1
  ),
  IF(_xlpm.result = 0, "", _xlpm.result)
)</f>
        <v/>
      </c>
      <c r="G21" t="str">
        <f ca="1">_xlfn.LET(
  _xlpm.result,
  COUNTIFS(
    'Deviation RC Data'!$O:$O, $A21,
    'Deviation RC Data'!U:U, "x",
    'Deviation RC Data'!$B:$B, "&gt;=" &amp; EDATE($B$1, -12),
    'Deviation RC Data'!$B:$B, "&lt;=" &amp; $B$1
  ),
  IF(_xlpm.result = 0, "", _xlpm.result)
)</f>
        <v/>
      </c>
      <c r="H21">
        <f ca="1">_xlfn.LET(
  _xlpm.result,
  COUNTIFS(
    'Deviation RC Data'!$O:$O, $A21,
    'Deviation RC Data'!V:V, "x",
    'Deviation RC Data'!$B:$B, "&gt;=" &amp; EDATE($B$1, -12),
    'Deviation RC Data'!$B:$B, "&lt;=" &amp; $B$1
  ),
  IF(_xlpm.result = 0, "", _xlpm.result)
)</f>
        <v>1</v>
      </c>
      <c r="I21">
        <f ca="1">_xlfn.LET(
  _xlpm.result,
  COUNTIFS(
    'Deviation RC Data'!$O:$O, $A21,
    'Deviation RC Data'!W:W, "x",
    'Deviation RC Data'!$B:$B, "&gt;=" &amp; EDATE($B$1, -12),
    'Deviation RC Data'!$B:$B, "&lt;=" &amp; $B$1
  ),
  IF(_xlpm.result = 0, "", _xlpm.result)
)</f>
        <v>7</v>
      </c>
      <c r="J21" t="str">
        <f ca="1">_xlfn.LET(
  _xlpm.result,
  COUNTIFS(
    'Deviation RC Data'!$O:$O, $A21,
    'Deviation RC Data'!X:X, "x",
    'Deviation RC Data'!$B:$B, "&gt;=" &amp; EDATE($B$1, -12),
    'Deviation RC Data'!$B:$B, "&lt;=" &amp; $B$1
  ),
  IF(_xlpm.result = 0, "", _xlpm.result)
)</f>
        <v/>
      </c>
      <c r="K21" t="str">
        <f ca="1">_xlfn.LET(
  _xlpm.result,
  COUNTIFS(
    'Deviation RC Data'!$O:$O, $A21,
    'Deviation RC Data'!Y:Y, "x",
    'Deviation RC Data'!$B:$B, "&gt;=" &amp; EDATE($B$1, -12),
    'Deviation RC Data'!$B:$B, "&lt;=" &amp; $B$1
  ),
  IF(_xlpm.result = 0, "", _xlpm.result)
)</f>
        <v/>
      </c>
      <c r="L21" t="str">
        <f ca="1">_xlfn.LET(
  _xlpm.result,
  COUNTIFS(
    'Deviation RC Data'!$O:$O, $A21,
    'Deviation RC Data'!Z:Z, "x",
    'Deviation RC Data'!$B:$B, "&gt;=" &amp; EDATE($B$1, -12),
    'Deviation RC Data'!$B:$B, "&lt;=" &amp; $B$1
  ),
  IF(_xlpm.result = 0, "", _xlpm.result)
)</f>
        <v/>
      </c>
      <c r="M21" t="str">
        <f ca="1">_xlfn.LET(
  _xlpm.result,
  COUNTIFS(
    'Deviation RC Data'!$O:$O, $A21,
    'Deviation RC Data'!AA:AA, "x",
    'Deviation RC Data'!$B:$B, "&gt;=" &amp; EDATE($B$1, -12),
    'Deviation RC Data'!$B:$B, "&lt;=" &amp; $B$1
  ),
  IF(_xlpm.result = 0, "", _xlpm.result)
)</f>
        <v/>
      </c>
      <c r="N21" t="str">
        <f ca="1">_xlfn.LET(
  _xlpm.result,
  COUNTIFS(
    'Deviation RC Data'!$O:$O, $A21,
    'Deviation RC Data'!AB:AB, "x",
    'Deviation RC Data'!$B:$B, "&gt;=" &amp; EDATE($B$1, -12),
    'Deviation RC Data'!$B:$B, "&lt;=" &amp; $B$1
  ),
  IF(_xlpm.result = 0, "", _xlpm.result)
)</f>
        <v/>
      </c>
      <c r="O21" t="str">
        <f ca="1">_xlfn.LET(
  _xlpm.result,
  COUNTIFS(
    'Deviation RC Data'!$O:$O, $A21,
    'Deviation RC Data'!AC:AC, "x",
    'Deviation RC Data'!$B:$B, "&gt;=" &amp; EDATE($B$1, -12),
    'Deviation RC Data'!$B:$B, "&lt;=" &amp; $B$1
  ),
  IF(_xlpm.result = 0, "", _xlpm.result)
)</f>
        <v/>
      </c>
      <c r="P21" t="str">
        <f ca="1">_xlfn.LET(
  _xlpm.result,
  COUNTIFS(
    'Deviation RC Data'!$O:$O, $A21,
    'Deviation RC Data'!AD:AD, "x",
    'Deviation RC Data'!$B:$B, "&gt;=" &amp; EDATE($B$1, -12),
    'Deviation RC Data'!$B:$B, "&lt;=" &amp; $B$1
  ),
  IF(_xlpm.result = 0, "", _xlpm.result)
)</f>
        <v/>
      </c>
      <c r="Q21" t="str">
        <f ca="1">_xlfn.LET(
  _xlpm.result,
  COUNTIFS(
    'Deviation RC Data'!$O:$O, $A21,
    'Deviation RC Data'!AE:AE, "x",
    'Deviation RC Data'!$B:$B, "&gt;=" &amp; EDATE($B$1, -12),
    'Deviation RC Data'!$B:$B, "&lt;=" &amp; $B$1
  ),
  IF(_xlpm.result = 0, "", _xlpm.result)
)</f>
        <v/>
      </c>
      <c r="R21" t="str">
        <f ca="1">_xlfn.LET(
  _xlpm.result,
  COUNTIFS(
    'Deviation RC Data'!$O:$O, $A21,
    'Deviation RC Data'!AF:AF, "x",
    'Deviation RC Data'!$B:$B, "&gt;=" &amp; EDATE($B$1, -12),
    'Deviation RC Data'!$B:$B, "&lt;=" &amp; $B$1
  ),
  IF(_xlpm.result = 0, "", _xlpm.result)
)</f>
        <v/>
      </c>
      <c r="S21" t="str">
        <f ca="1">_xlfn.LET(
  _xlpm.result,
  COUNTIFS(
    'Deviation RC Data'!$O:$O, $A21,
    'Deviation RC Data'!AG:AG, "x",
    'Deviation RC Data'!$B:$B, "&gt;=" &amp; EDATE($B$1, -12),
    'Deviation RC Data'!$B:$B, "&lt;=" &amp; $B$1
  ),
  IF(_xlpm.result = 0, "", _xlpm.result)
)</f>
        <v/>
      </c>
      <c r="T21" t="str">
        <f ca="1">_xlfn.LET(
  _xlpm.result,
  COUNTIFS(
    'Deviation RC Data'!$O:$O, $A21,
    'Deviation RC Data'!AH:AH, "x",
    'Deviation RC Data'!$B:$B, "&gt;=" &amp; EDATE($B$1, -12),
    'Deviation RC Data'!$B:$B, "&lt;=" &amp; $B$1
  ),
  IF(_xlpm.result = 0, "", _xlpm.result)
)</f>
        <v/>
      </c>
    </row>
    <row r="22" spans="1:20" x14ac:dyDescent="0.3">
      <c r="A22" s="81" t="s">
        <v>266</v>
      </c>
      <c r="B22" s="82" t="str">
        <f ca="1">_xlfn.LET(
  _xlpm.result,
  COUNTIFS(
    'Deviation RC Data'!$O:$O, $A22,
    'Deviation RC Data'!P:P, "x",
    'Deviation RC Data'!$B:$B, "&gt;=" &amp; EDATE($B$1, -12),
    'Deviation RC Data'!$B:$B, "&lt;=" &amp; $B$1
  ),
  IF(_xlpm.result = 0, "", _xlpm.result)
)</f>
        <v/>
      </c>
      <c r="C22" s="82" t="str">
        <f ca="1">_xlfn.LET(
  _xlpm.result,
  COUNTIFS(
    'Deviation RC Data'!$O:$O, $A22,
    'Deviation RC Data'!Q:Q, "x",
    'Deviation RC Data'!$B:$B, "&gt;=" &amp; EDATE($B$1, -12),
    'Deviation RC Data'!$B:$B, "&lt;=" &amp; $B$1
  ),
  IF(_xlpm.result = 0, "", _xlpm.result)
)</f>
        <v/>
      </c>
      <c r="D22" s="82" t="str">
        <f ca="1">_xlfn.LET(
  _xlpm.result,
  COUNTIFS(
    'Deviation RC Data'!$O:$O, $A22,
    'Deviation RC Data'!R:R, "x",
    'Deviation RC Data'!$B:$B, "&gt;=" &amp; EDATE($B$1, -12),
    'Deviation RC Data'!$B:$B, "&lt;=" &amp; $B$1
  ),
  IF(_xlpm.result = 0, "", _xlpm.result)
)</f>
        <v/>
      </c>
      <c r="E22" s="82" t="str">
        <f ca="1">_xlfn.LET(
  _xlpm.result,
  COUNTIFS(
    'Deviation RC Data'!$O:$O, $A22,
    'Deviation RC Data'!S:S, "x",
    'Deviation RC Data'!$B:$B, "&gt;=" &amp; EDATE($B$1, -12),
    'Deviation RC Data'!$B:$B, "&lt;=" &amp; $B$1
  ),
  IF(_xlpm.result = 0, "", _xlpm.result)
)</f>
        <v/>
      </c>
      <c r="F22" s="82" t="str">
        <f ca="1">_xlfn.LET(
  _xlpm.result,
  COUNTIFS(
    'Deviation RC Data'!$O:$O, $A22,
    'Deviation RC Data'!T:T, "x",
    'Deviation RC Data'!$B:$B, "&gt;=" &amp; EDATE($B$1, -12),
    'Deviation RC Data'!$B:$B, "&lt;=" &amp; $B$1
  ),
  IF(_xlpm.result = 0, "", _xlpm.result)
)</f>
        <v/>
      </c>
      <c r="G22" s="82" t="str">
        <f ca="1">_xlfn.LET(
  _xlpm.result,
  COUNTIFS(
    'Deviation RC Data'!$O:$O, $A22,
    'Deviation RC Data'!U:U, "x",
    'Deviation RC Data'!$B:$B, "&gt;=" &amp; EDATE($B$1, -12),
    'Deviation RC Data'!$B:$B, "&lt;=" &amp; $B$1
  ),
  IF(_xlpm.result = 0, "", _xlpm.result)
)</f>
        <v/>
      </c>
      <c r="H22" s="82" t="str">
        <f ca="1">_xlfn.LET(
  _xlpm.result,
  COUNTIFS(
    'Deviation RC Data'!$O:$O, $A22,
    'Deviation RC Data'!V:V, "x",
    'Deviation RC Data'!$B:$B, "&gt;=" &amp; EDATE($B$1, -12),
    'Deviation RC Data'!$B:$B, "&lt;=" &amp; $B$1
  ),
  IF(_xlpm.result = 0, "", _xlpm.result)
)</f>
        <v/>
      </c>
      <c r="I22" s="82" t="str">
        <f ca="1">_xlfn.LET(
  _xlpm.result,
  COUNTIFS(
    'Deviation RC Data'!$O:$O, $A22,
    'Deviation RC Data'!W:W, "x",
    'Deviation RC Data'!$B:$B, "&gt;=" &amp; EDATE($B$1, -12),
    'Deviation RC Data'!$B:$B, "&lt;=" &amp; $B$1
  ),
  IF(_xlpm.result = 0, "", _xlpm.result)
)</f>
        <v/>
      </c>
      <c r="J22" s="82" t="str">
        <f ca="1">_xlfn.LET(
  _xlpm.result,
  COUNTIFS(
    'Deviation RC Data'!$O:$O, $A22,
    'Deviation RC Data'!X:X, "x",
    'Deviation RC Data'!$B:$B, "&gt;=" &amp; EDATE($B$1, -12),
    'Deviation RC Data'!$B:$B, "&lt;=" &amp; $B$1
  ),
  IF(_xlpm.result = 0, "", _xlpm.result)
)</f>
        <v/>
      </c>
      <c r="K22" s="82" t="str">
        <f ca="1">_xlfn.LET(
  _xlpm.result,
  COUNTIFS(
    'Deviation RC Data'!$O:$O, $A22,
    'Deviation RC Data'!Y:Y, "x",
    'Deviation RC Data'!$B:$B, "&gt;=" &amp; EDATE($B$1, -12),
    'Deviation RC Data'!$B:$B, "&lt;=" &amp; $B$1
  ),
  IF(_xlpm.result = 0, "", _xlpm.result)
)</f>
        <v/>
      </c>
      <c r="L22" s="82" t="str">
        <f ca="1">_xlfn.LET(
  _xlpm.result,
  COUNTIFS(
    'Deviation RC Data'!$O:$O, $A22,
    'Deviation RC Data'!Z:Z, "x",
    'Deviation RC Data'!$B:$B, "&gt;=" &amp; EDATE($B$1, -12),
    'Deviation RC Data'!$B:$B, "&lt;=" &amp; $B$1
  ),
  IF(_xlpm.result = 0, "", _xlpm.result)
)</f>
        <v/>
      </c>
      <c r="M22" s="82" t="str">
        <f ca="1">_xlfn.LET(
  _xlpm.result,
  COUNTIFS(
    'Deviation RC Data'!$O:$O, $A22,
    'Deviation RC Data'!AA:AA, "x",
    'Deviation RC Data'!$B:$B, "&gt;=" &amp; EDATE($B$1, -12),
    'Deviation RC Data'!$B:$B, "&lt;=" &amp; $B$1
  ),
  IF(_xlpm.result = 0, "", _xlpm.result)
)</f>
        <v/>
      </c>
      <c r="N22" s="82" t="str">
        <f ca="1">_xlfn.LET(
  _xlpm.result,
  COUNTIFS(
    'Deviation RC Data'!$O:$O, $A22,
    'Deviation RC Data'!AB:AB, "x",
    'Deviation RC Data'!$B:$B, "&gt;=" &amp; EDATE($B$1, -12),
    'Deviation RC Data'!$B:$B, "&lt;=" &amp; $B$1
  ),
  IF(_xlpm.result = 0, "", _xlpm.result)
)</f>
        <v/>
      </c>
      <c r="O22" s="82" t="str">
        <f ca="1">_xlfn.LET(
  _xlpm.result,
  COUNTIFS(
    'Deviation RC Data'!$O:$O, $A22,
    'Deviation RC Data'!AC:AC, "x",
    'Deviation RC Data'!$B:$B, "&gt;=" &amp; EDATE($B$1, -12),
    'Deviation RC Data'!$B:$B, "&lt;=" &amp; $B$1
  ),
  IF(_xlpm.result = 0, "", _xlpm.result)
)</f>
        <v/>
      </c>
      <c r="P22" s="82" t="str">
        <f ca="1">_xlfn.LET(
  _xlpm.result,
  COUNTIFS(
    'Deviation RC Data'!$O:$O, $A22,
    'Deviation RC Data'!AD:AD, "x",
    'Deviation RC Data'!$B:$B, "&gt;=" &amp; EDATE($B$1, -12),
    'Deviation RC Data'!$B:$B, "&lt;=" &amp; $B$1
  ),
  IF(_xlpm.result = 0, "", _xlpm.result)
)</f>
        <v/>
      </c>
      <c r="Q22" s="82" t="str">
        <f ca="1">_xlfn.LET(
  _xlpm.result,
  COUNTIFS(
    'Deviation RC Data'!$O:$O, $A22,
    'Deviation RC Data'!AE:AE, "x",
    'Deviation RC Data'!$B:$B, "&gt;=" &amp; EDATE($B$1, -12),
    'Deviation RC Data'!$B:$B, "&lt;=" &amp; $B$1
  ),
  IF(_xlpm.result = 0, "", _xlpm.result)
)</f>
        <v/>
      </c>
      <c r="R22" s="82" t="str">
        <f ca="1">_xlfn.LET(
  _xlpm.result,
  COUNTIFS(
    'Deviation RC Data'!$O:$O, $A22,
    'Deviation RC Data'!AF:AF, "x",
    'Deviation RC Data'!$B:$B, "&gt;=" &amp; EDATE($B$1, -12),
    'Deviation RC Data'!$B:$B, "&lt;=" &amp; $B$1
  ),
  IF(_xlpm.result = 0, "", _xlpm.result)
)</f>
        <v/>
      </c>
      <c r="S22" s="82" t="str">
        <f ca="1">_xlfn.LET(
  _xlpm.result,
  COUNTIFS(
    'Deviation RC Data'!$O:$O, $A22,
    'Deviation RC Data'!AG:AG, "x",
    'Deviation RC Data'!$B:$B, "&gt;=" &amp; EDATE($B$1, -12),
    'Deviation RC Data'!$B:$B, "&lt;=" &amp; $B$1
  ),
  IF(_xlpm.result = 0, "", _xlpm.result)
)</f>
        <v/>
      </c>
      <c r="T22" s="82" t="str">
        <f ca="1">_xlfn.LET(
  _xlpm.result,
  COUNTIFS(
    'Deviation RC Data'!$O:$O, $A22,
    'Deviation RC Data'!AH:AH, "x",
    'Deviation RC Data'!$B:$B, "&gt;=" &amp; EDATE($B$1, -12),
    'Deviation RC Data'!$B:$B, "&lt;=" &amp; $B$1
  ),
  IF(_xlpm.result = 0, "", _xlpm.result)
)</f>
        <v/>
      </c>
    </row>
    <row r="23" spans="1:20" x14ac:dyDescent="0.3">
      <c r="A23" s="76" t="s">
        <v>92</v>
      </c>
      <c r="B23">
        <f ca="1">_xlfn.LET(
  _xlpm.result,
  COUNTIFS(
    'Deviation RC Data'!$O:$O, $A23,
    'Deviation RC Data'!P:P, "x",
    'Deviation RC Data'!$B:$B, "&gt;=" &amp; EDATE($B$1, -12),
    'Deviation RC Data'!$B:$B, "&lt;=" &amp; $B$1
  ),
  IF(_xlpm.result = 0, "", _xlpm.result)
)</f>
        <v>2</v>
      </c>
      <c r="C23" t="str">
        <f ca="1">_xlfn.LET(
  _xlpm.result,
  COUNTIFS(
    'Deviation RC Data'!$O:$O, $A23,
    'Deviation RC Data'!Q:Q, "x",
    'Deviation RC Data'!$B:$B, "&gt;=" &amp; EDATE($B$1, -12),
    'Deviation RC Data'!$B:$B, "&lt;=" &amp; $B$1
  ),
  IF(_xlpm.result = 0, "", _xlpm.result)
)</f>
        <v/>
      </c>
      <c r="D23" t="str">
        <f ca="1">_xlfn.LET(
  _xlpm.result,
  COUNTIFS(
    'Deviation RC Data'!$O:$O, $A23,
    'Deviation RC Data'!R:R, "x",
    'Deviation RC Data'!$B:$B, "&gt;=" &amp; EDATE($B$1, -12),
    'Deviation RC Data'!$B:$B, "&lt;=" &amp; $B$1
  ),
  IF(_xlpm.result = 0, "", _xlpm.result)
)</f>
        <v/>
      </c>
      <c r="E23" t="str">
        <f ca="1">_xlfn.LET(
  _xlpm.result,
  COUNTIFS(
    'Deviation RC Data'!$O:$O, $A23,
    'Deviation RC Data'!S:S, "x",
    'Deviation RC Data'!$B:$B, "&gt;=" &amp; EDATE($B$1, -12),
    'Deviation RC Data'!$B:$B, "&lt;=" &amp; $B$1
  ),
  IF(_xlpm.result = 0, "", _xlpm.result)
)</f>
        <v/>
      </c>
      <c r="F23" t="str">
        <f ca="1">_xlfn.LET(
  _xlpm.result,
  COUNTIFS(
    'Deviation RC Data'!$O:$O, $A23,
    'Deviation RC Data'!T:T, "x",
    'Deviation RC Data'!$B:$B, "&gt;=" &amp; EDATE($B$1, -12),
    'Deviation RC Data'!$B:$B, "&lt;=" &amp; $B$1
  ),
  IF(_xlpm.result = 0, "", _xlpm.result)
)</f>
        <v/>
      </c>
      <c r="G23" t="str">
        <f ca="1">_xlfn.LET(
  _xlpm.result,
  COUNTIFS(
    'Deviation RC Data'!$O:$O, $A23,
    'Deviation RC Data'!U:U, "x",
    'Deviation RC Data'!$B:$B, "&gt;=" &amp; EDATE($B$1, -12),
    'Deviation RC Data'!$B:$B, "&lt;=" &amp; $B$1
  ),
  IF(_xlpm.result = 0, "", _xlpm.result)
)</f>
        <v/>
      </c>
      <c r="H23">
        <f ca="1">_xlfn.LET(
  _xlpm.result,
  COUNTIFS(
    'Deviation RC Data'!$O:$O, $A23,
    'Deviation RC Data'!V:V, "x",
    'Deviation RC Data'!$B:$B, "&gt;=" &amp; EDATE($B$1, -12),
    'Deviation RC Data'!$B:$B, "&lt;=" &amp; $B$1
  ),
  IF(_xlpm.result = 0, "", _xlpm.result)
)</f>
        <v>1</v>
      </c>
      <c r="I23">
        <f ca="1">_xlfn.LET(
  _xlpm.result,
  COUNTIFS(
    'Deviation RC Data'!$O:$O, $A23,
    'Deviation RC Data'!W:W, "x",
    'Deviation RC Data'!$B:$B, "&gt;=" &amp; EDATE($B$1, -12),
    'Deviation RC Data'!$B:$B, "&lt;=" &amp; $B$1
  ),
  IF(_xlpm.result = 0, "", _xlpm.result)
)</f>
        <v>1</v>
      </c>
      <c r="J23" t="str">
        <f ca="1">_xlfn.LET(
  _xlpm.result,
  COUNTIFS(
    'Deviation RC Data'!$O:$O, $A23,
    'Deviation RC Data'!X:X, "x",
    'Deviation RC Data'!$B:$B, "&gt;=" &amp; EDATE($B$1, -12),
    'Deviation RC Data'!$B:$B, "&lt;=" &amp; $B$1
  ),
  IF(_xlpm.result = 0, "", _xlpm.result)
)</f>
        <v/>
      </c>
      <c r="K23" t="str">
        <f ca="1">_xlfn.LET(
  _xlpm.result,
  COUNTIFS(
    'Deviation RC Data'!$O:$O, $A23,
    'Deviation RC Data'!Y:Y, "x",
    'Deviation RC Data'!$B:$B, "&gt;=" &amp; EDATE($B$1, -12),
    'Deviation RC Data'!$B:$B, "&lt;=" &amp; $B$1
  ),
  IF(_xlpm.result = 0, "", _xlpm.result)
)</f>
        <v/>
      </c>
      <c r="L23" t="str">
        <f ca="1">_xlfn.LET(
  _xlpm.result,
  COUNTIFS(
    'Deviation RC Data'!$O:$O, $A23,
    'Deviation RC Data'!Z:Z, "x",
    'Deviation RC Data'!$B:$B, "&gt;=" &amp; EDATE($B$1, -12),
    'Deviation RC Data'!$B:$B, "&lt;=" &amp; $B$1
  ),
  IF(_xlpm.result = 0, "", _xlpm.result)
)</f>
        <v/>
      </c>
      <c r="M23" t="str">
        <f ca="1">_xlfn.LET(
  _xlpm.result,
  COUNTIFS(
    'Deviation RC Data'!$O:$O, $A23,
    'Deviation RC Data'!AA:AA, "x",
    'Deviation RC Data'!$B:$B, "&gt;=" &amp; EDATE($B$1, -12),
    'Deviation RC Data'!$B:$B, "&lt;=" &amp; $B$1
  ),
  IF(_xlpm.result = 0, "", _xlpm.result)
)</f>
        <v/>
      </c>
      <c r="N23" t="str">
        <f ca="1">_xlfn.LET(
  _xlpm.result,
  COUNTIFS(
    'Deviation RC Data'!$O:$O, $A23,
    'Deviation RC Data'!AB:AB, "x",
    'Deviation RC Data'!$B:$B, "&gt;=" &amp; EDATE($B$1, -12),
    'Deviation RC Data'!$B:$B, "&lt;=" &amp; $B$1
  ),
  IF(_xlpm.result = 0, "", _xlpm.result)
)</f>
        <v/>
      </c>
      <c r="O23" t="str">
        <f ca="1">_xlfn.LET(
  _xlpm.result,
  COUNTIFS(
    'Deviation RC Data'!$O:$O, $A23,
    'Deviation RC Data'!AC:AC, "x",
    'Deviation RC Data'!$B:$B, "&gt;=" &amp; EDATE($B$1, -12),
    'Deviation RC Data'!$B:$B, "&lt;=" &amp; $B$1
  ),
  IF(_xlpm.result = 0, "", _xlpm.result)
)</f>
        <v/>
      </c>
      <c r="P23" t="str">
        <f ca="1">_xlfn.LET(
  _xlpm.result,
  COUNTIFS(
    'Deviation RC Data'!$O:$O, $A23,
    'Deviation RC Data'!AD:AD, "x",
    'Deviation RC Data'!$B:$B, "&gt;=" &amp; EDATE($B$1, -12),
    'Deviation RC Data'!$B:$B, "&lt;=" &amp; $B$1
  ),
  IF(_xlpm.result = 0, "", _xlpm.result)
)</f>
        <v/>
      </c>
      <c r="Q23" t="str">
        <f ca="1">_xlfn.LET(
  _xlpm.result,
  COUNTIFS(
    'Deviation RC Data'!$O:$O, $A23,
    'Deviation RC Data'!AE:AE, "x",
    'Deviation RC Data'!$B:$B, "&gt;=" &amp; EDATE($B$1, -12),
    'Deviation RC Data'!$B:$B, "&lt;=" &amp; $B$1
  ),
  IF(_xlpm.result = 0, "", _xlpm.result)
)</f>
        <v/>
      </c>
      <c r="R23" t="str">
        <f ca="1">_xlfn.LET(
  _xlpm.result,
  COUNTIFS(
    'Deviation RC Data'!$O:$O, $A23,
    'Deviation RC Data'!AF:AF, "x",
    'Deviation RC Data'!$B:$B, "&gt;=" &amp; EDATE($B$1, -12),
    'Deviation RC Data'!$B:$B, "&lt;=" &amp; $B$1
  ),
  IF(_xlpm.result = 0, "", _xlpm.result)
)</f>
        <v/>
      </c>
      <c r="S23" t="str">
        <f ca="1">_xlfn.LET(
  _xlpm.result,
  COUNTIFS(
    'Deviation RC Data'!$O:$O, $A23,
    'Deviation RC Data'!AG:AG, "x",
    'Deviation RC Data'!$B:$B, "&gt;=" &amp; EDATE($B$1, -12),
    'Deviation RC Data'!$B:$B, "&lt;=" &amp; $B$1
  ),
  IF(_xlpm.result = 0, "", _xlpm.result)
)</f>
        <v/>
      </c>
      <c r="T23" t="str">
        <f ca="1">_xlfn.LET(
  _xlpm.result,
  COUNTIFS(
    'Deviation RC Data'!$O:$O, $A23,
    'Deviation RC Data'!AH:AH, "x",
    'Deviation RC Data'!$B:$B, "&gt;=" &amp; EDATE($B$1, -12),
    'Deviation RC Data'!$B:$B, "&lt;=" &amp; $B$1
  ),
  IF(_xlpm.result = 0, "", _xlpm.result)
)</f>
        <v/>
      </c>
    </row>
    <row r="24" spans="1:20" x14ac:dyDescent="0.3">
      <c r="A24" s="81" t="s">
        <v>143</v>
      </c>
      <c r="B24" s="82" t="str">
        <f ca="1">_xlfn.LET(
  _xlpm.result,
  COUNTIFS(
    'Deviation RC Data'!$O:$O, $A24,
    'Deviation RC Data'!P:P, "x",
    'Deviation RC Data'!$B:$B, "&gt;=" &amp; EDATE($B$1, -12),
    'Deviation RC Data'!$B:$B, "&lt;=" &amp; $B$1
  ),
  IF(_xlpm.result = 0, "", _xlpm.result)
)</f>
        <v/>
      </c>
      <c r="C24" s="82" t="str">
        <f ca="1">_xlfn.LET(
  _xlpm.result,
  COUNTIFS(
    'Deviation RC Data'!$O:$O, $A24,
    'Deviation RC Data'!Q:Q, "x",
    'Deviation RC Data'!$B:$B, "&gt;=" &amp; EDATE($B$1, -12),
    'Deviation RC Data'!$B:$B, "&lt;=" &amp; $B$1
  ),
  IF(_xlpm.result = 0, "", _xlpm.result)
)</f>
        <v/>
      </c>
      <c r="D24" s="82" t="str">
        <f ca="1">_xlfn.LET(
  _xlpm.result,
  COUNTIFS(
    'Deviation RC Data'!$O:$O, $A24,
    'Deviation RC Data'!R:R, "x",
    'Deviation RC Data'!$B:$B, "&gt;=" &amp; EDATE($B$1, -12),
    'Deviation RC Data'!$B:$B, "&lt;=" &amp; $B$1
  ),
  IF(_xlpm.result = 0, "", _xlpm.result)
)</f>
        <v/>
      </c>
      <c r="E24" s="82" t="str">
        <f ca="1">_xlfn.LET(
  _xlpm.result,
  COUNTIFS(
    'Deviation RC Data'!$O:$O, $A24,
    'Deviation RC Data'!S:S, "x",
    'Deviation RC Data'!$B:$B, "&gt;=" &amp; EDATE($B$1, -12),
    'Deviation RC Data'!$B:$B, "&lt;=" &amp; $B$1
  ),
  IF(_xlpm.result = 0, "", _xlpm.result)
)</f>
        <v/>
      </c>
      <c r="F24" s="82" t="str">
        <f ca="1">_xlfn.LET(
  _xlpm.result,
  COUNTIFS(
    'Deviation RC Data'!$O:$O, $A24,
    'Deviation RC Data'!T:T, "x",
    'Deviation RC Data'!$B:$B, "&gt;=" &amp; EDATE($B$1, -12),
    'Deviation RC Data'!$B:$B, "&lt;=" &amp; $B$1
  ),
  IF(_xlpm.result = 0, "", _xlpm.result)
)</f>
        <v/>
      </c>
      <c r="G24" s="82" t="str">
        <f ca="1">_xlfn.LET(
  _xlpm.result,
  COUNTIFS(
    'Deviation RC Data'!$O:$O, $A24,
    'Deviation RC Data'!U:U, "x",
    'Deviation RC Data'!$B:$B, "&gt;=" &amp; EDATE($B$1, -12),
    'Deviation RC Data'!$B:$B, "&lt;=" &amp; $B$1
  ),
  IF(_xlpm.result = 0, "", _xlpm.result)
)</f>
        <v/>
      </c>
      <c r="H24" s="82" t="str">
        <f ca="1">_xlfn.LET(
  _xlpm.result,
  COUNTIFS(
    'Deviation RC Data'!$O:$O, $A24,
    'Deviation RC Data'!V:V, "x",
    'Deviation RC Data'!$B:$B, "&gt;=" &amp; EDATE($B$1, -12),
    'Deviation RC Data'!$B:$B, "&lt;=" &amp; $B$1
  ),
  IF(_xlpm.result = 0, "", _xlpm.result)
)</f>
        <v/>
      </c>
      <c r="I24" s="82" t="str">
        <f ca="1">_xlfn.LET(
  _xlpm.result,
  COUNTIFS(
    'Deviation RC Data'!$O:$O, $A24,
    'Deviation RC Data'!W:W, "x",
    'Deviation RC Data'!$B:$B, "&gt;=" &amp; EDATE($B$1, -12),
    'Deviation RC Data'!$B:$B, "&lt;=" &amp; $B$1
  ),
  IF(_xlpm.result = 0, "", _xlpm.result)
)</f>
        <v/>
      </c>
      <c r="J24" s="82" t="str">
        <f ca="1">_xlfn.LET(
  _xlpm.result,
  COUNTIFS(
    'Deviation RC Data'!$O:$O, $A24,
    'Deviation RC Data'!X:X, "x",
    'Deviation RC Data'!$B:$B, "&gt;=" &amp; EDATE($B$1, -12),
    'Deviation RC Data'!$B:$B, "&lt;=" &amp; $B$1
  ),
  IF(_xlpm.result = 0, "", _xlpm.result)
)</f>
        <v/>
      </c>
      <c r="K24" s="82" t="str">
        <f ca="1">_xlfn.LET(
  _xlpm.result,
  COUNTIFS(
    'Deviation RC Data'!$O:$O, $A24,
    'Deviation RC Data'!Y:Y, "x",
    'Deviation RC Data'!$B:$B, "&gt;=" &amp; EDATE($B$1, -12),
    'Deviation RC Data'!$B:$B, "&lt;=" &amp; $B$1
  ),
  IF(_xlpm.result = 0, "", _xlpm.result)
)</f>
        <v/>
      </c>
      <c r="L24" s="82" t="str">
        <f ca="1">_xlfn.LET(
  _xlpm.result,
  COUNTIFS(
    'Deviation RC Data'!$O:$O, $A24,
    'Deviation RC Data'!Z:Z, "x",
    'Deviation RC Data'!$B:$B, "&gt;=" &amp; EDATE($B$1, -12),
    'Deviation RC Data'!$B:$B, "&lt;=" &amp; $B$1
  ),
  IF(_xlpm.result = 0, "", _xlpm.result)
)</f>
        <v/>
      </c>
      <c r="M24" s="82" t="str">
        <f ca="1">_xlfn.LET(
  _xlpm.result,
  COUNTIFS(
    'Deviation RC Data'!$O:$O, $A24,
    'Deviation RC Data'!AA:AA, "x",
    'Deviation RC Data'!$B:$B, "&gt;=" &amp; EDATE($B$1, -12),
    'Deviation RC Data'!$B:$B, "&lt;=" &amp; $B$1
  ),
  IF(_xlpm.result = 0, "", _xlpm.result)
)</f>
        <v/>
      </c>
      <c r="N24" s="82" t="str">
        <f ca="1">_xlfn.LET(
  _xlpm.result,
  COUNTIFS(
    'Deviation RC Data'!$O:$O, $A24,
    'Deviation RC Data'!AB:AB, "x",
    'Deviation RC Data'!$B:$B, "&gt;=" &amp; EDATE($B$1, -12),
    'Deviation RC Data'!$B:$B, "&lt;=" &amp; $B$1
  ),
  IF(_xlpm.result = 0, "", _xlpm.result)
)</f>
        <v/>
      </c>
      <c r="O24" s="82" t="str">
        <f ca="1">_xlfn.LET(
  _xlpm.result,
  COUNTIFS(
    'Deviation RC Data'!$O:$O, $A24,
    'Deviation RC Data'!AC:AC, "x",
    'Deviation RC Data'!$B:$B, "&gt;=" &amp; EDATE($B$1, -12),
    'Deviation RC Data'!$B:$B, "&lt;=" &amp; $B$1
  ),
  IF(_xlpm.result = 0, "", _xlpm.result)
)</f>
        <v/>
      </c>
      <c r="P24" s="82" t="str">
        <f ca="1">_xlfn.LET(
  _xlpm.result,
  COUNTIFS(
    'Deviation RC Data'!$O:$O, $A24,
    'Deviation RC Data'!AD:AD, "x",
    'Deviation RC Data'!$B:$B, "&gt;=" &amp; EDATE($B$1, -12),
    'Deviation RC Data'!$B:$B, "&lt;=" &amp; $B$1
  ),
  IF(_xlpm.result = 0, "", _xlpm.result)
)</f>
        <v/>
      </c>
      <c r="Q24" s="82" t="str">
        <f ca="1">_xlfn.LET(
  _xlpm.result,
  COUNTIFS(
    'Deviation RC Data'!$O:$O, $A24,
    'Deviation RC Data'!AE:AE, "x",
    'Deviation RC Data'!$B:$B, "&gt;=" &amp; EDATE($B$1, -12),
    'Deviation RC Data'!$B:$B, "&lt;=" &amp; $B$1
  ),
  IF(_xlpm.result = 0, "", _xlpm.result)
)</f>
        <v/>
      </c>
      <c r="R24" s="82" t="str">
        <f ca="1">_xlfn.LET(
  _xlpm.result,
  COUNTIFS(
    'Deviation RC Data'!$O:$O, $A24,
    'Deviation RC Data'!AF:AF, "x",
    'Deviation RC Data'!$B:$B, "&gt;=" &amp; EDATE($B$1, -12),
    'Deviation RC Data'!$B:$B, "&lt;=" &amp; $B$1
  ),
  IF(_xlpm.result = 0, "", _xlpm.result)
)</f>
        <v/>
      </c>
      <c r="S24" s="82" t="str">
        <f ca="1">_xlfn.LET(
  _xlpm.result,
  COUNTIFS(
    'Deviation RC Data'!$O:$O, $A24,
    'Deviation RC Data'!AG:AG, "x",
    'Deviation RC Data'!$B:$B, "&gt;=" &amp; EDATE($B$1, -12),
    'Deviation RC Data'!$B:$B, "&lt;=" &amp; $B$1
  ),
  IF(_xlpm.result = 0, "", _xlpm.result)
)</f>
        <v/>
      </c>
      <c r="T24" s="82" t="str">
        <f ca="1">_xlfn.LET(
  _xlpm.result,
  COUNTIFS(
    'Deviation RC Data'!$O:$O, $A24,
    'Deviation RC Data'!AH:AH, "x",
    'Deviation RC Data'!$B:$B, "&gt;=" &amp; EDATE($B$1, -12),
    'Deviation RC Data'!$B:$B, "&lt;=" &amp; $B$1
  ),
  IF(_xlpm.result = 0, "", _xlpm.result)
)</f>
        <v/>
      </c>
    </row>
    <row r="25" spans="1:20" x14ac:dyDescent="0.3">
      <c r="A25" s="76" t="s">
        <v>267</v>
      </c>
      <c r="B25">
        <f ca="1">_xlfn.LET(
  _xlpm.result,
  COUNTIFS(
    'Deviation RC Data'!$O:$O, $A25,
    'Deviation RC Data'!P:P, "x",
    'Deviation RC Data'!$B:$B, "&gt;=" &amp; EDATE($B$1, -12),
    'Deviation RC Data'!$B:$B, "&lt;=" &amp; $B$1
  ),
  IF(_xlpm.result = 0, "", _xlpm.result)
)</f>
        <v>1</v>
      </c>
      <c r="C25" t="str">
        <f ca="1">_xlfn.LET(
  _xlpm.result,
  COUNTIFS(
    'Deviation RC Data'!$O:$O, $A25,
    'Deviation RC Data'!Q:Q, "x",
    'Deviation RC Data'!$B:$B, "&gt;=" &amp; EDATE($B$1, -12),
    'Deviation RC Data'!$B:$B, "&lt;=" &amp; $B$1
  ),
  IF(_xlpm.result = 0, "", _xlpm.result)
)</f>
        <v/>
      </c>
      <c r="D25" t="str">
        <f ca="1">_xlfn.LET(
  _xlpm.result,
  COUNTIFS(
    'Deviation RC Data'!$O:$O, $A25,
    'Deviation RC Data'!R:R, "x",
    'Deviation RC Data'!$B:$B, "&gt;=" &amp; EDATE($B$1, -12),
    'Deviation RC Data'!$B:$B, "&lt;=" &amp; $B$1
  ),
  IF(_xlpm.result = 0, "", _xlpm.result)
)</f>
        <v/>
      </c>
      <c r="E25" t="str">
        <f ca="1">_xlfn.LET(
  _xlpm.result,
  COUNTIFS(
    'Deviation RC Data'!$O:$O, $A25,
    'Deviation RC Data'!S:S, "x",
    'Deviation RC Data'!$B:$B, "&gt;=" &amp; EDATE($B$1, -12),
    'Deviation RC Data'!$B:$B, "&lt;=" &amp; $B$1
  ),
  IF(_xlpm.result = 0, "", _xlpm.result)
)</f>
        <v/>
      </c>
      <c r="F25" t="str">
        <f ca="1">_xlfn.LET(
  _xlpm.result,
  COUNTIFS(
    'Deviation RC Data'!$O:$O, $A25,
    'Deviation RC Data'!T:T, "x",
    'Deviation RC Data'!$B:$B, "&gt;=" &amp; EDATE($B$1, -12),
    'Deviation RC Data'!$B:$B, "&lt;=" &amp; $B$1
  ),
  IF(_xlpm.result = 0, "", _xlpm.result)
)</f>
        <v/>
      </c>
      <c r="G25" t="str">
        <f ca="1">_xlfn.LET(
  _xlpm.result,
  COUNTIFS(
    'Deviation RC Data'!$O:$O, $A25,
    'Deviation RC Data'!U:U, "x",
    'Deviation RC Data'!$B:$B, "&gt;=" &amp; EDATE($B$1, -12),
    'Deviation RC Data'!$B:$B, "&lt;=" &amp; $B$1
  ),
  IF(_xlpm.result = 0, "", _xlpm.result)
)</f>
        <v/>
      </c>
      <c r="H25" t="str">
        <f ca="1">_xlfn.LET(
  _xlpm.result,
  COUNTIFS(
    'Deviation RC Data'!$O:$O, $A25,
    'Deviation RC Data'!V:V, "x",
    'Deviation RC Data'!$B:$B, "&gt;=" &amp; EDATE($B$1, -12),
    'Deviation RC Data'!$B:$B, "&lt;=" &amp; $B$1
  ),
  IF(_xlpm.result = 0, "", _xlpm.result)
)</f>
        <v/>
      </c>
      <c r="I25" t="str">
        <f ca="1">_xlfn.LET(
  _xlpm.result,
  COUNTIFS(
    'Deviation RC Data'!$O:$O, $A25,
    'Deviation RC Data'!W:W, "x",
    'Deviation RC Data'!$B:$B, "&gt;=" &amp; EDATE($B$1, -12),
    'Deviation RC Data'!$B:$B, "&lt;=" &amp; $B$1
  ),
  IF(_xlpm.result = 0, "", _xlpm.result)
)</f>
        <v/>
      </c>
      <c r="J25" t="str">
        <f ca="1">_xlfn.LET(
  _xlpm.result,
  COUNTIFS(
    'Deviation RC Data'!$O:$O, $A25,
    'Deviation RC Data'!X:X, "x",
    'Deviation RC Data'!$B:$B, "&gt;=" &amp; EDATE($B$1, -12),
    'Deviation RC Data'!$B:$B, "&lt;=" &amp; $B$1
  ),
  IF(_xlpm.result = 0, "", _xlpm.result)
)</f>
        <v/>
      </c>
      <c r="K25" t="str">
        <f ca="1">_xlfn.LET(
  _xlpm.result,
  COUNTIFS(
    'Deviation RC Data'!$O:$O, $A25,
    'Deviation RC Data'!Y:Y, "x",
    'Deviation RC Data'!$B:$B, "&gt;=" &amp; EDATE($B$1, -12),
    'Deviation RC Data'!$B:$B, "&lt;=" &amp; $B$1
  ),
  IF(_xlpm.result = 0, "", _xlpm.result)
)</f>
        <v/>
      </c>
      <c r="L25" t="str">
        <f ca="1">_xlfn.LET(
  _xlpm.result,
  COUNTIFS(
    'Deviation RC Data'!$O:$O, $A25,
    'Deviation RC Data'!Z:Z, "x",
    'Deviation RC Data'!$B:$B, "&gt;=" &amp; EDATE($B$1, -12),
    'Deviation RC Data'!$B:$B, "&lt;=" &amp; $B$1
  ),
  IF(_xlpm.result = 0, "", _xlpm.result)
)</f>
        <v/>
      </c>
      <c r="M25" t="str">
        <f ca="1">_xlfn.LET(
  _xlpm.result,
  COUNTIFS(
    'Deviation RC Data'!$O:$O, $A25,
    'Deviation RC Data'!AA:AA, "x",
    'Deviation RC Data'!$B:$B, "&gt;=" &amp; EDATE($B$1, -12),
    'Deviation RC Data'!$B:$B, "&lt;=" &amp; $B$1
  ),
  IF(_xlpm.result = 0, "", _xlpm.result)
)</f>
        <v/>
      </c>
      <c r="N25" t="str">
        <f ca="1">_xlfn.LET(
  _xlpm.result,
  COUNTIFS(
    'Deviation RC Data'!$O:$O, $A25,
    'Deviation RC Data'!AB:AB, "x",
    'Deviation RC Data'!$B:$B, "&gt;=" &amp; EDATE($B$1, -12),
    'Deviation RC Data'!$B:$B, "&lt;=" &amp; $B$1
  ),
  IF(_xlpm.result = 0, "", _xlpm.result)
)</f>
        <v/>
      </c>
      <c r="O25" t="str">
        <f ca="1">_xlfn.LET(
  _xlpm.result,
  COUNTIFS(
    'Deviation RC Data'!$O:$O, $A25,
    'Deviation RC Data'!AC:AC, "x",
    'Deviation RC Data'!$B:$B, "&gt;=" &amp; EDATE($B$1, -12),
    'Deviation RC Data'!$B:$B, "&lt;=" &amp; $B$1
  ),
  IF(_xlpm.result = 0, "", _xlpm.result)
)</f>
        <v/>
      </c>
      <c r="P25" t="str">
        <f ca="1">_xlfn.LET(
  _xlpm.result,
  COUNTIFS(
    'Deviation RC Data'!$O:$O, $A25,
    'Deviation RC Data'!AD:AD, "x",
    'Deviation RC Data'!$B:$B, "&gt;=" &amp; EDATE($B$1, -12),
    'Deviation RC Data'!$B:$B, "&lt;=" &amp; $B$1
  ),
  IF(_xlpm.result = 0, "", _xlpm.result)
)</f>
        <v/>
      </c>
      <c r="Q25" t="str">
        <f ca="1">_xlfn.LET(
  _xlpm.result,
  COUNTIFS(
    'Deviation RC Data'!$O:$O, $A25,
    'Deviation RC Data'!AE:AE, "x",
    'Deviation RC Data'!$B:$B, "&gt;=" &amp; EDATE($B$1, -12),
    'Deviation RC Data'!$B:$B, "&lt;=" &amp; $B$1
  ),
  IF(_xlpm.result = 0, "", _xlpm.result)
)</f>
        <v/>
      </c>
      <c r="R25" t="str">
        <f ca="1">_xlfn.LET(
  _xlpm.result,
  COUNTIFS(
    'Deviation RC Data'!$O:$O, $A25,
    'Deviation RC Data'!AF:AF, "x",
    'Deviation RC Data'!$B:$B, "&gt;=" &amp; EDATE($B$1, -12),
    'Deviation RC Data'!$B:$B, "&lt;=" &amp; $B$1
  ),
  IF(_xlpm.result = 0, "", _xlpm.result)
)</f>
        <v/>
      </c>
      <c r="S25" t="str">
        <f ca="1">_xlfn.LET(
  _xlpm.result,
  COUNTIFS(
    'Deviation RC Data'!$O:$O, $A25,
    'Deviation RC Data'!AG:AG, "x",
    'Deviation RC Data'!$B:$B, "&gt;=" &amp; EDATE($B$1, -12),
    'Deviation RC Data'!$B:$B, "&lt;=" &amp; $B$1
  ),
  IF(_xlpm.result = 0, "", _xlpm.result)
)</f>
        <v/>
      </c>
      <c r="T25" t="str">
        <f ca="1">_xlfn.LET(
  _xlpm.result,
  COUNTIFS(
    'Deviation RC Data'!$O:$O, $A25,
    'Deviation RC Data'!AH:AH, "x",
    'Deviation RC Data'!$B:$B, "&gt;=" &amp; EDATE($B$1, -12),
    'Deviation RC Data'!$B:$B, "&lt;=" &amp; $B$1
  ),
  IF(_xlpm.result = 0, "", _xlpm.result)
)</f>
        <v/>
      </c>
    </row>
    <row r="26" spans="1:20" x14ac:dyDescent="0.3">
      <c r="A26" s="81" t="s">
        <v>268</v>
      </c>
      <c r="B26" s="82" t="str">
        <f ca="1">_xlfn.LET(
  _xlpm.result,
  COUNTIFS(
    'Deviation RC Data'!$O:$O, $A26,
    'Deviation RC Data'!P:P, "x",
    'Deviation RC Data'!$B:$B, "&gt;=" &amp; EDATE($B$1, -12),
    'Deviation RC Data'!$B:$B, "&lt;=" &amp; $B$1
  ),
  IF(_xlpm.result = 0, "", _xlpm.result)
)</f>
        <v/>
      </c>
      <c r="C26" s="82" t="str">
        <f ca="1">_xlfn.LET(
  _xlpm.result,
  COUNTIFS(
    'Deviation RC Data'!$O:$O, $A26,
    'Deviation RC Data'!Q:Q, "x",
    'Deviation RC Data'!$B:$B, "&gt;=" &amp; EDATE($B$1, -12),
    'Deviation RC Data'!$B:$B, "&lt;=" &amp; $B$1
  ),
  IF(_xlpm.result = 0, "", _xlpm.result)
)</f>
        <v/>
      </c>
      <c r="D26" s="82" t="str">
        <f ca="1">_xlfn.LET(
  _xlpm.result,
  COUNTIFS(
    'Deviation RC Data'!$O:$O, $A26,
    'Deviation RC Data'!R:R, "x",
    'Deviation RC Data'!$B:$B, "&gt;=" &amp; EDATE($B$1, -12),
    'Deviation RC Data'!$B:$B, "&lt;=" &amp; $B$1
  ),
  IF(_xlpm.result = 0, "", _xlpm.result)
)</f>
        <v/>
      </c>
      <c r="E26" s="82" t="str">
        <f ca="1">_xlfn.LET(
  _xlpm.result,
  COUNTIFS(
    'Deviation RC Data'!$O:$O, $A26,
    'Deviation RC Data'!S:S, "x",
    'Deviation RC Data'!$B:$B, "&gt;=" &amp; EDATE($B$1, -12),
    'Deviation RC Data'!$B:$B, "&lt;=" &amp; $B$1
  ),
  IF(_xlpm.result = 0, "", _xlpm.result)
)</f>
        <v/>
      </c>
      <c r="F26" s="82" t="str">
        <f ca="1">_xlfn.LET(
  _xlpm.result,
  COUNTIFS(
    'Deviation RC Data'!$O:$O, $A26,
    'Deviation RC Data'!T:T, "x",
    'Deviation RC Data'!$B:$B, "&gt;=" &amp; EDATE($B$1, -12),
    'Deviation RC Data'!$B:$B, "&lt;=" &amp; $B$1
  ),
  IF(_xlpm.result = 0, "", _xlpm.result)
)</f>
        <v/>
      </c>
      <c r="G26" s="82" t="str">
        <f ca="1">_xlfn.LET(
  _xlpm.result,
  COUNTIFS(
    'Deviation RC Data'!$O:$O, $A26,
    'Deviation RC Data'!U:U, "x",
    'Deviation RC Data'!$B:$B, "&gt;=" &amp; EDATE($B$1, -12),
    'Deviation RC Data'!$B:$B, "&lt;=" &amp; $B$1
  ),
  IF(_xlpm.result = 0, "", _xlpm.result)
)</f>
        <v/>
      </c>
      <c r="H26" s="82" t="str">
        <f ca="1">_xlfn.LET(
  _xlpm.result,
  COUNTIFS(
    'Deviation RC Data'!$O:$O, $A26,
    'Deviation RC Data'!V:V, "x",
    'Deviation RC Data'!$B:$B, "&gt;=" &amp; EDATE($B$1, -12),
    'Deviation RC Data'!$B:$B, "&lt;=" &amp; $B$1
  ),
  IF(_xlpm.result = 0, "", _xlpm.result)
)</f>
        <v/>
      </c>
      <c r="I26" s="82" t="str">
        <f ca="1">_xlfn.LET(
  _xlpm.result,
  COUNTIFS(
    'Deviation RC Data'!$O:$O, $A26,
    'Deviation RC Data'!W:W, "x",
    'Deviation RC Data'!$B:$B, "&gt;=" &amp; EDATE($B$1, -12),
    'Deviation RC Data'!$B:$B, "&lt;=" &amp; $B$1
  ),
  IF(_xlpm.result = 0, "", _xlpm.result)
)</f>
        <v/>
      </c>
      <c r="J26" s="82" t="str">
        <f ca="1">_xlfn.LET(
  _xlpm.result,
  COUNTIFS(
    'Deviation RC Data'!$O:$O, $A26,
    'Deviation RC Data'!X:X, "x",
    'Deviation RC Data'!$B:$B, "&gt;=" &amp; EDATE($B$1, -12),
    'Deviation RC Data'!$B:$B, "&lt;=" &amp; $B$1
  ),
  IF(_xlpm.result = 0, "", _xlpm.result)
)</f>
        <v/>
      </c>
      <c r="K26" s="82" t="str">
        <f ca="1">_xlfn.LET(
  _xlpm.result,
  COUNTIFS(
    'Deviation RC Data'!$O:$O, $A26,
    'Deviation RC Data'!Y:Y, "x",
    'Deviation RC Data'!$B:$B, "&gt;=" &amp; EDATE($B$1, -12),
    'Deviation RC Data'!$B:$B, "&lt;=" &amp; $B$1
  ),
  IF(_xlpm.result = 0, "", _xlpm.result)
)</f>
        <v/>
      </c>
      <c r="L26" s="82" t="str">
        <f ca="1">_xlfn.LET(
  _xlpm.result,
  COUNTIFS(
    'Deviation RC Data'!$O:$O, $A26,
    'Deviation RC Data'!Z:Z, "x",
    'Deviation RC Data'!$B:$B, "&gt;=" &amp; EDATE($B$1, -12),
    'Deviation RC Data'!$B:$B, "&lt;=" &amp; $B$1
  ),
  IF(_xlpm.result = 0, "", _xlpm.result)
)</f>
        <v/>
      </c>
      <c r="M26" s="82" t="str">
        <f ca="1">_xlfn.LET(
  _xlpm.result,
  COUNTIFS(
    'Deviation RC Data'!$O:$O, $A26,
    'Deviation RC Data'!AA:AA, "x",
    'Deviation RC Data'!$B:$B, "&gt;=" &amp; EDATE($B$1, -12),
    'Deviation RC Data'!$B:$B, "&lt;=" &amp; $B$1
  ),
  IF(_xlpm.result = 0, "", _xlpm.result)
)</f>
        <v/>
      </c>
      <c r="N26" s="82" t="str">
        <f ca="1">_xlfn.LET(
  _xlpm.result,
  COUNTIFS(
    'Deviation RC Data'!$O:$O, $A26,
    'Deviation RC Data'!AB:AB, "x",
    'Deviation RC Data'!$B:$B, "&gt;=" &amp; EDATE($B$1, -12),
    'Deviation RC Data'!$B:$B, "&lt;=" &amp; $B$1
  ),
  IF(_xlpm.result = 0, "", _xlpm.result)
)</f>
        <v/>
      </c>
      <c r="O26" s="82" t="str">
        <f ca="1">_xlfn.LET(
  _xlpm.result,
  COUNTIFS(
    'Deviation RC Data'!$O:$O, $A26,
    'Deviation RC Data'!AC:AC, "x",
    'Deviation RC Data'!$B:$B, "&gt;=" &amp; EDATE($B$1, -12),
    'Deviation RC Data'!$B:$B, "&lt;=" &amp; $B$1
  ),
  IF(_xlpm.result = 0, "", _xlpm.result)
)</f>
        <v/>
      </c>
      <c r="P26" s="82" t="str">
        <f ca="1">_xlfn.LET(
  _xlpm.result,
  COUNTIFS(
    'Deviation RC Data'!$O:$O, $A26,
    'Deviation RC Data'!AD:AD, "x",
    'Deviation RC Data'!$B:$B, "&gt;=" &amp; EDATE($B$1, -12),
    'Deviation RC Data'!$B:$B, "&lt;=" &amp; $B$1
  ),
  IF(_xlpm.result = 0, "", _xlpm.result)
)</f>
        <v/>
      </c>
      <c r="Q26" s="82" t="str">
        <f ca="1">_xlfn.LET(
  _xlpm.result,
  COUNTIFS(
    'Deviation RC Data'!$O:$O, $A26,
    'Deviation RC Data'!AE:AE, "x",
    'Deviation RC Data'!$B:$B, "&gt;=" &amp; EDATE($B$1, -12),
    'Deviation RC Data'!$B:$B, "&lt;=" &amp; $B$1
  ),
  IF(_xlpm.result = 0, "", _xlpm.result)
)</f>
        <v/>
      </c>
      <c r="R26" s="82" t="str">
        <f ca="1">_xlfn.LET(
  _xlpm.result,
  COUNTIFS(
    'Deviation RC Data'!$O:$O, $A26,
    'Deviation RC Data'!AF:AF, "x",
    'Deviation RC Data'!$B:$B, "&gt;=" &amp; EDATE($B$1, -12),
    'Deviation RC Data'!$B:$B, "&lt;=" &amp; $B$1
  ),
  IF(_xlpm.result = 0, "", _xlpm.result)
)</f>
        <v/>
      </c>
      <c r="S26" s="82" t="str">
        <f ca="1">_xlfn.LET(
  _xlpm.result,
  COUNTIFS(
    'Deviation RC Data'!$O:$O, $A26,
    'Deviation RC Data'!AG:AG, "x",
    'Deviation RC Data'!$B:$B, "&gt;=" &amp; EDATE($B$1, -12),
    'Deviation RC Data'!$B:$B, "&lt;=" &amp; $B$1
  ),
  IF(_xlpm.result = 0, "", _xlpm.result)
)</f>
        <v/>
      </c>
      <c r="T26" s="82" t="str">
        <f ca="1">_xlfn.LET(
  _xlpm.result,
  COUNTIFS(
    'Deviation RC Data'!$O:$O, $A26,
    'Deviation RC Data'!AH:AH, "x",
    'Deviation RC Data'!$B:$B, "&gt;=" &amp; EDATE($B$1, -12),
    'Deviation RC Data'!$B:$B, "&lt;=" &amp; $B$1
  ),
  IF(_xlpm.result = 0, "", _xlpm.result)
)</f>
        <v/>
      </c>
    </row>
    <row r="27" spans="1:20" x14ac:dyDescent="0.3">
      <c r="A27" s="76" t="s">
        <v>208</v>
      </c>
      <c r="B27" t="str">
        <f ca="1">_xlfn.LET(
  _xlpm.result,
  COUNTIFS(
    'Deviation RC Data'!$O:$O, $A27,
    'Deviation RC Data'!P:P, "x",
    'Deviation RC Data'!$B:$B, "&gt;=" &amp; EDATE($B$1, -12),
    'Deviation RC Data'!$B:$B, "&lt;=" &amp; $B$1
  ),
  IF(_xlpm.result = 0, "", _xlpm.result)
)</f>
        <v/>
      </c>
      <c r="C27" t="str">
        <f ca="1">_xlfn.LET(
  _xlpm.result,
  COUNTIFS(
    'Deviation RC Data'!$O:$O, $A27,
    'Deviation RC Data'!Q:Q, "x",
    'Deviation RC Data'!$B:$B, "&gt;=" &amp; EDATE($B$1, -12),
    'Deviation RC Data'!$B:$B, "&lt;=" &amp; $B$1
  ),
  IF(_xlpm.result = 0, "", _xlpm.result)
)</f>
        <v/>
      </c>
      <c r="D27" t="str">
        <f ca="1">_xlfn.LET(
  _xlpm.result,
  COUNTIFS(
    'Deviation RC Data'!$O:$O, $A27,
    'Deviation RC Data'!R:R, "x",
    'Deviation RC Data'!$B:$B, "&gt;=" &amp; EDATE($B$1, -12),
    'Deviation RC Data'!$B:$B, "&lt;=" &amp; $B$1
  ),
  IF(_xlpm.result = 0, "", _xlpm.result)
)</f>
        <v/>
      </c>
      <c r="E27" t="str">
        <f ca="1">_xlfn.LET(
  _xlpm.result,
  COUNTIFS(
    'Deviation RC Data'!$O:$O, $A27,
    'Deviation RC Data'!S:S, "x",
    'Deviation RC Data'!$B:$B, "&gt;=" &amp; EDATE($B$1, -12),
    'Deviation RC Data'!$B:$B, "&lt;=" &amp; $B$1
  ),
  IF(_xlpm.result = 0, "", _xlpm.result)
)</f>
        <v/>
      </c>
      <c r="F27" t="str">
        <f ca="1">_xlfn.LET(
  _xlpm.result,
  COUNTIFS(
    'Deviation RC Data'!$O:$O, $A27,
    'Deviation RC Data'!T:T, "x",
    'Deviation RC Data'!$B:$B, "&gt;=" &amp; EDATE($B$1, -12),
    'Deviation RC Data'!$B:$B, "&lt;=" &amp; $B$1
  ),
  IF(_xlpm.result = 0, "", _xlpm.result)
)</f>
        <v/>
      </c>
      <c r="G27" t="str">
        <f ca="1">_xlfn.LET(
  _xlpm.result,
  COUNTIFS(
    'Deviation RC Data'!$O:$O, $A27,
    'Deviation RC Data'!U:U, "x",
    'Deviation RC Data'!$B:$B, "&gt;=" &amp; EDATE($B$1, -12),
    'Deviation RC Data'!$B:$B, "&lt;=" &amp; $B$1
  ),
  IF(_xlpm.result = 0, "", _xlpm.result)
)</f>
        <v/>
      </c>
      <c r="H27" t="str">
        <f ca="1">_xlfn.LET(
  _xlpm.result,
  COUNTIFS(
    'Deviation RC Data'!$O:$O, $A27,
    'Deviation RC Data'!V:V, "x",
    'Deviation RC Data'!$B:$B, "&gt;=" &amp; EDATE($B$1, -12),
    'Deviation RC Data'!$B:$B, "&lt;=" &amp; $B$1
  ),
  IF(_xlpm.result = 0, "", _xlpm.result)
)</f>
        <v/>
      </c>
      <c r="I27" t="str">
        <f ca="1">_xlfn.LET(
  _xlpm.result,
  COUNTIFS(
    'Deviation RC Data'!$O:$O, $A27,
    'Deviation RC Data'!W:W, "x",
    'Deviation RC Data'!$B:$B, "&gt;=" &amp; EDATE($B$1, -12),
    'Deviation RC Data'!$B:$B, "&lt;=" &amp; $B$1
  ),
  IF(_xlpm.result = 0, "", _xlpm.result)
)</f>
        <v/>
      </c>
      <c r="J27" t="str">
        <f ca="1">_xlfn.LET(
  _xlpm.result,
  COUNTIFS(
    'Deviation RC Data'!$O:$O, $A27,
    'Deviation RC Data'!X:X, "x",
    'Deviation RC Data'!$B:$B, "&gt;=" &amp; EDATE($B$1, -12),
    'Deviation RC Data'!$B:$B, "&lt;=" &amp; $B$1
  ),
  IF(_xlpm.result = 0, "", _xlpm.result)
)</f>
        <v/>
      </c>
      <c r="K27" t="str">
        <f ca="1">_xlfn.LET(
  _xlpm.result,
  COUNTIFS(
    'Deviation RC Data'!$O:$O, $A27,
    'Deviation RC Data'!Y:Y, "x",
    'Deviation RC Data'!$B:$B, "&gt;=" &amp; EDATE($B$1, -12),
    'Deviation RC Data'!$B:$B, "&lt;=" &amp; $B$1
  ),
  IF(_xlpm.result = 0, "", _xlpm.result)
)</f>
        <v/>
      </c>
      <c r="L27" t="str">
        <f ca="1">_xlfn.LET(
  _xlpm.result,
  COUNTIFS(
    'Deviation RC Data'!$O:$O, $A27,
    'Deviation RC Data'!Z:Z, "x",
    'Deviation RC Data'!$B:$B, "&gt;=" &amp; EDATE($B$1, -12),
    'Deviation RC Data'!$B:$B, "&lt;=" &amp; $B$1
  ),
  IF(_xlpm.result = 0, "", _xlpm.result)
)</f>
        <v/>
      </c>
      <c r="M27" t="str">
        <f ca="1">_xlfn.LET(
  _xlpm.result,
  COUNTIFS(
    'Deviation RC Data'!$O:$O, $A27,
    'Deviation RC Data'!AA:AA, "x",
    'Deviation RC Data'!$B:$B, "&gt;=" &amp; EDATE($B$1, -12),
    'Deviation RC Data'!$B:$B, "&lt;=" &amp; $B$1
  ),
  IF(_xlpm.result = 0, "", _xlpm.result)
)</f>
        <v/>
      </c>
      <c r="N27" t="str">
        <f ca="1">_xlfn.LET(
  _xlpm.result,
  COUNTIFS(
    'Deviation RC Data'!$O:$O, $A27,
    'Deviation RC Data'!AB:AB, "x",
    'Deviation RC Data'!$B:$B, "&gt;=" &amp; EDATE($B$1, -12),
    'Deviation RC Data'!$B:$B, "&lt;=" &amp; $B$1
  ),
  IF(_xlpm.result = 0, "", _xlpm.result)
)</f>
        <v/>
      </c>
      <c r="O27" t="str">
        <f ca="1">_xlfn.LET(
  _xlpm.result,
  COUNTIFS(
    'Deviation RC Data'!$O:$O, $A27,
    'Deviation RC Data'!AC:AC, "x",
    'Deviation RC Data'!$B:$B, "&gt;=" &amp; EDATE($B$1, -12),
    'Deviation RC Data'!$B:$B, "&lt;=" &amp; $B$1
  ),
  IF(_xlpm.result = 0, "", _xlpm.result)
)</f>
        <v/>
      </c>
      <c r="P27" t="str">
        <f ca="1">_xlfn.LET(
  _xlpm.result,
  COUNTIFS(
    'Deviation RC Data'!$O:$O, $A27,
    'Deviation RC Data'!AD:AD, "x",
    'Deviation RC Data'!$B:$B, "&gt;=" &amp; EDATE($B$1, -12),
    'Deviation RC Data'!$B:$B, "&lt;=" &amp; $B$1
  ),
  IF(_xlpm.result = 0, "", _xlpm.result)
)</f>
        <v/>
      </c>
      <c r="Q27" t="str">
        <f ca="1">_xlfn.LET(
  _xlpm.result,
  COUNTIFS(
    'Deviation RC Data'!$O:$O, $A27,
    'Deviation RC Data'!AE:AE, "x",
    'Deviation RC Data'!$B:$B, "&gt;=" &amp; EDATE($B$1, -12),
    'Deviation RC Data'!$B:$B, "&lt;=" &amp; $B$1
  ),
  IF(_xlpm.result = 0, "", _xlpm.result)
)</f>
        <v/>
      </c>
      <c r="R27" t="str">
        <f ca="1">_xlfn.LET(
  _xlpm.result,
  COUNTIFS(
    'Deviation RC Data'!$O:$O, $A27,
    'Deviation RC Data'!AF:AF, "x",
    'Deviation RC Data'!$B:$B, "&gt;=" &amp; EDATE($B$1, -12),
    'Deviation RC Data'!$B:$B, "&lt;=" &amp; $B$1
  ),
  IF(_xlpm.result = 0, "", _xlpm.result)
)</f>
        <v/>
      </c>
      <c r="S27" t="str">
        <f ca="1">_xlfn.LET(
  _xlpm.result,
  COUNTIFS(
    'Deviation RC Data'!$O:$O, $A27,
    'Deviation RC Data'!AG:AG, "x",
    'Deviation RC Data'!$B:$B, "&gt;=" &amp; EDATE($B$1, -12),
    'Deviation RC Data'!$B:$B, "&lt;=" &amp; $B$1
  ),
  IF(_xlpm.result = 0, "", _xlpm.result)
)</f>
        <v/>
      </c>
      <c r="T27" t="str">
        <f ca="1">_xlfn.LET(
  _xlpm.result,
  COUNTIFS(
    'Deviation RC Data'!$O:$O, $A27,
    'Deviation RC Data'!AH:AH, "x",
    'Deviation RC Data'!$B:$B, "&gt;=" &amp; EDATE($B$1, -12),
    'Deviation RC Data'!$B:$B, "&lt;=" &amp; $B$1
  ),
  IF(_xlpm.result = 0, "", _xlpm.result)
)</f>
        <v/>
      </c>
    </row>
    <row r="28" spans="1:20" x14ac:dyDescent="0.3">
      <c r="A28" s="81" t="s">
        <v>256</v>
      </c>
      <c r="B28" s="82" t="str">
        <f ca="1">_xlfn.LET(
  _xlpm.result,
  COUNTIFS(
    'Deviation RC Data'!$O:$O, $A28,
    'Deviation RC Data'!P:P, "x",
    'Deviation RC Data'!$B:$B, "&gt;=" &amp; EDATE($B$1, -12),
    'Deviation RC Data'!$B:$B, "&lt;=" &amp; $B$1
  ),
  IF(_xlpm.result = 0, "", _xlpm.result)
)</f>
        <v/>
      </c>
      <c r="C28" s="82" t="str">
        <f ca="1">_xlfn.LET(
  _xlpm.result,
  COUNTIFS(
    'Deviation RC Data'!$O:$O, $A28,
    'Deviation RC Data'!Q:Q, "x",
    'Deviation RC Data'!$B:$B, "&gt;=" &amp; EDATE($B$1, -12),
    'Deviation RC Data'!$B:$B, "&lt;=" &amp; $B$1
  ),
  IF(_xlpm.result = 0, "", _xlpm.result)
)</f>
        <v/>
      </c>
      <c r="D28" s="82" t="str">
        <f ca="1">_xlfn.LET(
  _xlpm.result,
  COUNTIFS(
    'Deviation RC Data'!$O:$O, $A28,
    'Deviation RC Data'!R:R, "x",
    'Deviation RC Data'!$B:$B, "&gt;=" &amp; EDATE($B$1, -12),
    'Deviation RC Data'!$B:$B, "&lt;=" &amp; $B$1
  ),
  IF(_xlpm.result = 0, "", _xlpm.result)
)</f>
        <v/>
      </c>
      <c r="E28" s="82" t="str">
        <f ca="1">_xlfn.LET(
  _xlpm.result,
  COUNTIFS(
    'Deviation RC Data'!$O:$O, $A28,
    'Deviation RC Data'!S:S, "x",
    'Deviation RC Data'!$B:$B, "&gt;=" &amp; EDATE($B$1, -12),
    'Deviation RC Data'!$B:$B, "&lt;=" &amp; $B$1
  ),
  IF(_xlpm.result = 0, "", _xlpm.result)
)</f>
        <v/>
      </c>
      <c r="F28" s="82" t="str">
        <f ca="1">_xlfn.LET(
  _xlpm.result,
  COUNTIFS(
    'Deviation RC Data'!$O:$O, $A28,
    'Deviation RC Data'!T:T, "x",
    'Deviation RC Data'!$B:$B, "&gt;=" &amp; EDATE($B$1, -12),
    'Deviation RC Data'!$B:$B, "&lt;=" &amp; $B$1
  ),
  IF(_xlpm.result = 0, "", _xlpm.result)
)</f>
        <v/>
      </c>
      <c r="G28" s="82" t="str">
        <f ca="1">_xlfn.LET(
  _xlpm.result,
  COUNTIFS(
    'Deviation RC Data'!$O:$O, $A28,
    'Deviation RC Data'!U:U, "x",
    'Deviation RC Data'!$B:$B, "&gt;=" &amp; EDATE($B$1, -12),
    'Deviation RC Data'!$B:$B, "&lt;=" &amp; $B$1
  ),
  IF(_xlpm.result = 0, "", _xlpm.result)
)</f>
        <v/>
      </c>
      <c r="H28" s="82" t="str">
        <f ca="1">_xlfn.LET(
  _xlpm.result,
  COUNTIFS(
    'Deviation RC Data'!$O:$O, $A28,
    'Deviation RC Data'!V:V, "x",
    'Deviation RC Data'!$B:$B, "&gt;=" &amp; EDATE($B$1, -12),
    'Deviation RC Data'!$B:$B, "&lt;=" &amp; $B$1
  ),
  IF(_xlpm.result = 0, "", _xlpm.result)
)</f>
        <v/>
      </c>
      <c r="I28" s="82" t="str">
        <f ca="1">_xlfn.LET(
  _xlpm.result,
  COUNTIFS(
    'Deviation RC Data'!$O:$O, $A28,
    'Deviation RC Data'!W:W, "x",
    'Deviation RC Data'!$B:$B, "&gt;=" &amp; EDATE($B$1, -12),
    'Deviation RC Data'!$B:$B, "&lt;=" &amp; $B$1
  ),
  IF(_xlpm.result = 0, "", _xlpm.result)
)</f>
        <v/>
      </c>
      <c r="J28" s="82" t="str">
        <f ca="1">_xlfn.LET(
  _xlpm.result,
  COUNTIFS(
    'Deviation RC Data'!$O:$O, $A28,
    'Deviation RC Data'!X:X, "x",
    'Deviation RC Data'!$B:$B, "&gt;=" &amp; EDATE($B$1, -12),
    'Deviation RC Data'!$B:$B, "&lt;=" &amp; $B$1
  ),
  IF(_xlpm.result = 0, "", _xlpm.result)
)</f>
        <v/>
      </c>
      <c r="K28" s="82" t="str">
        <f ca="1">_xlfn.LET(
  _xlpm.result,
  COUNTIFS(
    'Deviation RC Data'!$O:$O, $A28,
    'Deviation RC Data'!Y:Y, "x",
    'Deviation RC Data'!$B:$B, "&gt;=" &amp; EDATE($B$1, -12),
    'Deviation RC Data'!$B:$B, "&lt;=" &amp; $B$1
  ),
  IF(_xlpm.result = 0, "", _xlpm.result)
)</f>
        <v/>
      </c>
      <c r="L28" s="82" t="str">
        <f ca="1">_xlfn.LET(
  _xlpm.result,
  COUNTIFS(
    'Deviation RC Data'!$O:$O, $A28,
    'Deviation RC Data'!Z:Z, "x",
    'Deviation RC Data'!$B:$B, "&gt;=" &amp; EDATE($B$1, -12),
    'Deviation RC Data'!$B:$B, "&lt;=" &amp; $B$1
  ),
  IF(_xlpm.result = 0, "", _xlpm.result)
)</f>
        <v/>
      </c>
      <c r="M28" s="82" t="str">
        <f ca="1">_xlfn.LET(
  _xlpm.result,
  COUNTIFS(
    'Deviation RC Data'!$O:$O, $A28,
    'Deviation RC Data'!AA:AA, "x",
    'Deviation RC Data'!$B:$B, "&gt;=" &amp; EDATE($B$1, -12),
    'Deviation RC Data'!$B:$B, "&lt;=" &amp; $B$1
  ),
  IF(_xlpm.result = 0, "", _xlpm.result)
)</f>
        <v/>
      </c>
      <c r="N28" s="82" t="str">
        <f ca="1">_xlfn.LET(
  _xlpm.result,
  COUNTIFS(
    'Deviation RC Data'!$O:$O, $A28,
    'Deviation RC Data'!AB:AB, "x",
    'Deviation RC Data'!$B:$B, "&gt;=" &amp; EDATE($B$1, -12),
    'Deviation RC Data'!$B:$B, "&lt;=" &amp; $B$1
  ),
  IF(_xlpm.result = 0, "", _xlpm.result)
)</f>
        <v/>
      </c>
      <c r="O28" s="82" t="str">
        <f ca="1">_xlfn.LET(
  _xlpm.result,
  COUNTIFS(
    'Deviation RC Data'!$O:$O, $A28,
    'Deviation RC Data'!AC:AC, "x",
    'Deviation RC Data'!$B:$B, "&gt;=" &amp; EDATE($B$1, -12),
    'Deviation RC Data'!$B:$B, "&lt;=" &amp; $B$1
  ),
  IF(_xlpm.result = 0, "", _xlpm.result)
)</f>
        <v/>
      </c>
      <c r="P28" s="82" t="str">
        <f ca="1">_xlfn.LET(
  _xlpm.result,
  COUNTIFS(
    'Deviation RC Data'!$O:$O, $A28,
    'Deviation RC Data'!AD:AD, "x",
    'Deviation RC Data'!$B:$B, "&gt;=" &amp; EDATE($B$1, -12),
    'Deviation RC Data'!$B:$B, "&lt;=" &amp; $B$1
  ),
  IF(_xlpm.result = 0, "", _xlpm.result)
)</f>
        <v/>
      </c>
      <c r="Q28" s="82" t="str">
        <f ca="1">_xlfn.LET(
  _xlpm.result,
  COUNTIFS(
    'Deviation RC Data'!$O:$O, $A28,
    'Deviation RC Data'!AE:AE, "x",
    'Deviation RC Data'!$B:$B, "&gt;=" &amp; EDATE($B$1, -12),
    'Deviation RC Data'!$B:$B, "&lt;=" &amp; $B$1
  ),
  IF(_xlpm.result = 0, "", _xlpm.result)
)</f>
        <v/>
      </c>
      <c r="R28" s="82" t="str">
        <f ca="1">_xlfn.LET(
  _xlpm.result,
  COUNTIFS(
    'Deviation RC Data'!$O:$O, $A28,
    'Deviation RC Data'!AF:AF, "x",
    'Deviation RC Data'!$B:$B, "&gt;=" &amp; EDATE($B$1, -12),
    'Deviation RC Data'!$B:$B, "&lt;=" &amp; $B$1
  ),
  IF(_xlpm.result = 0, "", _xlpm.result)
)</f>
        <v/>
      </c>
      <c r="S28" s="82" t="str">
        <f ca="1">_xlfn.LET(
  _xlpm.result,
  COUNTIFS(
    'Deviation RC Data'!$O:$O, $A28,
    'Deviation RC Data'!AG:AG, "x",
    'Deviation RC Data'!$B:$B, "&gt;=" &amp; EDATE($B$1, -12),
    'Deviation RC Data'!$B:$B, "&lt;=" &amp; $B$1
  ),
  IF(_xlpm.result = 0, "", _xlpm.result)
)</f>
        <v/>
      </c>
      <c r="T28" s="82" t="str">
        <f ca="1">_xlfn.LET(
  _xlpm.result,
  COUNTIFS(
    'Deviation RC Data'!$O:$O, $A28,
    'Deviation RC Data'!AH:AH, "x",
    'Deviation RC Data'!$B:$B, "&gt;=" &amp; EDATE($B$1, -12),
    'Deviation RC Data'!$B:$B, "&lt;=" &amp; $B$1
  ),
  IF(_xlpm.result = 0, "", _xlpm.result)
)</f>
        <v/>
      </c>
    </row>
    <row r="29" spans="1:20" x14ac:dyDescent="0.3">
      <c r="A29" s="76" t="s">
        <v>212</v>
      </c>
      <c r="B29" t="str">
        <f ca="1">_xlfn.LET(
  _xlpm.result,
  COUNTIFS(
    'Deviation RC Data'!$O:$O, $A29,
    'Deviation RC Data'!P:P, "x",
    'Deviation RC Data'!$B:$B, "&gt;=" &amp; EDATE($B$1, -12),
    'Deviation RC Data'!$B:$B, "&lt;=" &amp; $B$1
  ),
  IF(_xlpm.result = 0, "", _xlpm.result)
)</f>
        <v/>
      </c>
      <c r="C29">
        <f ca="1">_xlfn.LET(
  _xlpm.result,
  COUNTIFS(
    'Deviation RC Data'!$O:$O, $A29,
    'Deviation RC Data'!Q:Q, "x",
    'Deviation RC Data'!$B:$B, "&gt;=" &amp; EDATE($B$1, -12),
    'Deviation RC Data'!$B:$B, "&lt;=" &amp; $B$1
  ),
  IF(_xlpm.result = 0, "", _xlpm.result)
)</f>
        <v>1</v>
      </c>
      <c r="D29" t="str">
        <f ca="1">_xlfn.LET(
  _xlpm.result,
  COUNTIFS(
    'Deviation RC Data'!$O:$O, $A29,
    'Deviation RC Data'!R:R, "x",
    'Deviation RC Data'!$B:$B, "&gt;=" &amp; EDATE($B$1, -12),
    'Deviation RC Data'!$B:$B, "&lt;=" &amp; $B$1
  ),
  IF(_xlpm.result = 0, "", _xlpm.result)
)</f>
        <v/>
      </c>
      <c r="E29" t="str">
        <f ca="1">_xlfn.LET(
  _xlpm.result,
  COUNTIFS(
    'Deviation RC Data'!$O:$O, $A29,
    'Deviation RC Data'!S:S, "x",
    'Deviation RC Data'!$B:$B, "&gt;=" &amp; EDATE($B$1, -12),
    'Deviation RC Data'!$B:$B, "&lt;=" &amp; $B$1
  ),
  IF(_xlpm.result = 0, "", _xlpm.result)
)</f>
        <v/>
      </c>
      <c r="F29" t="str">
        <f ca="1">_xlfn.LET(
  _xlpm.result,
  COUNTIFS(
    'Deviation RC Data'!$O:$O, $A29,
    'Deviation RC Data'!T:T, "x",
    'Deviation RC Data'!$B:$B, "&gt;=" &amp; EDATE($B$1, -12),
    'Deviation RC Data'!$B:$B, "&lt;=" &amp; $B$1
  ),
  IF(_xlpm.result = 0, "", _xlpm.result)
)</f>
        <v/>
      </c>
      <c r="G29" t="str">
        <f ca="1">_xlfn.LET(
  _xlpm.result,
  COUNTIFS(
    'Deviation RC Data'!$O:$O, $A29,
    'Deviation RC Data'!U:U, "x",
    'Deviation RC Data'!$B:$B, "&gt;=" &amp; EDATE($B$1, -12),
    'Deviation RC Data'!$B:$B, "&lt;=" &amp; $B$1
  ),
  IF(_xlpm.result = 0, "", _xlpm.result)
)</f>
        <v/>
      </c>
      <c r="H29">
        <f ca="1">_xlfn.LET(
  _xlpm.result,
  COUNTIFS(
    'Deviation RC Data'!$O:$O, $A29,
    'Deviation RC Data'!V:V, "x",
    'Deviation RC Data'!$B:$B, "&gt;=" &amp; EDATE($B$1, -12),
    'Deviation RC Data'!$B:$B, "&lt;=" &amp; $B$1
  ),
  IF(_xlpm.result = 0, "", _xlpm.result)
)</f>
        <v>1</v>
      </c>
      <c r="I29" t="str">
        <f ca="1">_xlfn.LET(
  _xlpm.result,
  COUNTIFS(
    'Deviation RC Data'!$O:$O, $A29,
    'Deviation RC Data'!W:W, "x",
    'Deviation RC Data'!$B:$B, "&gt;=" &amp; EDATE($B$1, -12),
    'Deviation RC Data'!$B:$B, "&lt;=" &amp; $B$1
  ),
  IF(_xlpm.result = 0, "", _xlpm.result)
)</f>
        <v/>
      </c>
      <c r="J29" t="str">
        <f ca="1">_xlfn.LET(
  _xlpm.result,
  COUNTIFS(
    'Deviation RC Data'!$O:$O, $A29,
    'Deviation RC Data'!X:X, "x",
    'Deviation RC Data'!$B:$B, "&gt;=" &amp; EDATE($B$1, -12),
    'Deviation RC Data'!$B:$B, "&lt;=" &amp; $B$1
  ),
  IF(_xlpm.result = 0, "", _xlpm.result)
)</f>
        <v/>
      </c>
      <c r="K29" t="str">
        <f ca="1">_xlfn.LET(
  _xlpm.result,
  COUNTIFS(
    'Deviation RC Data'!$O:$O, $A29,
    'Deviation RC Data'!Y:Y, "x",
    'Deviation RC Data'!$B:$B, "&gt;=" &amp; EDATE($B$1, -12),
    'Deviation RC Data'!$B:$B, "&lt;=" &amp; $B$1
  ),
  IF(_xlpm.result = 0, "", _xlpm.result)
)</f>
        <v/>
      </c>
      <c r="L29" t="str">
        <f ca="1">_xlfn.LET(
  _xlpm.result,
  COUNTIFS(
    'Deviation RC Data'!$O:$O, $A29,
    'Deviation RC Data'!Z:Z, "x",
    'Deviation RC Data'!$B:$B, "&gt;=" &amp; EDATE($B$1, -12),
    'Deviation RC Data'!$B:$B, "&lt;=" &amp; $B$1
  ),
  IF(_xlpm.result = 0, "", _xlpm.result)
)</f>
        <v/>
      </c>
      <c r="M29">
        <f ca="1">_xlfn.LET(
  _xlpm.result,
  COUNTIFS(
    'Deviation RC Data'!$O:$O, $A29,
    'Deviation RC Data'!AA:AA, "x",
    'Deviation RC Data'!$B:$B, "&gt;=" &amp; EDATE($B$1, -12),
    'Deviation RC Data'!$B:$B, "&lt;=" &amp; $B$1
  ),
  IF(_xlpm.result = 0, "", _xlpm.result)
)</f>
        <v>1</v>
      </c>
      <c r="N29" t="str">
        <f ca="1">_xlfn.LET(
  _xlpm.result,
  COUNTIFS(
    'Deviation RC Data'!$O:$O, $A29,
    'Deviation RC Data'!AB:AB, "x",
    'Deviation RC Data'!$B:$B, "&gt;=" &amp; EDATE($B$1, -12),
    'Deviation RC Data'!$B:$B, "&lt;=" &amp; $B$1
  ),
  IF(_xlpm.result = 0, "", _xlpm.result)
)</f>
        <v/>
      </c>
      <c r="O29" t="str">
        <f ca="1">_xlfn.LET(
  _xlpm.result,
  COUNTIFS(
    'Deviation RC Data'!$O:$O, $A29,
    'Deviation RC Data'!AC:AC, "x",
    'Deviation RC Data'!$B:$B, "&gt;=" &amp; EDATE($B$1, -12),
    'Deviation RC Data'!$B:$B, "&lt;=" &amp; $B$1
  ),
  IF(_xlpm.result = 0, "", _xlpm.result)
)</f>
        <v/>
      </c>
      <c r="P29" t="str">
        <f ca="1">_xlfn.LET(
  _xlpm.result,
  COUNTIFS(
    'Deviation RC Data'!$O:$O, $A29,
    'Deviation RC Data'!AD:AD, "x",
    'Deviation RC Data'!$B:$B, "&gt;=" &amp; EDATE($B$1, -12),
    'Deviation RC Data'!$B:$B, "&lt;=" &amp; $B$1
  ),
  IF(_xlpm.result = 0, "", _xlpm.result)
)</f>
        <v/>
      </c>
      <c r="Q29" t="str">
        <f ca="1">_xlfn.LET(
  _xlpm.result,
  COUNTIFS(
    'Deviation RC Data'!$O:$O, $A29,
    'Deviation RC Data'!AE:AE, "x",
    'Deviation RC Data'!$B:$B, "&gt;=" &amp; EDATE($B$1, -12),
    'Deviation RC Data'!$B:$B, "&lt;=" &amp; $B$1
  ),
  IF(_xlpm.result = 0, "", _xlpm.result)
)</f>
        <v/>
      </c>
      <c r="R29" t="str">
        <f ca="1">_xlfn.LET(
  _xlpm.result,
  COUNTIFS(
    'Deviation RC Data'!$O:$O, $A29,
    'Deviation RC Data'!AF:AF, "x",
    'Deviation RC Data'!$B:$B, "&gt;=" &amp; EDATE($B$1, -12),
    'Deviation RC Data'!$B:$B, "&lt;=" &amp; $B$1
  ),
  IF(_xlpm.result = 0, "", _xlpm.result)
)</f>
        <v/>
      </c>
      <c r="S29" t="str">
        <f ca="1">_xlfn.LET(
  _xlpm.result,
  COUNTIFS(
    'Deviation RC Data'!$O:$O, $A29,
    'Deviation RC Data'!AG:AG, "x",
    'Deviation RC Data'!$B:$B, "&gt;=" &amp; EDATE($B$1, -12),
    'Deviation RC Data'!$B:$B, "&lt;=" &amp; $B$1
  ),
  IF(_xlpm.result = 0, "", _xlpm.result)
)</f>
        <v/>
      </c>
      <c r="T29" t="str">
        <f ca="1">_xlfn.LET(
  _xlpm.result,
  COUNTIFS(
    'Deviation RC Data'!$O:$O, $A29,
    'Deviation RC Data'!AH:AH, "x",
    'Deviation RC Data'!$B:$B, "&gt;=" &amp; EDATE($B$1, -12),
    'Deviation RC Data'!$B:$B, "&lt;=" &amp; $B$1
  ),
  IF(_xlpm.result = 0, "", _xlpm.result)
)</f>
        <v/>
      </c>
    </row>
    <row r="30" spans="1:20" x14ac:dyDescent="0.3">
      <c r="A30" s="81" t="s">
        <v>282</v>
      </c>
      <c r="B30" s="82" t="str">
        <f ca="1">_xlfn.LET(
  _xlpm.result,
  COUNTIFS(
    'Deviation RC Data'!$O:$O, $A30,
    'Deviation RC Data'!P:P, "x",
    'Deviation RC Data'!$B:$B, "&gt;=" &amp; EDATE($B$1, -12),
    'Deviation RC Data'!$B:$B, "&lt;=" &amp; $B$1
  ),
  IF(_xlpm.result = 0, "", _xlpm.result)
)</f>
        <v/>
      </c>
      <c r="C30" s="82" t="str">
        <f ca="1">_xlfn.LET(
  _xlpm.result,
  COUNTIFS(
    'Deviation RC Data'!$O:$O, $A30,
    'Deviation RC Data'!Q:Q, "x",
    'Deviation RC Data'!$B:$B, "&gt;=" &amp; EDATE($B$1, -12),
    'Deviation RC Data'!$B:$B, "&lt;=" &amp; $B$1
  ),
  IF(_xlpm.result = 0, "", _xlpm.result)
)</f>
        <v/>
      </c>
      <c r="D30" s="82" t="str">
        <f ca="1">_xlfn.LET(
  _xlpm.result,
  COUNTIFS(
    'Deviation RC Data'!$O:$O, $A30,
    'Deviation RC Data'!R:R, "x",
    'Deviation RC Data'!$B:$B, "&gt;=" &amp; EDATE($B$1, -12),
    'Deviation RC Data'!$B:$B, "&lt;=" &amp; $B$1
  ),
  IF(_xlpm.result = 0, "", _xlpm.result)
)</f>
        <v/>
      </c>
      <c r="E30" s="82" t="str">
        <f ca="1">_xlfn.LET(
  _xlpm.result,
  COUNTIFS(
    'Deviation RC Data'!$O:$O, $A30,
    'Deviation RC Data'!S:S, "x",
    'Deviation RC Data'!$B:$B, "&gt;=" &amp; EDATE($B$1, -12),
    'Deviation RC Data'!$B:$B, "&lt;=" &amp; $B$1
  ),
  IF(_xlpm.result = 0, "", _xlpm.result)
)</f>
        <v/>
      </c>
      <c r="F30" s="82" t="str">
        <f ca="1">_xlfn.LET(
  _xlpm.result,
  COUNTIFS(
    'Deviation RC Data'!$O:$O, $A30,
    'Deviation RC Data'!T:T, "x",
    'Deviation RC Data'!$B:$B, "&gt;=" &amp; EDATE($B$1, -12),
    'Deviation RC Data'!$B:$B, "&lt;=" &amp; $B$1
  ),
  IF(_xlpm.result = 0, "", _xlpm.result)
)</f>
        <v/>
      </c>
      <c r="G30" s="82" t="str">
        <f ca="1">_xlfn.LET(
  _xlpm.result,
  COUNTIFS(
    'Deviation RC Data'!$O:$O, $A30,
    'Deviation RC Data'!U:U, "x",
    'Deviation RC Data'!$B:$B, "&gt;=" &amp; EDATE($B$1, -12),
    'Deviation RC Data'!$B:$B, "&lt;=" &amp; $B$1
  ),
  IF(_xlpm.result = 0, "", _xlpm.result)
)</f>
        <v/>
      </c>
      <c r="H30" s="82" t="str">
        <f ca="1">_xlfn.LET(
  _xlpm.result,
  COUNTIFS(
    'Deviation RC Data'!$O:$O, $A30,
    'Deviation RC Data'!V:V, "x",
    'Deviation RC Data'!$B:$B, "&gt;=" &amp; EDATE($B$1, -12),
    'Deviation RC Data'!$B:$B, "&lt;=" &amp; $B$1
  ),
  IF(_xlpm.result = 0, "", _xlpm.result)
)</f>
        <v/>
      </c>
      <c r="I30" s="82" t="str">
        <f ca="1">_xlfn.LET(
  _xlpm.result,
  COUNTIFS(
    'Deviation RC Data'!$O:$O, $A30,
    'Deviation RC Data'!W:W, "x",
    'Deviation RC Data'!$B:$B, "&gt;=" &amp; EDATE($B$1, -12),
    'Deviation RC Data'!$B:$B, "&lt;=" &amp; $B$1
  ),
  IF(_xlpm.result = 0, "", _xlpm.result)
)</f>
        <v/>
      </c>
      <c r="J30" s="82" t="str">
        <f ca="1">_xlfn.LET(
  _xlpm.result,
  COUNTIFS(
    'Deviation RC Data'!$O:$O, $A30,
    'Deviation RC Data'!X:X, "x",
    'Deviation RC Data'!$B:$B, "&gt;=" &amp; EDATE($B$1, -12),
    'Deviation RC Data'!$B:$B, "&lt;=" &amp; $B$1
  ),
  IF(_xlpm.result = 0, "", _xlpm.result)
)</f>
        <v/>
      </c>
      <c r="K30" s="82" t="str">
        <f ca="1">_xlfn.LET(
  _xlpm.result,
  COUNTIFS(
    'Deviation RC Data'!$O:$O, $A30,
    'Deviation RC Data'!Y:Y, "x",
    'Deviation RC Data'!$B:$B, "&gt;=" &amp; EDATE($B$1, -12),
    'Deviation RC Data'!$B:$B, "&lt;=" &amp; $B$1
  ),
  IF(_xlpm.result = 0, "", _xlpm.result)
)</f>
        <v/>
      </c>
      <c r="L30" s="82" t="str">
        <f ca="1">_xlfn.LET(
  _xlpm.result,
  COUNTIFS(
    'Deviation RC Data'!$O:$O, $A30,
    'Deviation RC Data'!Z:Z, "x",
    'Deviation RC Data'!$B:$B, "&gt;=" &amp; EDATE($B$1, -12),
    'Deviation RC Data'!$B:$B, "&lt;=" &amp; $B$1
  ),
  IF(_xlpm.result = 0, "", _xlpm.result)
)</f>
        <v/>
      </c>
      <c r="M30" s="82" t="str">
        <f ca="1">_xlfn.LET(
  _xlpm.result,
  COUNTIFS(
    'Deviation RC Data'!$O:$O, $A30,
    'Deviation RC Data'!AA:AA, "x",
    'Deviation RC Data'!$B:$B, "&gt;=" &amp; EDATE($B$1, -12),
    'Deviation RC Data'!$B:$B, "&lt;=" &amp; $B$1
  ),
  IF(_xlpm.result = 0, "", _xlpm.result)
)</f>
        <v/>
      </c>
      <c r="N30" s="82" t="str">
        <f ca="1">_xlfn.LET(
  _xlpm.result,
  COUNTIFS(
    'Deviation RC Data'!$O:$O, $A30,
    'Deviation RC Data'!AB:AB, "x",
    'Deviation RC Data'!$B:$B, "&gt;=" &amp; EDATE($B$1, -12),
    'Deviation RC Data'!$B:$B, "&lt;=" &amp; $B$1
  ),
  IF(_xlpm.result = 0, "", _xlpm.result)
)</f>
        <v/>
      </c>
      <c r="O30" s="82" t="str">
        <f ca="1">_xlfn.LET(
  _xlpm.result,
  COUNTIFS(
    'Deviation RC Data'!$O:$O, $A30,
    'Deviation RC Data'!AC:AC, "x",
    'Deviation RC Data'!$B:$B, "&gt;=" &amp; EDATE($B$1, -12),
    'Deviation RC Data'!$B:$B, "&lt;=" &amp; $B$1
  ),
  IF(_xlpm.result = 0, "", _xlpm.result)
)</f>
        <v/>
      </c>
      <c r="P30" s="82" t="str">
        <f ca="1">_xlfn.LET(
  _xlpm.result,
  COUNTIFS(
    'Deviation RC Data'!$O:$O, $A30,
    'Deviation RC Data'!AD:AD, "x",
    'Deviation RC Data'!$B:$B, "&gt;=" &amp; EDATE($B$1, -12),
    'Deviation RC Data'!$B:$B, "&lt;=" &amp; $B$1
  ),
  IF(_xlpm.result = 0, "", _xlpm.result)
)</f>
        <v/>
      </c>
      <c r="Q30" s="82" t="str">
        <f ca="1">_xlfn.LET(
  _xlpm.result,
  COUNTIFS(
    'Deviation RC Data'!$O:$O, $A30,
    'Deviation RC Data'!AE:AE, "x",
    'Deviation RC Data'!$B:$B, "&gt;=" &amp; EDATE($B$1, -12),
    'Deviation RC Data'!$B:$B, "&lt;=" &amp; $B$1
  ),
  IF(_xlpm.result = 0, "", _xlpm.result)
)</f>
        <v/>
      </c>
      <c r="R30" s="82" t="str">
        <f ca="1">_xlfn.LET(
  _xlpm.result,
  COUNTIFS(
    'Deviation RC Data'!$O:$O, $A30,
    'Deviation RC Data'!AF:AF, "x",
    'Deviation RC Data'!$B:$B, "&gt;=" &amp; EDATE($B$1, -12),
    'Deviation RC Data'!$B:$B, "&lt;=" &amp; $B$1
  ),
  IF(_xlpm.result = 0, "", _xlpm.result)
)</f>
        <v/>
      </c>
      <c r="S30" s="82" t="str">
        <f ca="1">_xlfn.LET(
  _xlpm.result,
  COUNTIFS(
    'Deviation RC Data'!$O:$O, $A30,
    'Deviation RC Data'!AG:AG, "x",
    'Deviation RC Data'!$B:$B, "&gt;=" &amp; EDATE($B$1, -12),
    'Deviation RC Data'!$B:$B, "&lt;=" &amp; $B$1
  ),
  IF(_xlpm.result = 0, "", _xlpm.result)
)</f>
        <v/>
      </c>
      <c r="T30" s="82" t="str">
        <f ca="1">_xlfn.LET(
  _xlpm.result,
  COUNTIFS(
    'Deviation RC Data'!$O:$O, $A30,
    'Deviation RC Data'!AH:AH, "x",
    'Deviation RC Data'!$B:$B, "&gt;=" &amp; EDATE($B$1, -12),
    'Deviation RC Data'!$B:$B, "&lt;=" &amp; $B$1
  ),
  IF(_xlpm.result = 0, "", _xlpm.result)
)</f>
        <v/>
      </c>
    </row>
  </sheetData>
  <sheetProtection algorithmName="SHA-512" hashValue="qi2wZVaM4oF1qGN1H8Kx2zJ9opRMz1WqMoQv7MjMwTrzEOz++xJP0yKoMRLxZ93x0Q7WdcLouxoxFHTtitxfLw==" saltValue="OK4KWv9fWVddRL3FNFctcQ==" spinCount="100000" sheet="1" objects="1" scenarios="1" autoFilter="0" pivotTables="0"/>
  <conditionalFormatting sqref="B3:T30">
    <cfRule type="colorScale" priority="1">
      <colorScale>
        <cfvo type="num" val="1"/>
        <cfvo type="percentile" val="85"/>
        <cfvo type="max"/>
        <color rgb="FFFFFFCC"/>
        <color rgb="FFFFC000"/>
        <color rgb="FFC00000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13BB6-6086-4F6C-A85D-19D12FD43AB5}">
  <sheetPr codeName="Sheet3"/>
  <dimension ref="A1:AE201"/>
  <sheetViews>
    <sheetView tabSelected="1" zoomScaleNormal="100" workbookViewId="0">
      <pane xSplit="1" ySplit="2" topLeftCell="B48" activePane="bottomRight" state="frozen"/>
      <selection pane="topRight" activeCell="B1" sqref="B1"/>
      <selection pane="bottomLeft" activeCell="A3" sqref="A3"/>
      <selection pane="bottomRight" activeCell="H51" sqref="H51"/>
    </sheetView>
  </sheetViews>
  <sheetFormatPr defaultColWidth="9.109375" defaultRowHeight="14.4" x14ac:dyDescent="0.3"/>
  <cols>
    <col min="1" max="2" width="18.33203125" style="31" customWidth="1"/>
    <col min="3" max="3" width="18.109375" style="62" bestFit="1" customWidth="1"/>
    <col min="4" max="4" width="11.109375" style="31" customWidth="1"/>
    <col min="5" max="5" width="14.33203125" style="31" customWidth="1"/>
    <col min="6" max="6" width="10.6640625" style="31" customWidth="1"/>
    <col min="7" max="7" width="12.6640625" style="31" customWidth="1"/>
    <col min="8" max="8" width="9" style="31" customWidth="1"/>
    <col min="9" max="9" width="9.44140625" style="31" customWidth="1"/>
    <col min="10" max="11" width="13" style="31" customWidth="1"/>
    <col min="12" max="12" width="12.109375" style="31" customWidth="1"/>
    <col min="13" max="13" width="15.5546875" style="31" customWidth="1"/>
    <col min="14" max="14" width="13.88671875" style="31" customWidth="1"/>
    <col min="15" max="15" width="13.33203125" style="31" customWidth="1"/>
    <col min="16" max="16" width="12.33203125" style="31" customWidth="1"/>
    <col min="17" max="17" width="13" style="31" customWidth="1"/>
    <col min="18" max="19" width="12.33203125" style="31" customWidth="1"/>
    <col min="20" max="20" width="10.44140625" style="39" customWidth="1"/>
    <col min="21" max="16384" width="9.109375" style="39"/>
  </cols>
  <sheetData>
    <row r="1" spans="1:31" customFormat="1" ht="15.6" x14ac:dyDescent="0.3">
      <c r="A1" s="63"/>
      <c r="B1" s="63"/>
      <c r="C1" s="66"/>
      <c r="D1" s="117" t="s">
        <v>84</v>
      </c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9"/>
      <c r="S1" s="94"/>
      <c r="T1" s="120" t="s">
        <v>159</v>
      </c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</row>
    <row r="2" spans="1:31" customFormat="1" ht="95.25" customHeight="1" x14ac:dyDescent="0.3">
      <c r="A2" s="64" t="s">
        <v>83</v>
      </c>
      <c r="B2" s="64" t="s">
        <v>173</v>
      </c>
      <c r="C2" s="65" t="s">
        <v>85</v>
      </c>
      <c r="D2" s="65" t="s">
        <v>214</v>
      </c>
      <c r="E2" s="64" t="s">
        <v>44</v>
      </c>
      <c r="F2" s="64" t="s">
        <v>46</v>
      </c>
      <c r="G2" s="64" t="s">
        <v>215</v>
      </c>
      <c r="H2" s="64" t="s">
        <v>88</v>
      </c>
      <c r="I2" s="64" t="s">
        <v>216</v>
      </c>
      <c r="J2" s="64" t="s">
        <v>223</v>
      </c>
      <c r="K2" s="64" t="s">
        <v>222</v>
      </c>
      <c r="L2" s="64" t="s">
        <v>221</v>
      </c>
      <c r="M2" s="64" t="s">
        <v>217</v>
      </c>
      <c r="N2" s="64" t="s">
        <v>218</v>
      </c>
      <c r="O2" s="64" t="s">
        <v>191</v>
      </c>
      <c r="P2" s="64" t="s">
        <v>220</v>
      </c>
      <c r="Q2" s="64" t="s">
        <v>219</v>
      </c>
      <c r="R2" s="67" t="s">
        <v>99</v>
      </c>
      <c r="S2" s="67" t="s">
        <v>358</v>
      </c>
      <c r="T2" s="68" t="s">
        <v>147</v>
      </c>
      <c r="U2" s="68" t="s">
        <v>155</v>
      </c>
      <c r="V2" s="69" t="s">
        <v>102</v>
      </c>
      <c r="W2" s="68" t="s">
        <v>134</v>
      </c>
      <c r="X2" s="68" t="s">
        <v>157</v>
      </c>
      <c r="Y2" s="68" t="s">
        <v>112</v>
      </c>
      <c r="Z2" s="68" t="s">
        <v>122</v>
      </c>
      <c r="AA2" s="68" t="s">
        <v>116</v>
      </c>
      <c r="AB2" s="68" t="s">
        <v>109</v>
      </c>
      <c r="AC2" s="68" t="s">
        <v>103</v>
      </c>
      <c r="AD2" s="70" t="s">
        <v>156</v>
      </c>
      <c r="AE2" s="68" t="s">
        <v>158</v>
      </c>
    </row>
    <row r="3" spans="1:31" x14ac:dyDescent="0.3">
      <c r="A3" s="8" t="s">
        <v>60</v>
      </c>
      <c r="B3" s="9">
        <v>44953</v>
      </c>
      <c r="C3" s="10" t="s">
        <v>95</v>
      </c>
      <c r="D3" s="11"/>
      <c r="E3" s="11"/>
      <c r="F3" s="11" t="s">
        <v>30</v>
      </c>
      <c r="G3" s="11" t="s">
        <v>30</v>
      </c>
      <c r="H3" s="11"/>
      <c r="I3" s="11"/>
      <c r="J3" s="12"/>
      <c r="K3" s="12"/>
      <c r="L3" s="12"/>
      <c r="M3" s="12"/>
      <c r="N3" s="12"/>
      <c r="O3" s="12"/>
      <c r="P3" s="12"/>
      <c r="Q3" s="12"/>
      <c r="R3" s="12"/>
      <c r="S3" s="95"/>
      <c r="T3" s="13" t="s">
        <v>30</v>
      </c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 spans="1:31" ht="72" x14ac:dyDescent="0.3">
      <c r="A4" s="8" t="s">
        <v>61</v>
      </c>
      <c r="B4" s="9">
        <v>44953</v>
      </c>
      <c r="C4" s="10" t="s">
        <v>286</v>
      </c>
      <c r="D4" s="11"/>
      <c r="E4" s="11"/>
      <c r="F4" s="11"/>
      <c r="G4" s="11"/>
      <c r="H4" s="11"/>
      <c r="I4" s="11"/>
      <c r="J4" s="12"/>
      <c r="K4" s="12"/>
      <c r="L4" s="12"/>
      <c r="M4" s="12"/>
      <c r="N4" s="12"/>
      <c r="O4" s="12"/>
      <c r="P4" s="12"/>
      <c r="Q4" s="12"/>
      <c r="R4" s="14"/>
      <c r="S4" s="14" t="s">
        <v>224</v>
      </c>
      <c r="T4" s="11" t="s">
        <v>30</v>
      </c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1" x14ac:dyDescent="0.3">
      <c r="A5" s="8" t="s">
        <v>62</v>
      </c>
      <c r="B5" s="9">
        <v>44993</v>
      </c>
      <c r="C5" s="10" t="s">
        <v>96</v>
      </c>
      <c r="D5" s="11"/>
      <c r="E5" s="11"/>
      <c r="F5" s="11"/>
      <c r="G5" s="11"/>
      <c r="H5" s="11"/>
      <c r="I5" s="11"/>
      <c r="J5" s="12"/>
      <c r="K5" s="12"/>
      <c r="L5" s="12"/>
      <c r="M5" s="12" t="s">
        <v>30</v>
      </c>
      <c r="N5" s="12"/>
      <c r="O5" s="12"/>
      <c r="P5" s="12"/>
      <c r="Q5" s="12"/>
      <c r="R5" s="12"/>
      <c r="S5" s="12"/>
      <c r="T5" s="11"/>
      <c r="U5" s="11" t="s">
        <v>30</v>
      </c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spans="1:31" ht="24" x14ac:dyDescent="0.3">
      <c r="A6" s="8" t="s">
        <v>63</v>
      </c>
      <c r="B6" s="9">
        <v>45019</v>
      </c>
      <c r="C6" s="10" t="s">
        <v>285</v>
      </c>
      <c r="D6" s="11"/>
      <c r="E6" s="11"/>
      <c r="F6" s="11"/>
      <c r="G6" s="11"/>
      <c r="H6" s="11"/>
      <c r="I6" s="11"/>
      <c r="J6" s="12"/>
      <c r="K6" s="12"/>
      <c r="L6" s="12"/>
      <c r="M6" s="12"/>
      <c r="N6" s="12"/>
      <c r="O6" s="12"/>
      <c r="P6" s="12"/>
      <c r="Q6" s="12"/>
      <c r="R6" s="14"/>
      <c r="S6" s="14" t="s">
        <v>93</v>
      </c>
      <c r="T6" s="11"/>
      <c r="U6" s="11" t="s">
        <v>30</v>
      </c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spans="1:31" x14ac:dyDescent="0.3">
      <c r="A7" s="8" t="s">
        <v>64</v>
      </c>
      <c r="B7" s="9">
        <v>45020</v>
      </c>
      <c r="C7" s="10" t="s">
        <v>94</v>
      </c>
      <c r="D7" s="11"/>
      <c r="E7" s="11"/>
      <c r="F7" s="11"/>
      <c r="G7" s="11" t="s">
        <v>30</v>
      </c>
      <c r="H7" s="11"/>
      <c r="I7" s="11"/>
      <c r="J7" s="12"/>
      <c r="K7" s="12"/>
      <c r="L7" s="12"/>
      <c r="M7" s="12"/>
      <c r="N7" s="12"/>
      <c r="O7" s="12"/>
      <c r="P7" s="12"/>
      <c r="Q7" s="12"/>
      <c r="R7" s="12"/>
      <c r="S7" s="12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 t="s">
        <v>30</v>
      </c>
      <c r="AE7" s="11"/>
    </row>
    <row r="8" spans="1:31" x14ac:dyDescent="0.3">
      <c r="A8" s="8" t="s">
        <v>65</v>
      </c>
      <c r="B8" s="9">
        <v>45036</v>
      </c>
      <c r="C8" s="10" t="s">
        <v>258</v>
      </c>
      <c r="D8" s="11"/>
      <c r="E8" s="11"/>
      <c r="F8" s="11" t="s">
        <v>30</v>
      </c>
      <c r="G8" s="11"/>
      <c r="H8" s="11"/>
      <c r="I8" s="11"/>
      <c r="J8" s="12"/>
      <c r="K8" s="12"/>
      <c r="L8" s="12"/>
      <c r="M8" s="12"/>
      <c r="N8" s="12"/>
      <c r="O8" s="12"/>
      <c r="P8" s="12"/>
      <c r="Q8" s="12"/>
      <c r="R8" s="12"/>
      <c r="S8" s="12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 t="s">
        <v>30</v>
      </c>
      <c r="AE8" s="11"/>
    </row>
    <row r="9" spans="1:31" x14ac:dyDescent="0.3">
      <c r="A9" s="8" t="s">
        <v>66</v>
      </c>
      <c r="B9" s="9">
        <v>45056</v>
      </c>
      <c r="C9" s="10" t="s">
        <v>96</v>
      </c>
      <c r="D9" s="11"/>
      <c r="E9" s="11"/>
      <c r="F9" s="11" t="s">
        <v>30</v>
      </c>
      <c r="G9" s="11"/>
      <c r="H9" s="11"/>
      <c r="I9" s="11"/>
      <c r="J9" s="12"/>
      <c r="K9" s="12"/>
      <c r="L9" s="12"/>
      <c r="M9" s="12"/>
      <c r="N9" s="12"/>
      <c r="O9" s="12"/>
      <c r="P9" s="12"/>
      <c r="Q9" s="12"/>
      <c r="R9" s="12"/>
      <c r="S9" s="12"/>
      <c r="T9" s="11"/>
      <c r="U9" s="11"/>
      <c r="V9" s="11"/>
      <c r="W9" s="11" t="s">
        <v>30</v>
      </c>
      <c r="X9" s="11"/>
      <c r="Y9" s="11"/>
      <c r="Z9" s="11"/>
      <c r="AA9" s="11"/>
      <c r="AB9" s="11"/>
      <c r="AC9" s="11"/>
      <c r="AD9" s="11"/>
      <c r="AE9" s="11"/>
    </row>
    <row r="10" spans="1:31" ht="60" x14ac:dyDescent="0.3">
      <c r="A10" s="8" t="s">
        <v>67</v>
      </c>
      <c r="B10" s="9">
        <v>45056</v>
      </c>
      <c r="C10" s="10" t="s">
        <v>212</v>
      </c>
      <c r="D10" s="11"/>
      <c r="E10" s="11"/>
      <c r="F10" s="11"/>
      <c r="G10" s="11"/>
      <c r="H10" s="11"/>
      <c r="I10" s="11"/>
      <c r="J10" s="12"/>
      <c r="K10" s="12"/>
      <c r="L10" s="12"/>
      <c r="M10" s="12"/>
      <c r="N10" s="12"/>
      <c r="O10" s="12"/>
      <c r="P10" s="12"/>
      <c r="Q10" s="12"/>
      <c r="R10" s="14"/>
      <c r="S10" s="14" t="s">
        <v>225</v>
      </c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 t="s">
        <v>30</v>
      </c>
      <c r="AE10" s="11"/>
    </row>
    <row r="11" spans="1:31" x14ac:dyDescent="0.3">
      <c r="A11" s="8" t="s">
        <v>68</v>
      </c>
      <c r="B11" s="9">
        <v>45079</v>
      </c>
      <c r="C11" s="10" t="s">
        <v>96</v>
      </c>
      <c r="D11" s="11"/>
      <c r="E11" s="11"/>
      <c r="F11" s="11" t="s">
        <v>30</v>
      </c>
      <c r="G11" s="11"/>
      <c r="H11" s="11" t="s">
        <v>30</v>
      </c>
      <c r="I11" s="11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1"/>
      <c r="U11" s="11"/>
      <c r="V11" s="11"/>
      <c r="W11" s="11" t="s">
        <v>30</v>
      </c>
      <c r="X11" s="11"/>
      <c r="Y11" s="11"/>
      <c r="Z11" s="11"/>
      <c r="AA11" s="11"/>
      <c r="AB11" s="11"/>
      <c r="AC11" s="11"/>
      <c r="AD11" s="11"/>
      <c r="AE11" s="11"/>
    </row>
    <row r="12" spans="1:31" x14ac:dyDescent="0.3">
      <c r="A12" s="8" t="s">
        <v>69</v>
      </c>
      <c r="B12" s="9">
        <v>45093</v>
      </c>
      <c r="C12" s="10" t="s">
        <v>97</v>
      </c>
      <c r="D12" s="11"/>
      <c r="E12" s="11"/>
      <c r="F12" s="11" t="s">
        <v>30</v>
      </c>
      <c r="G12" s="11"/>
      <c r="H12" s="11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1" t="s">
        <v>30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1" x14ac:dyDescent="0.3">
      <c r="A13" s="8" t="s">
        <v>70</v>
      </c>
      <c r="B13" s="9">
        <v>45111</v>
      </c>
      <c r="C13" s="15" t="s">
        <v>97</v>
      </c>
      <c r="D13" s="11"/>
      <c r="E13" s="11"/>
      <c r="F13" s="11" t="s">
        <v>30</v>
      </c>
      <c r="G13" s="11"/>
      <c r="H13" s="11"/>
      <c r="I13" s="11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1"/>
      <c r="U13" s="11"/>
      <c r="V13" s="11"/>
      <c r="W13" s="11"/>
      <c r="X13" s="11" t="s">
        <v>30</v>
      </c>
      <c r="Y13" s="11"/>
      <c r="Z13" s="11"/>
      <c r="AA13" s="11"/>
      <c r="AB13" s="11"/>
      <c r="AC13" s="11"/>
      <c r="AD13" s="11"/>
      <c r="AE13" s="11"/>
    </row>
    <row r="14" spans="1:31" x14ac:dyDescent="0.3">
      <c r="A14" s="8" t="s">
        <v>71</v>
      </c>
      <c r="B14" s="9">
        <v>45113</v>
      </c>
      <c r="C14" s="10" t="s">
        <v>95</v>
      </c>
      <c r="D14" s="11"/>
      <c r="E14" s="11"/>
      <c r="F14" s="11"/>
      <c r="G14" s="11"/>
      <c r="H14" s="11"/>
      <c r="I14" s="11"/>
      <c r="J14" s="12"/>
      <c r="K14" s="12" t="s">
        <v>30</v>
      </c>
      <c r="L14" s="12"/>
      <c r="M14" s="12"/>
      <c r="N14" s="12"/>
      <c r="O14" s="12"/>
      <c r="P14" s="12"/>
      <c r="Q14" s="12"/>
      <c r="R14" s="12"/>
      <c r="S14" s="12"/>
      <c r="T14" s="11"/>
      <c r="U14" s="11"/>
      <c r="V14" s="11"/>
      <c r="W14" s="11"/>
      <c r="X14" s="11"/>
      <c r="Y14" s="11" t="s">
        <v>30</v>
      </c>
      <c r="Z14" s="11"/>
      <c r="AA14" s="11"/>
      <c r="AB14" s="11"/>
      <c r="AC14" s="11"/>
      <c r="AD14" s="11"/>
      <c r="AE14" s="11"/>
    </row>
    <row r="15" spans="1:31" x14ac:dyDescent="0.3">
      <c r="A15" s="8" t="s">
        <v>72</v>
      </c>
      <c r="B15" s="9">
        <v>45181</v>
      </c>
      <c r="C15" s="15" t="s">
        <v>163</v>
      </c>
      <c r="D15" s="11"/>
      <c r="E15" s="11"/>
      <c r="F15" s="11" t="s">
        <v>30</v>
      </c>
      <c r="G15" s="11"/>
      <c r="H15" s="11"/>
      <c r="I15" s="11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1" t="s">
        <v>30</v>
      </c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 spans="1:31" x14ac:dyDescent="0.3">
      <c r="A16" s="8" t="s">
        <v>73</v>
      </c>
      <c r="B16" s="9">
        <v>45182</v>
      </c>
      <c r="C16" s="10" t="s">
        <v>98</v>
      </c>
      <c r="D16" s="11"/>
      <c r="E16" s="11"/>
      <c r="F16" s="11"/>
      <c r="G16" s="11"/>
      <c r="H16" s="11"/>
      <c r="I16" s="11"/>
      <c r="J16" s="12"/>
      <c r="K16" s="12"/>
      <c r="L16" s="12"/>
      <c r="M16" s="12"/>
      <c r="N16" s="12"/>
      <c r="O16" s="12"/>
      <c r="P16" s="12" t="s">
        <v>30</v>
      </c>
      <c r="Q16" s="12"/>
      <c r="R16" s="12"/>
      <c r="S16" s="12"/>
      <c r="T16" s="11" t="s">
        <v>30</v>
      </c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spans="1:31" x14ac:dyDescent="0.3">
      <c r="A17" s="8" t="s">
        <v>74</v>
      </c>
      <c r="B17" s="9">
        <v>45188</v>
      </c>
      <c r="C17" s="10" t="s">
        <v>95</v>
      </c>
      <c r="D17" s="11"/>
      <c r="E17" s="11"/>
      <c r="F17" s="11" t="s">
        <v>30</v>
      </c>
      <c r="G17" s="11"/>
      <c r="H17" s="11"/>
      <c r="I17" s="11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1" t="s">
        <v>30</v>
      </c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 spans="1:31" x14ac:dyDescent="0.3">
      <c r="A18" s="8" t="s">
        <v>75</v>
      </c>
      <c r="B18" s="9">
        <v>45236</v>
      </c>
      <c r="C18" s="10" t="s">
        <v>98</v>
      </c>
      <c r="D18" s="11" t="s">
        <v>30</v>
      </c>
      <c r="E18" s="11"/>
      <c r="F18" s="11"/>
      <c r="G18" s="11"/>
      <c r="H18" s="11"/>
      <c r="I18" s="11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1"/>
      <c r="U18" s="11" t="s">
        <v>30</v>
      </c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spans="1:31" x14ac:dyDescent="0.3">
      <c r="A19" s="8" t="s">
        <v>76</v>
      </c>
      <c r="B19" s="9">
        <v>45236</v>
      </c>
      <c r="C19" s="10" t="s">
        <v>119</v>
      </c>
      <c r="D19" s="11"/>
      <c r="E19" s="11"/>
      <c r="F19" s="11"/>
      <c r="G19" s="11"/>
      <c r="H19" s="11" t="s">
        <v>30</v>
      </c>
      <c r="I19" s="11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1"/>
      <c r="U19" s="11"/>
      <c r="V19" s="11"/>
      <c r="W19" s="11"/>
      <c r="X19" s="11"/>
      <c r="Y19" s="11" t="s">
        <v>30</v>
      </c>
      <c r="Z19" s="11"/>
      <c r="AA19" s="11"/>
      <c r="AB19" s="11"/>
      <c r="AC19" s="11"/>
      <c r="AD19" s="11"/>
      <c r="AE19" s="11"/>
    </row>
    <row r="20" spans="1:31" x14ac:dyDescent="0.3">
      <c r="A20" s="8" t="s">
        <v>77</v>
      </c>
      <c r="B20" s="9">
        <v>45238</v>
      </c>
      <c r="C20" s="10" t="s">
        <v>100</v>
      </c>
      <c r="D20" s="11"/>
      <c r="E20" s="11"/>
      <c r="F20" s="11"/>
      <c r="G20" s="11"/>
      <c r="H20" s="11"/>
      <c r="I20" s="11" t="s">
        <v>30</v>
      </c>
      <c r="J20" s="12"/>
      <c r="K20" s="12"/>
      <c r="L20" s="12"/>
      <c r="M20" s="12"/>
      <c r="N20" s="12"/>
      <c r="O20" s="12"/>
      <c r="P20" s="12"/>
      <c r="Q20" s="12"/>
      <c r="R20" s="16"/>
      <c r="S20" s="16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 t="s">
        <v>30</v>
      </c>
    </row>
    <row r="21" spans="1:31" x14ac:dyDescent="0.3">
      <c r="A21" s="8" t="s">
        <v>78</v>
      </c>
      <c r="B21" s="9">
        <v>45253</v>
      </c>
      <c r="C21" s="10" t="s">
        <v>96</v>
      </c>
      <c r="D21" s="11"/>
      <c r="E21" s="11"/>
      <c r="F21" s="11"/>
      <c r="G21" s="11"/>
      <c r="H21" s="11"/>
      <c r="I21" s="11"/>
      <c r="J21" s="12" t="s">
        <v>30</v>
      </c>
      <c r="K21" s="12"/>
      <c r="L21" s="12"/>
      <c r="M21" s="12"/>
      <c r="N21" s="12"/>
      <c r="O21" s="12"/>
      <c r="P21" s="12"/>
      <c r="Q21" s="12"/>
      <c r="R21" s="16"/>
      <c r="S21" s="16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 t="s">
        <v>30</v>
      </c>
    </row>
    <row r="22" spans="1:31" x14ac:dyDescent="0.3">
      <c r="A22" s="8" t="s">
        <v>79</v>
      </c>
      <c r="B22" s="9">
        <v>45259</v>
      </c>
      <c r="C22" s="10" t="s">
        <v>95</v>
      </c>
      <c r="D22" s="11" t="s">
        <v>30</v>
      </c>
      <c r="E22" s="11"/>
      <c r="F22" s="11"/>
      <c r="G22" s="11"/>
      <c r="H22" s="11"/>
      <c r="I22" s="11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1"/>
      <c r="U22" s="11"/>
      <c r="V22" s="11"/>
      <c r="W22" s="11"/>
      <c r="X22" s="11"/>
      <c r="Y22" s="11" t="s">
        <v>30</v>
      </c>
      <c r="Z22" s="11"/>
      <c r="AA22" s="11"/>
      <c r="AB22" s="11"/>
      <c r="AC22" s="11"/>
      <c r="AD22" s="11"/>
      <c r="AE22" s="11"/>
    </row>
    <row r="23" spans="1:31" x14ac:dyDescent="0.3">
      <c r="A23" s="8" t="s">
        <v>80</v>
      </c>
      <c r="B23" s="9">
        <v>45265</v>
      </c>
      <c r="C23" s="10" t="s">
        <v>149</v>
      </c>
      <c r="D23" s="11"/>
      <c r="E23" s="11"/>
      <c r="F23" s="11"/>
      <c r="G23" s="11"/>
      <c r="H23" s="11"/>
      <c r="I23" s="11" t="s">
        <v>30</v>
      </c>
      <c r="J23" s="12"/>
      <c r="K23" s="12"/>
      <c r="L23" s="12"/>
      <c r="M23" s="12"/>
      <c r="N23" s="12"/>
      <c r="O23" s="12"/>
      <c r="P23" s="12"/>
      <c r="Q23" s="12"/>
      <c r="R23" s="16"/>
      <c r="S23" s="16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 t="s">
        <v>30</v>
      </c>
    </row>
    <row r="24" spans="1:31" x14ac:dyDescent="0.3">
      <c r="A24" s="8" t="s">
        <v>81</v>
      </c>
      <c r="B24" s="9">
        <v>45279</v>
      </c>
      <c r="C24" s="10" t="s">
        <v>96</v>
      </c>
      <c r="D24" s="11"/>
      <c r="E24" s="11"/>
      <c r="F24" s="11"/>
      <c r="G24" s="11"/>
      <c r="H24" s="11"/>
      <c r="I24" s="11" t="s">
        <v>30</v>
      </c>
      <c r="J24" s="12"/>
      <c r="K24" s="12"/>
      <c r="L24" s="12"/>
      <c r="M24" s="12"/>
      <c r="N24" s="12"/>
      <c r="O24" s="12"/>
      <c r="P24" s="12"/>
      <c r="Q24" s="12"/>
      <c r="R24" s="16"/>
      <c r="S24" s="16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 t="s">
        <v>30</v>
      </c>
    </row>
    <row r="25" spans="1:31" x14ac:dyDescent="0.3">
      <c r="A25" s="17"/>
      <c r="B25" s="17"/>
      <c r="C25" s="18"/>
      <c r="D25" s="11"/>
      <c r="E25" s="11"/>
      <c r="F25" s="11"/>
      <c r="G25" s="11"/>
      <c r="H25" s="11"/>
      <c r="I25" s="11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 spans="1:31" x14ac:dyDescent="0.3">
      <c r="A26" s="19" t="s">
        <v>50</v>
      </c>
      <c r="B26" s="20">
        <v>45299</v>
      </c>
      <c r="C26" s="10" t="s">
        <v>100</v>
      </c>
      <c r="D26" s="11"/>
      <c r="E26" s="11"/>
      <c r="F26" s="11"/>
      <c r="G26" s="11"/>
      <c r="H26" s="11"/>
      <c r="I26" s="11" t="s">
        <v>30</v>
      </c>
      <c r="J26" s="12"/>
      <c r="K26" s="12"/>
      <c r="L26" s="12"/>
      <c r="M26" s="12"/>
      <c r="N26" s="12"/>
      <c r="O26" s="12"/>
      <c r="P26" s="12"/>
      <c r="Q26" s="12"/>
      <c r="R26" s="16"/>
      <c r="S26" s="16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 t="s">
        <v>30</v>
      </c>
    </row>
    <row r="27" spans="1:31" x14ac:dyDescent="0.3">
      <c r="A27" s="8" t="s">
        <v>51</v>
      </c>
      <c r="B27" s="9">
        <v>45322</v>
      </c>
      <c r="C27" s="10" t="s">
        <v>96</v>
      </c>
      <c r="D27" s="11"/>
      <c r="E27" s="11"/>
      <c r="F27" s="11"/>
      <c r="G27" s="11"/>
      <c r="H27" s="11"/>
      <c r="I27" s="11"/>
      <c r="J27" s="12" t="s">
        <v>30</v>
      </c>
      <c r="K27" s="12"/>
      <c r="L27" s="12"/>
      <c r="M27" s="12"/>
      <c r="N27" s="12"/>
      <c r="O27" s="12"/>
      <c r="P27" s="12"/>
      <c r="Q27" s="12"/>
      <c r="R27" s="12"/>
      <c r="S27" s="12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 t="s">
        <v>30</v>
      </c>
    </row>
    <row r="28" spans="1:31" x14ac:dyDescent="0.3">
      <c r="A28" s="8" t="s">
        <v>52</v>
      </c>
      <c r="B28" s="9">
        <v>45334</v>
      </c>
      <c r="C28" s="10" t="s">
        <v>150</v>
      </c>
      <c r="D28" s="11"/>
      <c r="E28" s="11"/>
      <c r="F28" s="11" t="s">
        <v>30</v>
      </c>
      <c r="G28" s="11"/>
      <c r="H28" s="11"/>
      <c r="I28" s="11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1" t="s">
        <v>30</v>
      </c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 spans="1:31" x14ac:dyDescent="0.3">
      <c r="A29" s="8" t="s">
        <v>53</v>
      </c>
      <c r="B29" s="9">
        <v>45337</v>
      </c>
      <c r="C29" s="10" t="s">
        <v>213</v>
      </c>
      <c r="D29" s="11"/>
      <c r="E29" s="11"/>
      <c r="F29" s="11"/>
      <c r="G29" s="11"/>
      <c r="H29" s="11"/>
      <c r="I29" s="11" t="s">
        <v>30</v>
      </c>
      <c r="J29" s="21"/>
      <c r="K29" s="21"/>
      <c r="L29" s="21"/>
      <c r="M29" s="21"/>
      <c r="N29" s="21"/>
      <c r="O29" s="21"/>
      <c r="P29" s="21"/>
      <c r="Q29" s="11"/>
      <c r="R29" s="22"/>
      <c r="S29" s="22"/>
      <c r="T29" s="11"/>
      <c r="U29" s="11"/>
      <c r="V29" s="11"/>
      <c r="W29" s="11"/>
      <c r="X29" s="11" t="s">
        <v>30</v>
      </c>
      <c r="Y29" s="11"/>
      <c r="Z29" s="11"/>
      <c r="AA29" s="11"/>
      <c r="AB29" s="11"/>
      <c r="AC29" s="11"/>
      <c r="AD29" s="11"/>
      <c r="AE29" s="11"/>
    </row>
    <row r="30" spans="1:31" x14ac:dyDescent="0.3">
      <c r="A30" s="19" t="s">
        <v>54</v>
      </c>
      <c r="B30" s="20">
        <v>45341</v>
      </c>
      <c r="C30" s="10" t="s">
        <v>96</v>
      </c>
      <c r="D30" s="11"/>
      <c r="E30" s="11"/>
      <c r="F30" s="11" t="s">
        <v>30</v>
      </c>
      <c r="G30" s="11"/>
      <c r="H30" s="11" t="s">
        <v>30</v>
      </c>
      <c r="I30" s="11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1"/>
      <c r="U30" s="11"/>
      <c r="V30" s="11"/>
      <c r="W30" s="11" t="s">
        <v>30</v>
      </c>
      <c r="X30" s="11"/>
      <c r="Y30" s="11"/>
      <c r="Z30" s="11"/>
      <c r="AA30" s="11"/>
      <c r="AB30" s="11"/>
      <c r="AC30" s="11"/>
      <c r="AD30" s="11"/>
      <c r="AE30" s="11"/>
    </row>
    <row r="31" spans="1:31" x14ac:dyDescent="0.3">
      <c r="A31" s="8" t="s">
        <v>55</v>
      </c>
      <c r="B31" s="9">
        <v>45355</v>
      </c>
      <c r="C31" s="10" t="s">
        <v>100</v>
      </c>
      <c r="D31" s="11"/>
      <c r="E31" s="11"/>
      <c r="F31" s="11"/>
      <c r="G31" s="11"/>
      <c r="H31" s="11"/>
      <c r="I31" s="11" t="s">
        <v>30</v>
      </c>
      <c r="J31" s="12"/>
      <c r="K31" s="12"/>
      <c r="L31" s="12"/>
      <c r="M31" s="12"/>
      <c r="N31" s="12"/>
      <c r="O31" s="12"/>
      <c r="P31" s="12"/>
      <c r="Q31" s="12"/>
      <c r="R31" s="16" t="s">
        <v>125</v>
      </c>
      <c r="S31" s="16"/>
      <c r="T31" s="11"/>
      <c r="U31" s="11"/>
      <c r="V31" s="11"/>
      <c r="W31" s="11"/>
      <c r="X31" s="11" t="s">
        <v>30</v>
      </c>
      <c r="Y31" s="11"/>
      <c r="Z31" s="11"/>
      <c r="AA31" s="11"/>
      <c r="AB31" s="11"/>
      <c r="AC31" s="11"/>
      <c r="AD31" s="11"/>
      <c r="AE31" s="11"/>
    </row>
    <row r="32" spans="1:31" x14ac:dyDescent="0.3">
      <c r="A32" s="8" t="s">
        <v>56</v>
      </c>
      <c r="B32" s="9">
        <v>45384</v>
      </c>
      <c r="C32" s="10" t="s">
        <v>96</v>
      </c>
      <c r="D32" s="11"/>
      <c r="E32" s="11"/>
      <c r="F32" s="11"/>
      <c r="G32" s="11"/>
      <c r="H32" s="11"/>
      <c r="I32" s="11" t="s">
        <v>30</v>
      </c>
      <c r="J32" s="12"/>
      <c r="K32" s="12"/>
      <c r="L32" s="12"/>
      <c r="M32" s="12"/>
      <c r="N32" s="12"/>
      <c r="O32" s="12"/>
      <c r="P32" s="12"/>
      <c r="Q32" s="12"/>
      <c r="R32" s="16"/>
      <c r="S32" s="16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 t="s">
        <v>30</v>
      </c>
    </row>
    <row r="33" spans="1:31" x14ac:dyDescent="0.3">
      <c r="A33" s="8" t="s">
        <v>57</v>
      </c>
      <c r="B33" s="9">
        <v>45384</v>
      </c>
      <c r="C33" s="10" t="s">
        <v>96</v>
      </c>
      <c r="D33" s="11"/>
      <c r="E33" s="11"/>
      <c r="F33" s="11"/>
      <c r="G33" s="11"/>
      <c r="H33" s="11"/>
      <c r="I33" s="11"/>
      <c r="J33" s="12"/>
      <c r="K33" s="12"/>
      <c r="L33" s="12"/>
      <c r="M33" s="12"/>
      <c r="N33" s="12" t="s">
        <v>30</v>
      </c>
      <c r="O33" s="12"/>
      <c r="P33" s="12"/>
      <c r="Q33" s="12"/>
      <c r="R33" s="12"/>
      <c r="S33" s="12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 t="s">
        <v>30</v>
      </c>
    </row>
    <row r="34" spans="1:31" x14ac:dyDescent="0.3">
      <c r="A34" s="8" t="s">
        <v>58</v>
      </c>
      <c r="B34" s="9">
        <v>45453</v>
      </c>
      <c r="C34" s="15" t="s">
        <v>96</v>
      </c>
      <c r="D34" s="11"/>
      <c r="E34" s="11"/>
      <c r="F34" s="11"/>
      <c r="G34" s="11"/>
      <c r="H34" s="11"/>
      <c r="I34" s="11" t="s">
        <v>30</v>
      </c>
      <c r="J34" s="12"/>
      <c r="K34" s="12"/>
      <c r="L34" s="12"/>
      <c r="M34" s="12"/>
      <c r="N34" s="12"/>
      <c r="O34" s="12"/>
      <c r="P34" s="12"/>
      <c r="Q34" s="12"/>
      <c r="R34" s="16"/>
      <c r="S34" s="16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 t="s">
        <v>30</v>
      </c>
    </row>
    <row r="35" spans="1:31" x14ac:dyDescent="0.3">
      <c r="A35" s="8" t="s">
        <v>59</v>
      </c>
      <c r="B35" s="23">
        <v>45464</v>
      </c>
      <c r="C35" s="24" t="s">
        <v>258</v>
      </c>
      <c r="D35" s="11"/>
      <c r="E35" s="11"/>
      <c r="F35" s="11"/>
      <c r="G35" s="11"/>
      <c r="H35" s="11"/>
      <c r="I35" s="11"/>
      <c r="J35" s="12"/>
      <c r="K35" s="12"/>
      <c r="L35" s="12"/>
      <c r="M35" s="12" t="s">
        <v>30</v>
      </c>
      <c r="N35" s="12"/>
      <c r="O35" s="12"/>
      <c r="P35" s="12"/>
      <c r="Q35" s="12"/>
      <c r="R35" s="12"/>
      <c r="S35" s="12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 t="s">
        <v>30</v>
      </c>
    </row>
    <row r="36" spans="1:31" x14ac:dyDescent="0.3">
      <c r="A36" s="8" t="s">
        <v>82</v>
      </c>
      <c r="B36" s="9">
        <v>45477</v>
      </c>
      <c r="C36" s="10" t="s">
        <v>96</v>
      </c>
      <c r="D36" s="11"/>
      <c r="E36" s="11"/>
      <c r="F36" s="11"/>
      <c r="G36" s="11"/>
      <c r="H36" s="11"/>
      <c r="I36" s="11"/>
      <c r="J36" s="12" t="s">
        <v>30</v>
      </c>
      <c r="K36" s="12"/>
      <c r="L36" s="12"/>
      <c r="M36" s="12"/>
      <c r="N36" s="12"/>
      <c r="O36" s="12"/>
      <c r="P36" s="12"/>
      <c r="Q36" s="12"/>
      <c r="R36" s="12"/>
      <c r="S36" s="12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 t="s">
        <v>30</v>
      </c>
    </row>
    <row r="37" spans="1:31" ht="41.4" x14ac:dyDescent="0.3">
      <c r="A37" s="8" t="s">
        <v>124</v>
      </c>
      <c r="B37" s="9">
        <v>45519</v>
      </c>
      <c r="C37" s="15" t="s">
        <v>148</v>
      </c>
      <c r="D37" s="11"/>
      <c r="E37" s="11"/>
      <c r="F37" s="11"/>
      <c r="G37" s="11"/>
      <c r="H37" s="11"/>
      <c r="I37" s="11"/>
      <c r="J37" s="12"/>
      <c r="K37" s="12"/>
      <c r="L37" s="12"/>
      <c r="M37" s="12"/>
      <c r="N37" s="12"/>
      <c r="O37" s="12"/>
      <c r="P37" s="12"/>
      <c r="Q37" s="12"/>
      <c r="R37" s="25"/>
      <c r="S37" s="25" t="s">
        <v>166</v>
      </c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 t="s">
        <v>30</v>
      </c>
      <c r="AE37" s="11"/>
    </row>
    <row r="38" spans="1:31" x14ac:dyDescent="0.3">
      <c r="A38" s="8" t="s">
        <v>167</v>
      </c>
      <c r="B38" s="9">
        <v>45558</v>
      </c>
      <c r="C38" s="15" t="s">
        <v>97</v>
      </c>
      <c r="D38" s="11"/>
      <c r="E38" s="11"/>
      <c r="F38" s="11" t="s">
        <v>30</v>
      </c>
      <c r="G38" s="11"/>
      <c r="H38" s="11"/>
      <c r="I38" s="11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 spans="1:31" x14ac:dyDescent="0.3">
      <c r="A39" s="8" t="s">
        <v>168</v>
      </c>
      <c r="B39" s="9">
        <v>45561</v>
      </c>
      <c r="C39" s="10" t="s">
        <v>96</v>
      </c>
      <c r="D39" s="11"/>
      <c r="E39" s="11"/>
      <c r="F39" s="11"/>
      <c r="G39" s="11"/>
      <c r="H39" s="11"/>
      <c r="I39" s="11"/>
      <c r="J39" s="12"/>
      <c r="K39" s="12"/>
      <c r="L39" s="12"/>
      <c r="M39" s="12" t="s">
        <v>30</v>
      </c>
      <c r="N39" s="12"/>
      <c r="O39" s="12"/>
      <c r="P39" s="12"/>
      <c r="Q39" s="12"/>
      <c r="R39" s="16"/>
      <c r="S39" s="16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 t="s">
        <v>30</v>
      </c>
      <c r="AE39" s="11"/>
    </row>
    <row r="40" spans="1:31" x14ac:dyDescent="0.3">
      <c r="A40" s="8" t="s">
        <v>169</v>
      </c>
      <c r="B40" s="9">
        <v>45575</v>
      </c>
      <c r="C40" s="10" t="s">
        <v>97</v>
      </c>
      <c r="D40" s="11"/>
      <c r="E40" s="11"/>
      <c r="F40" s="11"/>
      <c r="G40" s="11"/>
      <c r="H40" s="11"/>
      <c r="I40" s="11"/>
      <c r="J40" s="12"/>
      <c r="K40" s="12"/>
      <c r="L40" s="12"/>
      <c r="M40" s="12"/>
      <c r="N40" s="12" t="s">
        <v>30</v>
      </c>
      <c r="O40" s="12"/>
      <c r="P40" s="12"/>
      <c r="Q40" s="12"/>
      <c r="R40" s="12"/>
      <c r="S40" s="12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 t="s">
        <v>30</v>
      </c>
    </row>
    <row r="41" spans="1:31" x14ac:dyDescent="0.3">
      <c r="A41" s="8" t="s">
        <v>226</v>
      </c>
      <c r="B41" s="9">
        <v>45628</v>
      </c>
      <c r="C41" s="10" t="s">
        <v>96</v>
      </c>
      <c r="D41" s="11"/>
      <c r="E41" s="11"/>
      <c r="F41" s="11"/>
      <c r="G41" s="11"/>
      <c r="H41" s="11"/>
      <c r="I41" s="11"/>
      <c r="J41" s="12"/>
      <c r="K41" s="12"/>
      <c r="L41" s="12"/>
      <c r="M41" s="12" t="s">
        <v>30</v>
      </c>
      <c r="N41" s="12"/>
      <c r="O41" s="12"/>
      <c r="P41" s="12"/>
      <c r="Q41" s="12"/>
      <c r="R41" s="12"/>
      <c r="S41" s="12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 spans="1:31" x14ac:dyDescent="0.3">
      <c r="A42" s="26"/>
      <c r="B42" s="26"/>
      <c r="C42" s="27"/>
      <c r="D42" s="28"/>
      <c r="E42" s="28"/>
      <c r="F42" s="28"/>
      <c r="G42" s="28"/>
      <c r="H42" s="28"/>
      <c r="I42" s="28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</row>
    <row r="43" spans="1:31" x14ac:dyDescent="0.3">
      <c r="A43" s="30" t="s">
        <v>228</v>
      </c>
      <c r="B43" s="9">
        <v>45671</v>
      </c>
      <c r="C43" s="10" t="s">
        <v>96</v>
      </c>
      <c r="D43" s="11"/>
      <c r="E43" s="11"/>
      <c r="F43" s="11"/>
      <c r="G43" s="11"/>
      <c r="H43" s="11"/>
      <c r="I43" s="11" t="s">
        <v>30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 spans="1:31" x14ac:dyDescent="0.3">
      <c r="A44" s="30" t="s">
        <v>229</v>
      </c>
      <c r="B44" s="9">
        <v>45694</v>
      </c>
      <c r="C44" s="10" t="s">
        <v>96</v>
      </c>
      <c r="D44" s="11"/>
      <c r="E44" s="11"/>
      <c r="F44" s="11"/>
      <c r="G44" s="11"/>
      <c r="H44" s="11"/>
      <c r="I44" s="11" t="s">
        <v>30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 spans="1:31" x14ac:dyDescent="0.3">
      <c r="A45" s="30" t="s">
        <v>227</v>
      </c>
      <c r="B45" s="9">
        <v>45720</v>
      </c>
      <c r="C45" s="10" t="s">
        <v>98</v>
      </c>
      <c r="D45" s="11"/>
      <c r="E45" s="11"/>
      <c r="F45" s="31" t="s">
        <v>30</v>
      </c>
      <c r="G45" s="11"/>
      <c r="H45" s="11"/>
      <c r="I45" s="11"/>
      <c r="J45" s="12"/>
      <c r="K45" s="12"/>
      <c r="L45" s="12"/>
      <c r="M45" s="12"/>
      <c r="N45" s="12"/>
      <c r="O45" s="12"/>
      <c r="P45" s="32" t="s">
        <v>30</v>
      </c>
      <c r="Q45" s="12"/>
      <c r="R45" s="12"/>
      <c r="S45" s="12"/>
      <c r="T45" s="11"/>
      <c r="U45" s="11"/>
      <c r="V45" s="11"/>
      <c r="W45" s="11"/>
      <c r="X45" s="11"/>
      <c r="Y45" s="11" t="s">
        <v>30</v>
      </c>
      <c r="Z45" s="11"/>
      <c r="AA45" s="11"/>
      <c r="AB45" s="11"/>
      <c r="AC45" s="11"/>
      <c r="AD45" s="11"/>
      <c r="AE45" s="11"/>
    </row>
    <row r="46" spans="1:31" ht="28.8" x14ac:dyDescent="0.3">
      <c r="A46" s="30" t="s">
        <v>235</v>
      </c>
      <c r="B46" s="9">
        <v>45754</v>
      </c>
      <c r="C46" s="10" t="s">
        <v>291</v>
      </c>
      <c r="D46" s="11"/>
      <c r="E46" s="11"/>
      <c r="F46" s="11"/>
      <c r="G46" s="11"/>
      <c r="H46" s="11"/>
      <c r="I46" s="11" t="s">
        <v>30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1"/>
      <c r="U46" s="11"/>
      <c r="V46" s="11"/>
      <c r="W46" s="11"/>
      <c r="X46" s="11" t="s">
        <v>30</v>
      </c>
      <c r="Y46" s="11"/>
      <c r="Z46" s="11"/>
      <c r="AA46" s="11"/>
      <c r="AB46" s="11"/>
      <c r="AC46" s="11"/>
      <c r="AD46" s="11"/>
      <c r="AE46" s="11"/>
    </row>
    <row r="47" spans="1:31" x14ac:dyDescent="0.3">
      <c r="A47" s="30" t="s">
        <v>236</v>
      </c>
      <c r="B47" s="9">
        <v>45763</v>
      </c>
      <c r="C47" s="10" t="s">
        <v>96</v>
      </c>
      <c r="D47" s="11"/>
      <c r="E47" s="11"/>
      <c r="F47" s="11" t="s">
        <v>30</v>
      </c>
      <c r="G47" s="11"/>
      <c r="H47" s="11"/>
      <c r="I47" s="11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1"/>
      <c r="U47" s="11"/>
      <c r="V47" s="11"/>
      <c r="W47" s="11"/>
      <c r="X47" s="11" t="s">
        <v>30</v>
      </c>
      <c r="Y47" s="11"/>
      <c r="Z47" s="11"/>
      <c r="AA47" s="11"/>
      <c r="AB47" s="11"/>
      <c r="AC47" s="11"/>
      <c r="AD47" s="11"/>
      <c r="AE47" s="11"/>
    </row>
    <row r="48" spans="1:31" x14ac:dyDescent="0.3">
      <c r="A48" s="30" t="s">
        <v>237</v>
      </c>
      <c r="B48" s="9">
        <v>45776</v>
      </c>
      <c r="C48" s="10" t="s">
        <v>148</v>
      </c>
      <c r="D48" s="11"/>
      <c r="E48" s="11"/>
      <c r="F48" s="11"/>
      <c r="G48" s="11"/>
      <c r="H48" s="11"/>
      <c r="I48" s="11"/>
      <c r="J48" s="12"/>
      <c r="K48" s="12"/>
      <c r="L48" s="12"/>
      <c r="M48" s="12"/>
      <c r="N48" s="12"/>
      <c r="O48" s="12"/>
      <c r="P48" s="12"/>
      <c r="Q48" s="12" t="s">
        <v>30</v>
      </c>
      <c r="R48" s="12"/>
      <c r="S48" s="12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 spans="1:31" x14ac:dyDescent="0.3">
      <c r="A49" s="30" t="s">
        <v>318</v>
      </c>
      <c r="B49" s="9">
        <v>45841</v>
      </c>
      <c r="C49" s="10" t="s">
        <v>96</v>
      </c>
      <c r="D49" s="11"/>
      <c r="E49" s="11"/>
      <c r="F49" s="11"/>
      <c r="G49" s="11"/>
      <c r="H49" s="11"/>
      <c r="I49" s="11" t="s">
        <v>30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1"/>
      <c r="U49" s="11"/>
      <c r="V49" s="11"/>
      <c r="W49" s="11"/>
      <c r="X49" s="11" t="s">
        <v>30</v>
      </c>
      <c r="Y49" s="11"/>
      <c r="Z49" s="11"/>
      <c r="AA49" s="11"/>
      <c r="AB49" s="11"/>
      <c r="AC49" s="11"/>
      <c r="AD49" s="11"/>
      <c r="AE49" s="11"/>
    </row>
    <row r="50" spans="1:31" ht="56.4" customHeight="1" x14ac:dyDescent="0.3">
      <c r="A50" s="30" t="s">
        <v>319</v>
      </c>
      <c r="B50" s="9">
        <v>45974</v>
      </c>
      <c r="C50" s="10" t="s">
        <v>148</v>
      </c>
      <c r="D50" s="11"/>
      <c r="E50" s="11"/>
      <c r="F50" s="11"/>
      <c r="G50" s="11"/>
      <c r="H50" s="11"/>
      <c r="I50" s="11"/>
      <c r="J50" s="12"/>
      <c r="K50" s="12"/>
      <c r="L50" s="12"/>
      <c r="M50" s="12"/>
      <c r="N50" s="12"/>
      <c r="O50" s="12"/>
      <c r="P50" s="12"/>
      <c r="Q50" s="12"/>
      <c r="R50" s="16" t="s">
        <v>30</v>
      </c>
      <c r="S50" s="16" t="s">
        <v>320</v>
      </c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 t="s">
        <v>30</v>
      </c>
    </row>
    <row r="51" spans="1:31" ht="55.8" customHeight="1" x14ac:dyDescent="0.3">
      <c r="A51" s="8" t="s">
        <v>317</v>
      </c>
      <c r="B51" s="9">
        <v>45982</v>
      </c>
      <c r="C51" s="10" t="s">
        <v>96</v>
      </c>
      <c r="D51" s="11"/>
      <c r="E51" s="11"/>
      <c r="F51" s="11"/>
      <c r="G51" s="11"/>
      <c r="H51" s="11"/>
      <c r="I51" s="11"/>
      <c r="J51" s="12"/>
      <c r="K51" s="12"/>
      <c r="L51" s="12"/>
      <c r="M51" s="12"/>
      <c r="N51" s="12"/>
      <c r="O51" s="12"/>
      <c r="P51" s="12"/>
      <c r="Q51" s="12"/>
      <c r="R51" s="16" t="s">
        <v>30</v>
      </c>
      <c r="S51" s="16" t="s">
        <v>320</v>
      </c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 t="s">
        <v>30</v>
      </c>
    </row>
    <row r="52" spans="1:31" x14ac:dyDescent="0.3">
      <c r="A52" s="87"/>
      <c r="B52" s="88"/>
      <c r="C52" s="10"/>
      <c r="D52" s="11"/>
      <c r="E52" s="11"/>
      <c r="F52" s="11"/>
      <c r="G52" s="11"/>
      <c r="H52" s="11"/>
      <c r="I52" s="11"/>
      <c r="J52" s="12"/>
      <c r="K52" s="12"/>
      <c r="L52" s="12"/>
      <c r="M52" s="12"/>
      <c r="N52" s="12"/>
      <c r="O52" s="12"/>
      <c r="P52" s="12"/>
      <c r="Q52" s="12"/>
      <c r="R52" s="16"/>
      <c r="S52" s="16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 spans="1:31" ht="39.6" customHeight="1" x14ac:dyDescent="0.3">
      <c r="A53" s="8" t="s">
        <v>326</v>
      </c>
      <c r="B53" s="80">
        <v>46038</v>
      </c>
      <c r="C53" s="10" t="s">
        <v>291</v>
      </c>
      <c r="D53" s="11"/>
      <c r="E53" s="11"/>
      <c r="F53" s="11"/>
      <c r="G53" s="11"/>
      <c r="H53" s="11"/>
      <c r="I53" s="11"/>
      <c r="J53" s="12"/>
      <c r="K53" s="12"/>
      <c r="L53" s="12"/>
      <c r="M53" s="12"/>
      <c r="N53" s="12"/>
      <c r="O53" s="12"/>
      <c r="P53" s="12"/>
      <c r="Q53" s="12"/>
      <c r="R53" s="16"/>
      <c r="S53" s="16" t="s">
        <v>320</v>
      </c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 spans="1:31" ht="43.2" x14ac:dyDescent="0.3">
      <c r="A54" s="8" t="s">
        <v>327</v>
      </c>
      <c r="B54" s="80">
        <v>46044</v>
      </c>
      <c r="C54" s="10" t="s">
        <v>258</v>
      </c>
      <c r="D54" s="11"/>
      <c r="E54" s="11"/>
      <c r="F54" s="11"/>
      <c r="G54" s="11"/>
      <c r="H54" s="11"/>
      <c r="I54" s="11"/>
      <c r="J54" s="12"/>
      <c r="K54" s="12"/>
      <c r="L54" s="12"/>
      <c r="M54" s="12"/>
      <c r="N54" s="12"/>
      <c r="O54" s="12"/>
      <c r="P54" s="12"/>
      <c r="Q54" s="12"/>
      <c r="R54" s="16" t="s">
        <v>30</v>
      </c>
      <c r="S54" s="16" t="s">
        <v>356</v>
      </c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 spans="1:31" ht="100.8" x14ac:dyDescent="0.3">
      <c r="A55" s="8" t="s">
        <v>331</v>
      </c>
      <c r="B55" s="80">
        <v>46069</v>
      </c>
      <c r="C55" s="10" t="s">
        <v>96</v>
      </c>
      <c r="D55" s="11"/>
      <c r="E55" s="11"/>
      <c r="F55" s="11"/>
      <c r="G55" s="11"/>
      <c r="H55" s="11"/>
      <c r="I55" s="11"/>
      <c r="J55" s="12"/>
      <c r="K55" s="12"/>
      <c r="L55" s="12"/>
      <c r="M55" s="12"/>
      <c r="N55" s="12"/>
      <c r="O55" s="12"/>
      <c r="P55" s="12"/>
      <c r="Q55" s="12"/>
      <c r="R55" s="16" t="s">
        <v>30</v>
      </c>
      <c r="S55" s="16" t="s">
        <v>359</v>
      </c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 spans="1:31" x14ac:dyDescent="0.3">
      <c r="A56" s="8" t="s">
        <v>333</v>
      </c>
      <c r="B56" s="80">
        <v>46070</v>
      </c>
      <c r="C56" s="10" t="s">
        <v>98</v>
      </c>
      <c r="D56" s="11"/>
      <c r="E56" s="11"/>
      <c r="F56" s="11"/>
      <c r="G56" s="11"/>
      <c r="H56" s="11" t="s">
        <v>30</v>
      </c>
      <c r="I56" s="11"/>
      <c r="J56" s="12"/>
      <c r="K56" s="12"/>
      <c r="L56" s="12"/>
      <c r="M56" s="12"/>
      <c r="N56" s="12"/>
      <c r="O56" s="12"/>
      <c r="P56" s="12" t="s">
        <v>30</v>
      </c>
      <c r="Q56" s="12"/>
      <c r="R56" s="12"/>
      <c r="S56" s="12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 spans="1:31" ht="28.8" x14ac:dyDescent="0.3">
      <c r="A57" s="8" t="s">
        <v>330</v>
      </c>
      <c r="B57" s="80">
        <v>46078</v>
      </c>
      <c r="C57" s="10" t="s">
        <v>148</v>
      </c>
      <c r="D57" s="11"/>
      <c r="E57" s="11"/>
      <c r="F57" s="11"/>
      <c r="G57" s="11"/>
      <c r="H57" s="11"/>
      <c r="I57" s="11"/>
      <c r="J57" s="12"/>
      <c r="K57" s="12"/>
      <c r="L57" s="12"/>
      <c r="M57" s="12"/>
      <c r="N57" s="12"/>
      <c r="O57" s="12"/>
      <c r="P57" s="12"/>
      <c r="Q57" s="12"/>
      <c r="R57" s="16" t="s">
        <v>30</v>
      </c>
      <c r="S57" s="16" t="s">
        <v>357</v>
      </c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 spans="1:31" x14ac:dyDescent="0.3">
      <c r="A58" s="8" t="s">
        <v>355</v>
      </c>
      <c r="B58" s="80">
        <v>46177</v>
      </c>
      <c r="C58" s="10" t="s">
        <v>98</v>
      </c>
      <c r="D58" s="11"/>
      <c r="E58" s="11"/>
      <c r="F58" s="11" t="s">
        <v>30</v>
      </c>
      <c r="G58" s="11"/>
      <c r="H58" s="11"/>
      <c r="I58" s="11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1"/>
      <c r="U58" s="11"/>
      <c r="V58" s="11"/>
      <c r="W58" s="11"/>
      <c r="X58" s="11"/>
      <c r="Y58" s="11"/>
      <c r="Z58" s="11"/>
      <c r="AA58" s="11"/>
      <c r="AB58" s="11"/>
      <c r="AC58" s="11" t="s">
        <v>30</v>
      </c>
      <c r="AD58" s="11"/>
      <c r="AE58" s="11"/>
    </row>
    <row r="59" spans="1:31" x14ac:dyDescent="0.3">
      <c r="A59" s="8"/>
      <c r="B59" s="77"/>
      <c r="C59" s="10"/>
      <c r="D59" s="11"/>
      <c r="E59" s="11"/>
      <c r="F59" s="11"/>
      <c r="G59" s="11"/>
      <c r="H59" s="11"/>
      <c r="I59" s="11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 spans="1:31" x14ac:dyDescent="0.3">
      <c r="A60" s="8"/>
      <c r="B60" s="77"/>
      <c r="C60" s="10"/>
      <c r="D60" s="11"/>
      <c r="E60" s="11"/>
      <c r="F60" s="11"/>
      <c r="G60" s="11"/>
      <c r="H60" s="11"/>
      <c r="I60" s="11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 spans="1:31" x14ac:dyDescent="0.3">
      <c r="A61" s="8"/>
      <c r="B61" s="77"/>
      <c r="C61" s="10"/>
      <c r="D61" s="11"/>
      <c r="E61" s="11"/>
      <c r="F61" s="11"/>
      <c r="G61" s="11"/>
      <c r="H61" s="11"/>
      <c r="I61" s="11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 spans="1:31" x14ac:dyDescent="0.3">
      <c r="A62" s="8"/>
      <c r="B62" s="77"/>
      <c r="C62" s="10"/>
      <c r="D62" s="11"/>
      <c r="E62" s="11"/>
      <c r="F62" s="11"/>
      <c r="G62" s="11"/>
      <c r="H62" s="11"/>
      <c r="I62" s="11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 spans="1:31" x14ac:dyDescent="0.3">
      <c r="A63" s="8"/>
      <c r="B63" s="77"/>
      <c r="C63" s="10"/>
      <c r="D63" s="11"/>
      <c r="E63" s="11"/>
      <c r="F63" s="11"/>
      <c r="G63" s="11"/>
      <c r="H63" s="11"/>
      <c r="I63" s="11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 spans="1:31" x14ac:dyDescent="0.3">
      <c r="A64" s="8"/>
      <c r="B64" s="77"/>
      <c r="C64" s="10"/>
      <c r="D64" s="11"/>
      <c r="E64" s="11"/>
      <c r="F64" s="11"/>
      <c r="G64" s="11"/>
      <c r="H64" s="11"/>
      <c r="I64" s="11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 spans="1:31" x14ac:dyDescent="0.3">
      <c r="A65" s="8"/>
      <c r="B65" s="77"/>
      <c r="C65" s="10"/>
      <c r="D65" s="11"/>
      <c r="E65" s="11"/>
      <c r="F65" s="11"/>
      <c r="G65" s="11"/>
      <c r="H65" s="11"/>
      <c r="I65" s="11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 spans="1:31" x14ac:dyDescent="0.3">
      <c r="A66" s="8"/>
      <c r="B66" s="77"/>
      <c r="C66" s="10"/>
      <c r="D66" s="11"/>
      <c r="E66" s="11"/>
      <c r="F66" s="11"/>
      <c r="G66" s="11"/>
      <c r="H66" s="11"/>
      <c r="I66" s="11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 spans="1:31" x14ac:dyDescent="0.3">
      <c r="A67" s="8"/>
      <c r="B67" s="77"/>
      <c r="C67" s="10"/>
      <c r="D67" s="11"/>
      <c r="E67" s="11"/>
      <c r="F67" s="11"/>
      <c r="G67" s="11"/>
      <c r="H67" s="11"/>
      <c r="I67" s="11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 spans="1:31" x14ac:dyDescent="0.3">
      <c r="A68" s="8"/>
      <c r="B68" s="77"/>
      <c r="C68" s="10"/>
      <c r="D68" s="11"/>
      <c r="E68" s="11"/>
      <c r="F68" s="11"/>
      <c r="G68" s="11"/>
      <c r="H68" s="11"/>
      <c r="I68" s="11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 spans="1:31" x14ac:dyDescent="0.3">
      <c r="A69" s="8"/>
      <c r="B69" s="77"/>
      <c r="C69" s="10"/>
      <c r="D69" s="11"/>
      <c r="E69" s="11"/>
      <c r="F69" s="11"/>
      <c r="G69" s="11"/>
      <c r="H69" s="11"/>
      <c r="I69" s="11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 spans="1:31" x14ac:dyDescent="0.3">
      <c r="A70" s="8"/>
      <c r="B70" s="77"/>
      <c r="C70" s="10"/>
      <c r="D70" s="11"/>
      <c r="E70" s="11"/>
      <c r="F70" s="11"/>
      <c r="G70" s="11"/>
      <c r="H70" s="11"/>
      <c r="I70" s="11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 spans="1:31" x14ac:dyDescent="0.3">
      <c r="A71" s="8"/>
      <c r="B71" s="77"/>
      <c r="C71" s="10"/>
      <c r="D71" s="11"/>
      <c r="E71" s="11"/>
      <c r="F71" s="11"/>
      <c r="G71" s="11"/>
      <c r="H71" s="11"/>
      <c r="I71" s="11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 spans="1:31" x14ac:dyDescent="0.3">
      <c r="A72" s="8"/>
      <c r="B72" s="77"/>
      <c r="C72" s="10"/>
      <c r="D72" s="11"/>
      <c r="E72" s="11"/>
      <c r="F72" s="11"/>
      <c r="G72" s="11"/>
      <c r="H72" s="11"/>
      <c r="I72" s="11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 spans="1:31" x14ac:dyDescent="0.3">
      <c r="A73" s="8"/>
      <c r="B73" s="77"/>
      <c r="C73" s="10"/>
      <c r="D73" s="11"/>
      <c r="E73" s="11"/>
      <c r="F73" s="11"/>
      <c r="G73" s="11"/>
      <c r="H73" s="11"/>
      <c r="I73" s="11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 spans="1:31" x14ac:dyDescent="0.3">
      <c r="A74" s="8"/>
      <c r="B74" s="77"/>
      <c r="C74" s="10"/>
      <c r="D74" s="11"/>
      <c r="E74" s="11"/>
      <c r="F74" s="11"/>
      <c r="G74" s="11"/>
      <c r="H74" s="11"/>
      <c r="I74" s="11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 spans="1:31" x14ac:dyDescent="0.3">
      <c r="A75" s="8"/>
      <c r="B75" s="77"/>
      <c r="C75" s="10"/>
      <c r="D75" s="11"/>
      <c r="E75" s="11"/>
      <c r="F75" s="11"/>
      <c r="G75" s="11"/>
      <c r="H75" s="11"/>
      <c r="I75" s="11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 spans="1:31" x14ac:dyDescent="0.3">
      <c r="A76" s="8"/>
      <c r="B76" s="77"/>
      <c r="C76" s="10"/>
      <c r="D76" s="11"/>
      <c r="E76" s="11"/>
      <c r="F76" s="11"/>
      <c r="G76" s="11"/>
      <c r="H76" s="11"/>
      <c r="I76" s="11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 spans="1:31" x14ac:dyDescent="0.3">
      <c r="A77" s="8"/>
      <c r="B77" s="77"/>
      <c r="C77" s="10"/>
      <c r="D77" s="11"/>
      <c r="E77" s="11"/>
      <c r="F77" s="11"/>
      <c r="G77" s="11"/>
      <c r="H77" s="11"/>
      <c r="I77" s="11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 spans="1:31" x14ac:dyDescent="0.3">
      <c r="A78" s="8"/>
      <c r="B78" s="77"/>
      <c r="C78" s="10"/>
      <c r="D78" s="11"/>
      <c r="E78" s="11"/>
      <c r="F78" s="11"/>
      <c r="G78" s="11"/>
      <c r="H78" s="11"/>
      <c r="I78" s="11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 spans="1:31" x14ac:dyDescent="0.3">
      <c r="A79" s="8"/>
      <c r="B79" s="77"/>
      <c r="C79" s="10"/>
      <c r="D79" s="11"/>
      <c r="E79" s="11"/>
      <c r="F79" s="11"/>
      <c r="G79" s="11"/>
      <c r="H79" s="11"/>
      <c r="I79" s="11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 spans="1:31" x14ac:dyDescent="0.3">
      <c r="A80" s="8"/>
      <c r="B80" s="77"/>
      <c r="C80" s="10"/>
      <c r="D80" s="11"/>
      <c r="E80" s="11"/>
      <c r="F80" s="11"/>
      <c r="G80" s="11"/>
      <c r="H80" s="11"/>
      <c r="I80" s="11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 spans="1:31" x14ac:dyDescent="0.3">
      <c r="A81" s="8"/>
      <c r="B81" s="77"/>
      <c r="C81" s="10"/>
      <c r="D81" s="11"/>
      <c r="E81" s="11"/>
      <c r="F81" s="11"/>
      <c r="G81" s="11"/>
      <c r="H81" s="11"/>
      <c r="I81" s="11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 spans="1:31" x14ac:dyDescent="0.3">
      <c r="A82" s="8"/>
      <c r="B82" s="77"/>
      <c r="C82" s="10"/>
      <c r="D82" s="11"/>
      <c r="E82" s="11"/>
      <c r="F82" s="11"/>
      <c r="G82" s="11"/>
      <c r="H82" s="11"/>
      <c r="I82" s="11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 spans="1:31" x14ac:dyDescent="0.3">
      <c r="A83" s="8"/>
      <c r="B83" s="77"/>
      <c r="C83" s="10"/>
      <c r="D83" s="11"/>
      <c r="E83" s="11"/>
      <c r="F83" s="11"/>
      <c r="G83" s="11"/>
      <c r="H83" s="11"/>
      <c r="I83" s="11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 spans="1:31" x14ac:dyDescent="0.3">
      <c r="A84" s="8"/>
      <c r="B84" s="77"/>
      <c r="C84" s="10"/>
      <c r="D84" s="11"/>
      <c r="E84" s="11"/>
      <c r="F84" s="11"/>
      <c r="G84" s="11"/>
      <c r="H84" s="11"/>
      <c r="I84" s="11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 spans="1:31" x14ac:dyDescent="0.3">
      <c r="A85" s="8"/>
      <c r="B85" s="77"/>
      <c r="C85" s="10"/>
      <c r="D85" s="11"/>
      <c r="E85" s="11"/>
      <c r="F85" s="11"/>
      <c r="G85" s="11"/>
      <c r="H85" s="11"/>
      <c r="I85" s="11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 spans="1:31" x14ac:dyDescent="0.3">
      <c r="A86" s="8"/>
      <c r="B86" s="77"/>
      <c r="C86" s="10"/>
      <c r="D86" s="11"/>
      <c r="E86" s="11"/>
      <c r="F86" s="11"/>
      <c r="G86" s="11"/>
      <c r="H86" s="11"/>
      <c r="I86" s="11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 spans="1:31" x14ac:dyDescent="0.3">
      <c r="A87" s="8"/>
      <c r="B87" s="77"/>
      <c r="C87" s="10"/>
      <c r="D87" s="11"/>
      <c r="E87" s="11"/>
      <c r="F87" s="11"/>
      <c r="G87" s="11"/>
      <c r="H87" s="11"/>
      <c r="I87" s="11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 spans="1:31" x14ac:dyDescent="0.3">
      <c r="A88" s="8"/>
      <c r="B88" s="77"/>
      <c r="C88" s="10"/>
      <c r="D88" s="11"/>
      <c r="E88" s="11"/>
      <c r="F88" s="11"/>
      <c r="G88" s="11"/>
      <c r="H88" s="11"/>
      <c r="I88" s="11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 spans="1:31" x14ac:dyDescent="0.3">
      <c r="A89" s="8"/>
      <c r="B89" s="77"/>
      <c r="C89" s="10"/>
      <c r="D89" s="11"/>
      <c r="E89" s="11"/>
      <c r="F89" s="11"/>
      <c r="G89" s="11"/>
      <c r="H89" s="11"/>
      <c r="I89" s="11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 spans="1:31" x14ac:dyDescent="0.3">
      <c r="A90" s="8"/>
      <c r="B90" s="77"/>
      <c r="C90" s="10"/>
      <c r="D90" s="11"/>
      <c r="E90" s="11"/>
      <c r="F90" s="11"/>
      <c r="G90" s="11"/>
      <c r="H90" s="11"/>
      <c r="I90" s="11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 spans="1:31" x14ac:dyDescent="0.3">
      <c r="A91" s="8"/>
      <c r="B91" s="77"/>
      <c r="C91" s="10"/>
      <c r="D91" s="11"/>
      <c r="E91" s="11"/>
      <c r="F91" s="11"/>
      <c r="G91" s="11"/>
      <c r="H91" s="11"/>
      <c r="I91" s="11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 spans="1:31" x14ac:dyDescent="0.3">
      <c r="A92" s="8"/>
      <c r="B92" s="77"/>
      <c r="C92" s="10"/>
      <c r="D92" s="11"/>
      <c r="E92" s="11"/>
      <c r="F92" s="11"/>
      <c r="G92" s="11"/>
      <c r="H92" s="11"/>
      <c r="I92" s="11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 spans="1:31" x14ac:dyDescent="0.3">
      <c r="A93" s="8"/>
      <c r="B93" s="77"/>
      <c r="C93" s="10"/>
      <c r="D93" s="11"/>
      <c r="E93" s="11"/>
      <c r="F93" s="11"/>
      <c r="G93" s="11"/>
      <c r="H93" s="11"/>
      <c r="I93" s="11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 spans="1:31" x14ac:dyDescent="0.3">
      <c r="A94" s="8"/>
      <c r="B94" s="77"/>
      <c r="C94" s="10"/>
      <c r="D94" s="11"/>
      <c r="E94" s="11"/>
      <c r="F94" s="11"/>
      <c r="G94" s="11"/>
      <c r="H94" s="11"/>
      <c r="I94" s="11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 spans="1:31" x14ac:dyDescent="0.3">
      <c r="A95" s="8"/>
      <c r="B95" s="77"/>
      <c r="C95" s="10"/>
      <c r="D95" s="11"/>
      <c r="E95" s="11"/>
      <c r="F95" s="11"/>
      <c r="G95" s="11"/>
      <c r="H95" s="11"/>
      <c r="I95" s="11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 spans="1:31" x14ac:dyDescent="0.3">
      <c r="A96" s="8"/>
      <c r="B96" s="77"/>
      <c r="C96" s="10"/>
      <c r="D96" s="11"/>
      <c r="E96" s="11"/>
      <c r="F96" s="11"/>
      <c r="G96" s="11"/>
      <c r="H96" s="11"/>
      <c r="I96" s="11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 spans="1:31" x14ac:dyDescent="0.3">
      <c r="A97" s="8"/>
      <c r="B97" s="77"/>
      <c r="C97" s="10"/>
      <c r="D97" s="11"/>
      <c r="E97" s="11"/>
      <c r="F97" s="11"/>
      <c r="G97" s="11"/>
      <c r="H97" s="11"/>
      <c r="I97" s="11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 spans="1:31" x14ac:dyDescent="0.3">
      <c r="A98" s="8"/>
      <c r="B98" s="77"/>
      <c r="C98" s="10"/>
      <c r="D98" s="11"/>
      <c r="E98" s="11"/>
      <c r="F98" s="11"/>
      <c r="G98" s="11"/>
      <c r="H98" s="11"/>
      <c r="I98" s="11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 spans="1:31" x14ac:dyDescent="0.3">
      <c r="A99" s="8"/>
      <c r="B99" s="77"/>
      <c r="C99" s="10"/>
      <c r="D99" s="11"/>
      <c r="E99" s="11"/>
      <c r="F99" s="11"/>
      <c r="G99" s="11"/>
      <c r="H99" s="11"/>
      <c r="I99" s="11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 spans="1:31" x14ac:dyDescent="0.3">
      <c r="A100" s="8"/>
      <c r="B100" s="77"/>
      <c r="C100" s="10"/>
      <c r="D100" s="11"/>
      <c r="E100" s="11"/>
      <c r="F100" s="11"/>
      <c r="G100" s="11"/>
      <c r="H100" s="11"/>
      <c r="I100" s="11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 spans="1:31" x14ac:dyDescent="0.3">
      <c r="A101" s="8"/>
      <c r="B101" s="77"/>
      <c r="C101" s="10"/>
      <c r="D101" s="11"/>
      <c r="E101" s="11"/>
      <c r="F101" s="11"/>
      <c r="G101" s="11"/>
      <c r="H101" s="11"/>
      <c r="I101" s="11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 spans="1:31" x14ac:dyDescent="0.3">
      <c r="A102" s="8"/>
      <c r="B102" s="77"/>
      <c r="C102" s="10"/>
      <c r="D102" s="11"/>
      <c r="E102" s="11"/>
      <c r="F102" s="11"/>
      <c r="G102" s="11"/>
      <c r="H102" s="11"/>
      <c r="I102" s="11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 spans="1:31" x14ac:dyDescent="0.3">
      <c r="A103" s="8"/>
      <c r="B103" s="77"/>
      <c r="C103" s="10"/>
      <c r="D103" s="11"/>
      <c r="E103" s="11"/>
      <c r="F103" s="11"/>
      <c r="G103" s="11"/>
      <c r="H103" s="11"/>
      <c r="I103" s="11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 spans="1:31" x14ac:dyDescent="0.3">
      <c r="A104" s="8"/>
      <c r="B104" s="77"/>
      <c r="C104" s="10"/>
      <c r="D104" s="11"/>
      <c r="E104" s="11"/>
      <c r="F104" s="11"/>
      <c r="G104" s="11"/>
      <c r="H104" s="11"/>
      <c r="I104" s="11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 spans="1:31" x14ac:dyDescent="0.3">
      <c r="A105" s="8"/>
      <c r="B105" s="77"/>
      <c r="C105" s="10"/>
      <c r="D105" s="11"/>
      <c r="E105" s="11"/>
      <c r="F105" s="11"/>
      <c r="G105" s="11"/>
      <c r="H105" s="11"/>
      <c r="I105" s="11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 spans="1:31" x14ac:dyDescent="0.3">
      <c r="A106" s="8"/>
      <c r="B106" s="77"/>
      <c r="C106" s="10"/>
      <c r="D106" s="11"/>
      <c r="E106" s="11"/>
      <c r="F106" s="11"/>
      <c r="G106" s="11"/>
      <c r="H106" s="11"/>
      <c r="I106" s="11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 spans="1:31" x14ac:dyDescent="0.3">
      <c r="A107" s="8"/>
      <c r="B107" s="77"/>
      <c r="C107" s="10"/>
      <c r="D107" s="11"/>
      <c r="E107" s="11"/>
      <c r="F107" s="11"/>
      <c r="G107" s="11"/>
      <c r="H107" s="11"/>
      <c r="I107" s="11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 spans="1:31" x14ac:dyDescent="0.3">
      <c r="A108" s="8"/>
      <c r="B108" s="77"/>
      <c r="C108" s="10"/>
      <c r="D108" s="11"/>
      <c r="E108" s="11"/>
      <c r="F108" s="11"/>
      <c r="G108" s="11"/>
      <c r="H108" s="11"/>
      <c r="I108" s="11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 spans="1:31" x14ac:dyDescent="0.3">
      <c r="A109" s="8"/>
      <c r="B109" s="77"/>
      <c r="C109" s="10"/>
      <c r="D109" s="11"/>
      <c r="E109" s="11"/>
      <c r="F109" s="11"/>
      <c r="G109" s="11"/>
      <c r="H109" s="11"/>
      <c r="I109" s="11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 spans="1:31" x14ac:dyDescent="0.3">
      <c r="A110" s="8"/>
      <c r="B110" s="77"/>
      <c r="C110" s="10"/>
      <c r="D110" s="11"/>
      <c r="E110" s="11"/>
      <c r="F110" s="11"/>
      <c r="G110" s="11"/>
      <c r="H110" s="11"/>
      <c r="I110" s="11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 spans="1:31" x14ac:dyDescent="0.3">
      <c r="A111" s="8"/>
      <c r="B111" s="77"/>
      <c r="C111" s="10"/>
      <c r="D111" s="11"/>
      <c r="E111" s="11"/>
      <c r="F111" s="11"/>
      <c r="G111" s="11"/>
      <c r="H111" s="11"/>
      <c r="I111" s="11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 spans="1:31" x14ac:dyDescent="0.3">
      <c r="A112" s="8"/>
      <c r="B112" s="77"/>
      <c r="C112" s="10"/>
      <c r="D112" s="11"/>
      <c r="E112" s="11"/>
      <c r="F112" s="11"/>
      <c r="G112" s="11"/>
      <c r="H112" s="11"/>
      <c r="I112" s="11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 spans="1:31" x14ac:dyDescent="0.3">
      <c r="A113" s="8"/>
      <c r="B113" s="77"/>
      <c r="C113" s="10"/>
      <c r="D113" s="11"/>
      <c r="E113" s="11"/>
      <c r="F113" s="11"/>
      <c r="G113" s="11"/>
      <c r="H113" s="11"/>
      <c r="I113" s="11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 spans="1:31" x14ac:dyDescent="0.3">
      <c r="A114" s="8"/>
      <c r="B114" s="77"/>
      <c r="C114" s="10"/>
      <c r="D114" s="11"/>
      <c r="E114" s="11"/>
      <c r="F114" s="11"/>
      <c r="G114" s="11"/>
      <c r="H114" s="11"/>
      <c r="I114" s="11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 spans="1:31" x14ac:dyDescent="0.3">
      <c r="A115" s="8"/>
      <c r="B115" s="77"/>
      <c r="C115" s="10"/>
      <c r="D115" s="11"/>
      <c r="E115" s="11"/>
      <c r="F115" s="11"/>
      <c r="G115" s="11"/>
      <c r="H115" s="11"/>
      <c r="I115" s="11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 spans="1:31" x14ac:dyDescent="0.3">
      <c r="A116" s="8"/>
      <c r="B116" s="77"/>
      <c r="C116" s="10"/>
      <c r="D116" s="11"/>
      <c r="E116" s="11"/>
      <c r="F116" s="11"/>
      <c r="G116" s="11"/>
      <c r="H116" s="11"/>
      <c r="I116" s="11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 spans="1:31" x14ac:dyDescent="0.3">
      <c r="A117" s="8"/>
      <c r="B117" s="77"/>
      <c r="C117" s="10"/>
      <c r="D117" s="11"/>
      <c r="E117" s="11"/>
      <c r="F117" s="11"/>
      <c r="G117" s="11"/>
      <c r="H117" s="11"/>
      <c r="I117" s="11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 spans="1:31" x14ac:dyDescent="0.3">
      <c r="A118" s="8"/>
      <c r="B118" s="77"/>
      <c r="C118" s="10"/>
      <c r="D118" s="11"/>
      <c r="E118" s="11"/>
      <c r="F118" s="11"/>
      <c r="G118" s="11"/>
      <c r="H118" s="11"/>
      <c r="I118" s="11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 spans="1:31" x14ac:dyDescent="0.3">
      <c r="A119" s="8"/>
      <c r="B119" s="77"/>
      <c r="C119" s="10"/>
      <c r="D119" s="11"/>
      <c r="E119" s="11"/>
      <c r="F119" s="11"/>
      <c r="G119" s="11"/>
      <c r="H119" s="11"/>
      <c r="I119" s="11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 spans="1:31" x14ac:dyDescent="0.3">
      <c r="A120" s="8"/>
      <c r="B120" s="77"/>
      <c r="C120" s="10"/>
      <c r="D120" s="11"/>
      <c r="E120" s="11"/>
      <c r="F120" s="11"/>
      <c r="G120" s="11"/>
      <c r="H120" s="11"/>
      <c r="I120" s="11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 spans="1:31" x14ac:dyDescent="0.3">
      <c r="A121" s="8"/>
      <c r="B121" s="77"/>
      <c r="C121" s="10"/>
      <c r="D121" s="11"/>
      <c r="E121" s="11"/>
      <c r="F121" s="11"/>
      <c r="G121" s="11"/>
      <c r="H121" s="11"/>
      <c r="I121" s="11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 spans="1:31" x14ac:dyDescent="0.3">
      <c r="A122" s="8"/>
      <c r="B122" s="77"/>
      <c r="C122" s="10"/>
      <c r="D122" s="11"/>
      <c r="E122" s="11"/>
      <c r="F122" s="11"/>
      <c r="G122" s="11"/>
      <c r="H122" s="11"/>
      <c r="I122" s="11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 spans="1:31" x14ac:dyDescent="0.3">
      <c r="A123" s="8"/>
      <c r="B123" s="77"/>
      <c r="C123" s="10"/>
      <c r="D123" s="11"/>
      <c r="E123" s="11"/>
      <c r="F123" s="11"/>
      <c r="G123" s="11"/>
      <c r="H123" s="11"/>
      <c r="I123" s="11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 spans="1:31" x14ac:dyDescent="0.3">
      <c r="A124" s="8"/>
      <c r="B124" s="77"/>
      <c r="C124" s="10"/>
      <c r="D124" s="11"/>
      <c r="E124" s="11"/>
      <c r="F124" s="11"/>
      <c r="G124" s="11"/>
      <c r="H124" s="11"/>
      <c r="I124" s="11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 spans="1:31" x14ac:dyDescent="0.3">
      <c r="A125" s="8"/>
      <c r="B125" s="77"/>
      <c r="C125" s="10"/>
      <c r="D125" s="11"/>
      <c r="E125" s="11"/>
      <c r="F125" s="11"/>
      <c r="G125" s="11"/>
      <c r="H125" s="11"/>
      <c r="I125" s="11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 spans="1:31" x14ac:dyDescent="0.3">
      <c r="A126" s="8"/>
      <c r="B126" s="77"/>
      <c r="C126" s="10"/>
      <c r="D126" s="11"/>
      <c r="E126" s="11"/>
      <c r="F126" s="11"/>
      <c r="G126" s="11"/>
      <c r="H126" s="11"/>
      <c r="I126" s="11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 spans="1:31" x14ac:dyDescent="0.3">
      <c r="A127" s="8"/>
      <c r="B127" s="77"/>
      <c r="C127" s="10"/>
      <c r="D127" s="11"/>
      <c r="E127" s="11"/>
      <c r="F127" s="11"/>
      <c r="G127" s="11"/>
      <c r="H127" s="11"/>
      <c r="I127" s="11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 spans="1:31" x14ac:dyDescent="0.3">
      <c r="A128" s="8"/>
      <c r="B128" s="77"/>
      <c r="C128" s="10"/>
      <c r="D128" s="11"/>
      <c r="E128" s="11"/>
      <c r="F128" s="11"/>
      <c r="G128" s="11"/>
      <c r="H128" s="11"/>
      <c r="I128" s="11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 spans="1:31" x14ac:dyDescent="0.3">
      <c r="A129" s="8"/>
      <c r="B129" s="77"/>
      <c r="C129" s="10"/>
      <c r="D129" s="11"/>
      <c r="E129" s="11"/>
      <c r="F129" s="11"/>
      <c r="G129" s="11"/>
      <c r="H129" s="11"/>
      <c r="I129" s="11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 spans="1:31" x14ac:dyDescent="0.3">
      <c r="A130" s="8"/>
      <c r="B130" s="77"/>
      <c r="C130" s="10"/>
      <c r="D130" s="11"/>
      <c r="E130" s="11"/>
      <c r="F130" s="11"/>
      <c r="G130" s="11"/>
      <c r="H130" s="11"/>
      <c r="I130" s="11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 spans="1:31" x14ac:dyDescent="0.3">
      <c r="A131" s="8"/>
      <c r="B131" s="77"/>
      <c r="C131" s="10"/>
      <c r="D131" s="11"/>
      <c r="E131" s="11"/>
      <c r="F131" s="11"/>
      <c r="G131" s="11"/>
      <c r="H131" s="11"/>
      <c r="I131" s="11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 spans="1:31" x14ac:dyDescent="0.3">
      <c r="A132" s="8"/>
      <c r="B132" s="77"/>
      <c r="C132" s="10"/>
      <c r="D132" s="11"/>
      <c r="E132" s="11"/>
      <c r="F132" s="11"/>
      <c r="G132" s="11"/>
      <c r="H132" s="11"/>
      <c r="I132" s="11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 spans="1:31" x14ac:dyDescent="0.3">
      <c r="A133" s="8"/>
      <c r="B133" s="77"/>
      <c r="C133" s="10"/>
      <c r="D133" s="11"/>
      <c r="E133" s="11"/>
      <c r="F133" s="11"/>
      <c r="G133" s="11"/>
      <c r="H133" s="11"/>
      <c r="I133" s="11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 spans="1:31" x14ac:dyDescent="0.3">
      <c r="A134" s="8"/>
      <c r="B134" s="77"/>
      <c r="C134" s="10"/>
      <c r="D134" s="11"/>
      <c r="E134" s="11"/>
      <c r="F134" s="11"/>
      <c r="G134" s="11"/>
      <c r="H134" s="11"/>
      <c r="I134" s="11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 spans="1:31" x14ac:dyDescent="0.3">
      <c r="A135" s="8"/>
      <c r="B135" s="77"/>
      <c r="C135" s="10"/>
      <c r="D135" s="11"/>
      <c r="E135" s="11"/>
      <c r="F135" s="11"/>
      <c r="G135" s="11"/>
      <c r="H135" s="11"/>
      <c r="I135" s="11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  <row r="136" spans="1:31" x14ac:dyDescent="0.3">
      <c r="A136" s="8"/>
      <c r="B136" s="77"/>
      <c r="C136" s="10"/>
      <c r="D136" s="11"/>
      <c r="E136" s="11"/>
      <c r="F136" s="11"/>
      <c r="G136" s="11"/>
      <c r="H136" s="11"/>
      <c r="I136" s="11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</row>
    <row r="137" spans="1:31" x14ac:dyDescent="0.3">
      <c r="A137" s="8"/>
      <c r="B137" s="77"/>
      <c r="C137" s="10"/>
      <c r="D137" s="11"/>
      <c r="E137" s="11"/>
      <c r="F137" s="11"/>
      <c r="G137" s="11"/>
      <c r="H137" s="11"/>
      <c r="I137" s="11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</row>
    <row r="138" spans="1:31" x14ac:dyDescent="0.3">
      <c r="A138" s="8"/>
      <c r="B138" s="77"/>
      <c r="C138" s="10"/>
      <c r="D138" s="11"/>
      <c r="E138" s="11"/>
      <c r="F138" s="11"/>
      <c r="G138" s="11"/>
      <c r="H138" s="11"/>
      <c r="I138" s="11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</row>
    <row r="139" spans="1:31" x14ac:dyDescent="0.3">
      <c r="A139" s="8"/>
      <c r="B139" s="77"/>
      <c r="C139" s="10"/>
      <c r="D139" s="11"/>
      <c r="E139" s="11"/>
      <c r="F139" s="11"/>
      <c r="G139" s="11"/>
      <c r="H139" s="11"/>
      <c r="I139" s="11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</row>
    <row r="140" spans="1:31" x14ac:dyDescent="0.3">
      <c r="A140" s="8"/>
      <c r="B140" s="77"/>
      <c r="C140" s="10"/>
      <c r="D140" s="11"/>
      <c r="E140" s="11"/>
      <c r="F140" s="11"/>
      <c r="G140" s="11"/>
      <c r="H140" s="11"/>
      <c r="I140" s="11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</row>
    <row r="141" spans="1:31" x14ac:dyDescent="0.3">
      <c r="A141" s="8"/>
      <c r="B141" s="77"/>
      <c r="C141" s="10"/>
      <c r="D141" s="11"/>
      <c r="E141" s="11"/>
      <c r="F141" s="11"/>
      <c r="G141" s="11"/>
      <c r="H141" s="11"/>
      <c r="I141" s="11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</row>
    <row r="142" spans="1:31" x14ac:dyDescent="0.3">
      <c r="A142" s="8"/>
      <c r="B142" s="77"/>
      <c r="C142" s="10"/>
      <c r="D142" s="11"/>
      <c r="E142" s="11"/>
      <c r="F142" s="11"/>
      <c r="G142" s="11"/>
      <c r="H142" s="11"/>
      <c r="I142" s="11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</row>
    <row r="143" spans="1:31" x14ac:dyDescent="0.3">
      <c r="A143" s="8"/>
      <c r="B143" s="77"/>
      <c r="C143" s="10"/>
      <c r="D143" s="11"/>
      <c r="E143" s="11"/>
      <c r="F143" s="11"/>
      <c r="G143" s="11"/>
      <c r="H143" s="11"/>
      <c r="I143" s="11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 spans="1:31" x14ac:dyDescent="0.3">
      <c r="A144" s="8"/>
      <c r="B144" s="77"/>
      <c r="C144" s="10"/>
      <c r="D144" s="11"/>
      <c r="E144" s="11"/>
      <c r="F144" s="11"/>
      <c r="G144" s="11"/>
      <c r="H144" s="11"/>
      <c r="I144" s="11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</row>
    <row r="145" spans="1:31" x14ac:dyDescent="0.3">
      <c r="A145" s="8"/>
      <c r="B145" s="77"/>
      <c r="C145" s="10"/>
      <c r="D145" s="11"/>
      <c r="E145" s="11"/>
      <c r="F145" s="11"/>
      <c r="G145" s="11"/>
      <c r="H145" s="11"/>
      <c r="I145" s="11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</row>
    <row r="146" spans="1:31" x14ac:dyDescent="0.3">
      <c r="A146" s="8"/>
      <c r="B146" s="77"/>
      <c r="C146" s="10"/>
      <c r="D146" s="11"/>
      <c r="E146" s="11"/>
      <c r="F146" s="11"/>
      <c r="G146" s="11"/>
      <c r="H146" s="11"/>
      <c r="I146" s="11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</row>
    <row r="147" spans="1:31" x14ac:dyDescent="0.3">
      <c r="A147" s="8"/>
      <c r="B147" s="77"/>
      <c r="C147" s="10"/>
      <c r="D147" s="11"/>
      <c r="E147" s="11"/>
      <c r="F147" s="11"/>
      <c r="G147" s="11"/>
      <c r="H147" s="11"/>
      <c r="I147" s="11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</row>
    <row r="148" spans="1:31" x14ac:dyDescent="0.3">
      <c r="A148" s="8"/>
      <c r="B148" s="77"/>
      <c r="C148" s="10"/>
      <c r="D148" s="11"/>
      <c r="E148" s="11"/>
      <c r="F148" s="11"/>
      <c r="G148" s="11"/>
      <c r="H148" s="11"/>
      <c r="I148" s="11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</row>
    <row r="149" spans="1:31" x14ac:dyDescent="0.3">
      <c r="A149" s="8"/>
      <c r="B149" s="77"/>
      <c r="C149" s="10"/>
      <c r="D149" s="11"/>
      <c r="E149" s="11"/>
      <c r="F149" s="11"/>
      <c r="G149" s="11"/>
      <c r="H149" s="11"/>
      <c r="I149" s="11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</row>
    <row r="150" spans="1:31" x14ac:dyDescent="0.3">
      <c r="A150" s="8"/>
      <c r="B150" s="77"/>
      <c r="C150" s="10"/>
      <c r="D150" s="11"/>
      <c r="E150" s="11"/>
      <c r="F150" s="11"/>
      <c r="G150" s="11"/>
      <c r="H150" s="11"/>
      <c r="I150" s="11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</row>
    <row r="151" spans="1:31" x14ac:dyDescent="0.3">
      <c r="A151" s="8"/>
      <c r="B151" s="77"/>
      <c r="C151" s="10"/>
      <c r="D151" s="11"/>
      <c r="E151" s="11"/>
      <c r="F151" s="11"/>
      <c r="G151" s="11"/>
      <c r="H151" s="11"/>
      <c r="I151" s="11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</row>
    <row r="152" spans="1:31" x14ac:dyDescent="0.3">
      <c r="A152" s="8"/>
      <c r="B152" s="77"/>
      <c r="C152" s="10"/>
      <c r="D152" s="11"/>
      <c r="E152" s="11"/>
      <c r="F152" s="11"/>
      <c r="G152" s="11"/>
      <c r="H152" s="11"/>
      <c r="I152" s="11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</row>
    <row r="153" spans="1:31" x14ac:dyDescent="0.3">
      <c r="A153" s="8"/>
      <c r="B153" s="77"/>
      <c r="C153" s="10"/>
      <c r="D153" s="11"/>
      <c r="E153" s="11"/>
      <c r="F153" s="11"/>
      <c r="G153" s="11"/>
      <c r="H153" s="11"/>
      <c r="I153" s="11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</row>
    <row r="154" spans="1:31" x14ac:dyDescent="0.3">
      <c r="A154" s="8"/>
      <c r="B154" s="77"/>
      <c r="C154" s="10"/>
      <c r="D154" s="11"/>
      <c r="E154" s="11"/>
      <c r="F154" s="11"/>
      <c r="G154" s="11"/>
      <c r="H154" s="11"/>
      <c r="I154" s="11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</row>
    <row r="155" spans="1:31" x14ac:dyDescent="0.3">
      <c r="A155" s="8"/>
      <c r="B155" s="77"/>
      <c r="C155" s="10"/>
      <c r="D155" s="11"/>
      <c r="E155" s="11"/>
      <c r="F155" s="11"/>
      <c r="G155" s="11"/>
      <c r="H155" s="11"/>
      <c r="I155" s="11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</row>
    <row r="156" spans="1:31" x14ac:dyDescent="0.3">
      <c r="A156" s="8"/>
      <c r="B156" s="77"/>
      <c r="C156" s="10"/>
      <c r="D156" s="11"/>
      <c r="E156" s="11"/>
      <c r="F156" s="11"/>
      <c r="G156" s="11"/>
      <c r="H156" s="11"/>
      <c r="I156" s="11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</row>
    <row r="157" spans="1:31" x14ac:dyDescent="0.3">
      <c r="A157" s="8"/>
      <c r="B157" s="77"/>
      <c r="C157" s="10"/>
      <c r="D157" s="11"/>
      <c r="E157" s="11"/>
      <c r="F157" s="11"/>
      <c r="G157" s="11"/>
      <c r="H157" s="11"/>
      <c r="I157" s="11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</row>
    <row r="158" spans="1:31" x14ac:dyDescent="0.3">
      <c r="A158" s="8"/>
      <c r="B158" s="77"/>
      <c r="C158" s="10"/>
      <c r="D158" s="11"/>
      <c r="E158" s="11"/>
      <c r="F158" s="11"/>
      <c r="G158" s="11"/>
      <c r="H158" s="11"/>
      <c r="I158" s="11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</row>
    <row r="159" spans="1:31" x14ac:dyDescent="0.3">
      <c r="A159" s="8"/>
      <c r="B159" s="77"/>
      <c r="C159" s="10"/>
      <c r="D159" s="11"/>
      <c r="E159" s="11"/>
      <c r="F159" s="11"/>
      <c r="G159" s="11"/>
      <c r="H159" s="11"/>
      <c r="I159" s="11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</row>
    <row r="160" spans="1:31" x14ac:dyDescent="0.3">
      <c r="A160" s="8"/>
      <c r="B160" s="77"/>
      <c r="C160" s="10"/>
      <c r="D160" s="11"/>
      <c r="E160" s="11"/>
      <c r="F160" s="11"/>
      <c r="G160" s="11"/>
      <c r="H160" s="11"/>
      <c r="I160" s="11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</row>
    <row r="161" spans="1:31" x14ac:dyDescent="0.3">
      <c r="A161" s="8"/>
      <c r="B161" s="77"/>
      <c r="C161" s="10"/>
      <c r="D161" s="11"/>
      <c r="E161" s="11"/>
      <c r="F161" s="11"/>
      <c r="G161" s="11"/>
      <c r="H161" s="11"/>
      <c r="I161" s="11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</row>
    <row r="162" spans="1:31" x14ac:dyDescent="0.3">
      <c r="A162" s="8"/>
      <c r="B162" s="77"/>
      <c r="C162" s="10"/>
      <c r="D162" s="11"/>
      <c r="E162" s="11"/>
      <c r="F162" s="11"/>
      <c r="G162" s="11"/>
      <c r="H162" s="11"/>
      <c r="I162" s="11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</row>
    <row r="163" spans="1:31" x14ac:dyDescent="0.3">
      <c r="A163" s="8"/>
      <c r="B163" s="77"/>
      <c r="C163" s="10"/>
      <c r="D163" s="11"/>
      <c r="E163" s="11"/>
      <c r="F163" s="11"/>
      <c r="G163" s="11"/>
      <c r="H163" s="11"/>
      <c r="I163" s="11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</row>
    <row r="164" spans="1:31" x14ac:dyDescent="0.3">
      <c r="A164" s="8"/>
      <c r="B164" s="77"/>
      <c r="C164" s="10"/>
      <c r="D164" s="11"/>
      <c r="E164" s="11"/>
      <c r="F164" s="11"/>
      <c r="G164" s="11"/>
      <c r="H164" s="11"/>
      <c r="I164" s="11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</row>
    <row r="165" spans="1:31" x14ac:dyDescent="0.3">
      <c r="A165" s="8"/>
      <c r="B165" s="77"/>
      <c r="C165" s="10"/>
      <c r="D165" s="11"/>
      <c r="E165" s="11"/>
      <c r="F165" s="11"/>
      <c r="G165" s="11"/>
      <c r="H165" s="11"/>
      <c r="I165" s="11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</row>
    <row r="166" spans="1:31" x14ac:dyDescent="0.3">
      <c r="A166" s="8"/>
      <c r="B166" s="77"/>
      <c r="C166" s="10"/>
      <c r="D166" s="11"/>
      <c r="E166" s="11"/>
      <c r="F166" s="11"/>
      <c r="G166" s="11"/>
      <c r="H166" s="11"/>
      <c r="I166" s="11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</row>
    <row r="167" spans="1:31" x14ac:dyDescent="0.3">
      <c r="A167" s="8"/>
      <c r="B167" s="77"/>
      <c r="C167" s="10"/>
      <c r="D167" s="11"/>
      <c r="E167" s="11"/>
      <c r="F167" s="11"/>
      <c r="G167" s="11"/>
      <c r="H167" s="11"/>
      <c r="I167" s="11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</row>
    <row r="168" spans="1:31" x14ac:dyDescent="0.3">
      <c r="A168" s="8"/>
      <c r="B168" s="77"/>
      <c r="C168" s="10"/>
      <c r="D168" s="11"/>
      <c r="E168" s="11"/>
      <c r="F168" s="11"/>
      <c r="G168" s="11"/>
      <c r="H168" s="11"/>
      <c r="I168" s="11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</row>
    <row r="169" spans="1:31" x14ac:dyDescent="0.3">
      <c r="A169" s="8"/>
      <c r="B169" s="77"/>
      <c r="C169" s="10"/>
      <c r="D169" s="11"/>
      <c r="E169" s="11"/>
      <c r="F169" s="11"/>
      <c r="G169" s="11"/>
      <c r="H169" s="11"/>
      <c r="I169" s="11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</row>
    <row r="170" spans="1:31" x14ac:dyDescent="0.3">
      <c r="A170" s="8"/>
      <c r="B170" s="77"/>
      <c r="C170" s="10"/>
      <c r="D170" s="11"/>
      <c r="E170" s="11"/>
      <c r="F170" s="11"/>
      <c r="G170" s="11"/>
      <c r="H170" s="11"/>
      <c r="I170" s="11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</row>
    <row r="171" spans="1:31" x14ac:dyDescent="0.3">
      <c r="A171" s="8"/>
      <c r="B171" s="77"/>
      <c r="C171" s="10"/>
      <c r="D171" s="11"/>
      <c r="E171" s="11"/>
      <c r="F171" s="11"/>
      <c r="G171" s="11"/>
      <c r="H171" s="11"/>
      <c r="I171" s="11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</row>
    <row r="172" spans="1:31" x14ac:dyDescent="0.3">
      <c r="A172" s="8"/>
      <c r="B172" s="77"/>
      <c r="C172" s="10"/>
      <c r="D172" s="11"/>
      <c r="E172" s="11"/>
      <c r="F172" s="11"/>
      <c r="G172" s="11"/>
      <c r="H172" s="11"/>
      <c r="I172" s="11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</row>
    <row r="173" spans="1:31" x14ac:dyDescent="0.3">
      <c r="A173" s="8"/>
      <c r="B173" s="77"/>
      <c r="C173" s="10"/>
      <c r="D173" s="11"/>
      <c r="E173" s="11"/>
      <c r="F173" s="11"/>
      <c r="G173" s="11"/>
      <c r="H173" s="11"/>
      <c r="I173" s="11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</row>
    <row r="174" spans="1:31" x14ac:dyDescent="0.3">
      <c r="A174" s="8"/>
      <c r="B174" s="77"/>
      <c r="C174" s="10"/>
      <c r="D174" s="11"/>
      <c r="E174" s="11"/>
      <c r="F174" s="11"/>
      <c r="G174" s="11"/>
      <c r="H174" s="11"/>
      <c r="I174" s="11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</row>
    <row r="175" spans="1:31" x14ac:dyDescent="0.3">
      <c r="A175" s="8"/>
      <c r="B175" s="77"/>
      <c r="C175" s="10"/>
      <c r="D175" s="11"/>
      <c r="E175" s="11"/>
      <c r="F175" s="11"/>
      <c r="G175" s="11"/>
      <c r="H175" s="11"/>
      <c r="I175" s="11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</row>
    <row r="176" spans="1:31" x14ac:dyDescent="0.3">
      <c r="A176" s="8"/>
      <c r="B176" s="77"/>
      <c r="C176" s="10"/>
      <c r="D176" s="11"/>
      <c r="E176" s="11"/>
      <c r="F176" s="11"/>
      <c r="G176" s="11"/>
      <c r="H176" s="11"/>
      <c r="I176" s="11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</row>
    <row r="177" spans="1:31" x14ac:dyDescent="0.3">
      <c r="A177" s="8"/>
      <c r="B177" s="77"/>
      <c r="C177" s="10"/>
      <c r="D177" s="11"/>
      <c r="E177" s="11"/>
      <c r="F177" s="11"/>
      <c r="G177" s="11"/>
      <c r="H177" s="11"/>
      <c r="I177" s="11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</row>
    <row r="178" spans="1:31" x14ac:dyDescent="0.3">
      <c r="A178" s="8"/>
      <c r="B178" s="77"/>
      <c r="C178" s="10"/>
      <c r="D178" s="11"/>
      <c r="E178" s="11"/>
      <c r="F178" s="11"/>
      <c r="G178" s="11"/>
      <c r="H178" s="11"/>
      <c r="I178" s="11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</row>
    <row r="179" spans="1:31" x14ac:dyDescent="0.3">
      <c r="A179" s="8"/>
      <c r="B179" s="77"/>
      <c r="C179" s="10"/>
      <c r="D179" s="11"/>
      <c r="E179" s="11"/>
      <c r="F179" s="11"/>
      <c r="G179" s="11"/>
      <c r="H179" s="11"/>
      <c r="I179" s="11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</row>
    <row r="180" spans="1:31" x14ac:dyDescent="0.3">
      <c r="A180" s="8"/>
      <c r="B180" s="77"/>
      <c r="C180" s="10"/>
      <c r="D180" s="11"/>
      <c r="E180" s="11"/>
      <c r="F180" s="11"/>
      <c r="G180" s="11"/>
      <c r="H180" s="11"/>
      <c r="I180" s="11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</row>
    <row r="181" spans="1:31" x14ac:dyDescent="0.3">
      <c r="A181" s="8"/>
      <c r="B181" s="77"/>
      <c r="C181" s="10"/>
      <c r="D181" s="11"/>
      <c r="E181" s="11"/>
      <c r="F181" s="11"/>
      <c r="G181" s="11"/>
      <c r="H181" s="11"/>
      <c r="I181" s="11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</row>
    <row r="182" spans="1:31" x14ac:dyDescent="0.3">
      <c r="A182" s="8"/>
      <c r="B182" s="77"/>
      <c r="C182" s="10"/>
      <c r="D182" s="11"/>
      <c r="E182" s="11"/>
      <c r="F182" s="11"/>
      <c r="G182" s="11"/>
      <c r="H182" s="11"/>
      <c r="I182" s="11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</row>
    <row r="183" spans="1:31" x14ac:dyDescent="0.3">
      <c r="A183" s="8"/>
      <c r="B183" s="77"/>
      <c r="C183" s="10"/>
      <c r="D183" s="11"/>
      <c r="E183" s="11"/>
      <c r="F183" s="11"/>
      <c r="G183" s="11"/>
      <c r="H183" s="11"/>
      <c r="I183" s="11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</row>
    <row r="184" spans="1:31" x14ac:dyDescent="0.3">
      <c r="A184" s="8"/>
      <c r="B184" s="77"/>
      <c r="C184" s="10"/>
      <c r="D184" s="11"/>
      <c r="E184" s="11"/>
      <c r="F184" s="11"/>
      <c r="G184" s="11"/>
      <c r="H184" s="11"/>
      <c r="I184" s="11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</row>
    <row r="185" spans="1:31" x14ac:dyDescent="0.3">
      <c r="A185" s="8"/>
      <c r="B185" s="77"/>
      <c r="C185" s="10"/>
      <c r="D185" s="11"/>
      <c r="E185" s="11"/>
      <c r="F185" s="11"/>
      <c r="G185" s="11"/>
      <c r="H185" s="11"/>
      <c r="I185" s="11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</row>
    <row r="186" spans="1:31" x14ac:dyDescent="0.3">
      <c r="A186" s="8"/>
      <c r="B186" s="77"/>
      <c r="C186" s="10"/>
      <c r="D186" s="11"/>
      <c r="E186" s="11"/>
      <c r="F186" s="11"/>
      <c r="G186" s="11"/>
      <c r="H186" s="11"/>
      <c r="I186" s="11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</row>
    <row r="187" spans="1:31" x14ac:dyDescent="0.3">
      <c r="A187" s="8"/>
      <c r="B187" s="77"/>
      <c r="C187" s="10"/>
      <c r="D187" s="11"/>
      <c r="E187" s="11"/>
      <c r="F187" s="11"/>
      <c r="G187" s="11"/>
      <c r="H187" s="11"/>
      <c r="I187" s="11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</row>
    <row r="188" spans="1:31" x14ac:dyDescent="0.3">
      <c r="A188" s="8"/>
      <c r="B188" s="77"/>
      <c r="C188" s="10"/>
      <c r="D188" s="11"/>
      <c r="E188" s="11"/>
      <c r="F188" s="11"/>
      <c r="G188" s="11"/>
      <c r="H188" s="11"/>
      <c r="I188" s="11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</row>
    <row r="189" spans="1:31" x14ac:dyDescent="0.3">
      <c r="A189" s="8"/>
      <c r="B189" s="77"/>
      <c r="C189" s="10"/>
      <c r="D189" s="11"/>
      <c r="E189" s="11"/>
      <c r="F189" s="11"/>
      <c r="G189" s="11"/>
      <c r="H189" s="11"/>
      <c r="I189" s="11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</row>
    <row r="190" spans="1:31" x14ac:dyDescent="0.3">
      <c r="A190" s="8"/>
      <c r="B190" s="77"/>
      <c r="C190" s="10"/>
      <c r="D190" s="11"/>
      <c r="E190" s="11"/>
      <c r="F190" s="11"/>
      <c r="G190" s="11"/>
      <c r="H190" s="11"/>
      <c r="I190" s="11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</row>
    <row r="191" spans="1:31" x14ac:dyDescent="0.3">
      <c r="A191" s="8"/>
      <c r="B191" s="77"/>
      <c r="C191" s="10"/>
      <c r="D191" s="11"/>
      <c r="E191" s="11"/>
      <c r="F191" s="11"/>
      <c r="G191" s="11"/>
      <c r="H191" s="11"/>
      <c r="I191" s="11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</row>
    <row r="192" spans="1:31" x14ac:dyDescent="0.3">
      <c r="A192" s="8"/>
      <c r="B192" s="77"/>
      <c r="C192" s="10"/>
      <c r="D192" s="11"/>
      <c r="E192" s="11"/>
      <c r="F192" s="11"/>
      <c r="G192" s="11"/>
      <c r="H192" s="11"/>
      <c r="I192" s="11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</row>
    <row r="193" spans="1:31" x14ac:dyDescent="0.3">
      <c r="A193" s="8"/>
      <c r="B193" s="77"/>
      <c r="C193" s="10"/>
      <c r="D193" s="11"/>
      <c r="E193" s="11"/>
      <c r="F193" s="11"/>
      <c r="G193" s="11"/>
      <c r="H193" s="11"/>
      <c r="I193" s="11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</row>
    <row r="194" spans="1:31" x14ac:dyDescent="0.3">
      <c r="A194" s="8"/>
      <c r="B194" s="77"/>
      <c r="C194" s="10"/>
      <c r="D194" s="11"/>
      <c r="E194" s="11"/>
      <c r="F194" s="11"/>
      <c r="G194" s="11"/>
      <c r="H194" s="11"/>
      <c r="I194" s="11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</row>
    <row r="195" spans="1:31" x14ac:dyDescent="0.3">
      <c r="A195" s="8"/>
      <c r="B195" s="77"/>
      <c r="C195" s="10"/>
      <c r="D195" s="11"/>
      <c r="E195" s="11"/>
      <c r="F195" s="11"/>
      <c r="G195" s="11"/>
      <c r="H195" s="11"/>
      <c r="I195" s="11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</row>
    <row r="196" spans="1:31" x14ac:dyDescent="0.3">
      <c r="A196" s="8"/>
      <c r="B196" s="77"/>
      <c r="C196" s="10"/>
      <c r="D196" s="11"/>
      <c r="E196" s="11"/>
      <c r="F196" s="11"/>
      <c r="G196" s="11"/>
      <c r="H196" s="11"/>
      <c r="I196" s="11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</row>
    <row r="197" spans="1:31" x14ac:dyDescent="0.3">
      <c r="A197" s="8"/>
      <c r="B197" s="77"/>
      <c r="C197" s="10"/>
      <c r="D197" s="11"/>
      <c r="E197" s="11"/>
      <c r="F197" s="11"/>
      <c r="G197" s="11"/>
      <c r="H197" s="11"/>
      <c r="I197" s="11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</row>
    <row r="198" spans="1:31" x14ac:dyDescent="0.3">
      <c r="A198" s="8"/>
      <c r="B198" s="77"/>
      <c r="C198" s="10"/>
      <c r="D198" s="11"/>
      <c r="E198" s="11"/>
      <c r="F198" s="11"/>
      <c r="G198" s="11"/>
      <c r="H198" s="11"/>
      <c r="I198" s="11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</row>
    <row r="199" spans="1:31" x14ac:dyDescent="0.3">
      <c r="A199" s="8"/>
      <c r="B199" s="77"/>
      <c r="C199" s="10"/>
      <c r="D199" s="11"/>
      <c r="E199" s="11"/>
      <c r="F199" s="11"/>
      <c r="G199" s="11"/>
      <c r="H199" s="11"/>
      <c r="I199" s="11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</row>
    <row r="200" spans="1:31" x14ac:dyDescent="0.3">
      <c r="A200" s="8"/>
      <c r="B200" s="77"/>
      <c r="C200" s="10"/>
      <c r="D200" s="11"/>
      <c r="E200" s="11"/>
      <c r="F200" s="11"/>
      <c r="G200" s="11"/>
      <c r="H200" s="11"/>
      <c r="I200" s="11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</row>
    <row r="201" spans="1:31" x14ac:dyDescent="0.3">
      <c r="A201" s="30"/>
      <c r="B201" s="77"/>
      <c r="C201" s="27"/>
      <c r="D201" s="28"/>
      <c r="E201" s="28"/>
      <c r="F201" s="28"/>
      <c r="G201" s="28"/>
      <c r="H201" s="28"/>
      <c r="I201" s="28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</row>
  </sheetData>
  <sheetProtection autoFilter="0" pivotTables="0"/>
  <mergeCells count="2">
    <mergeCell ref="D1:R1"/>
    <mergeCell ref="T1:AE1"/>
  </mergeCells>
  <phoneticPr fontId="2" type="noConversion"/>
  <conditionalFormatting sqref="D3:D1048576">
    <cfRule type="duplicateValues" dxfId="7" priority="37"/>
  </conditionalFormatting>
  <conditionalFormatting sqref="E3:E1048576">
    <cfRule type="duplicateValues" dxfId="6" priority="31"/>
  </conditionalFormatting>
  <conditionalFormatting sqref="F3:F52 F54:F1048576">
    <cfRule type="duplicateValues" dxfId="5" priority="30"/>
  </conditionalFormatting>
  <conditionalFormatting sqref="G3:G1048576">
    <cfRule type="duplicateValues" dxfId="4" priority="27"/>
  </conditionalFormatting>
  <conditionalFormatting sqref="H3:H1048576">
    <cfRule type="duplicateValues" dxfId="3" priority="25"/>
  </conditionalFormatting>
  <conditionalFormatting sqref="I3:I1048576">
    <cfRule type="duplicateValues" dxfId="2" priority="23"/>
  </conditionalFormatting>
  <conditionalFormatting sqref="J54:Q1048576 J53:O53 J3:Q52 Q53">
    <cfRule type="duplicateValues" dxfId="1" priority="97"/>
  </conditionalFormatting>
  <conditionalFormatting sqref="R3:S28 R30:S1048576">
    <cfRule type="duplicateValues" dxfId="0" priority="20"/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F1C0C7C-A34A-437C-9160-8D85EC3BFE1B}">
          <x14:formula1>
            <xm:f>OFFSET('Static Data'!$B$2, 0, 0, COUNTA('Static Data'!$B:$B)-1, 1)</xm:f>
          </x14:formula1>
          <xm:sqref>C2:C201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F4DA9-9952-46F3-A03D-00252C544613}">
  <dimension ref="A1:P20"/>
  <sheetViews>
    <sheetView workbookViewId="0">
      <selection activeCell="B2" sqref="B2"/>
    </sheetView>
  </sheetViews>
  <sheetFormatPr defaultColWidth="0" defaultRowHeight="14.4" zeroHeight="1" x14ac:dyDescent="0.3"/>
  <cols>
    <col min="1" max="1" width="30.109375" customWidth="1"/>
    <col min="2" max="16" width="12.6640625" customWidth="1"/>
    <col min="17" max="16384" width="9.109375" hidden="1"/>
  </cols>
  <sheetData>
    <row r="1" spans="1:16" x14ac:dyDescent="0.3">
      <c r="A1" s="85" t="s">
        <v>279</v>
      </c>
      <c r="B1" s="86">
        <f ca="1">TODAY()</f>
        <v>46269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</row>
    <row r="2" spans="1:16" ht="57" customHeight="1" x14ac:dyDescent="0.3">
      <c r="A2" s="83" t="s">
        <v>284</v>
      </c>
      <c r="B2" s="84" t="s">
        <v>214</v>
      </c>
      <c r="C2" s="84" t="s">
        <v>275</v>
      </c>
      <c r="D2" s="84" t="s">
        <v>272</v>
      </c>
      <c r="E2" s="84" t="s">
        <v>292</v>
      </c>
      <c r="F2" s="84" t="s">
        <v>269</v>
      </c>
      <c r="G2" s="84" t="s">
        <v>293</v>
      </c>
      <c r="H2" s="84" t="s">
        <v>294</v>
      </c>
      <c r="I2" s="84" t="s">
        <v>295</v>
      </c>
      <c r="J2" s="84" t="s">
        <v>221</v>
      </c>
      <c r="K2" s="84" t="s">
        <v>296</v>
      </c>
      <c r="L2" s="84" t="s">
        <v>297</v>
      </c>
      <c r="M2" s="84" t="s">
        <v>276</v>
      </c>
      <c r="N2" s="84" t="s">
        <v>298</v>
      </c>
      <c r="O2" s="84" t="s">
        <v>299</v>
      </c>
      <c r="P2" s="84" t="s">
        <v>89</v>
      </c>
    </row>
    <row r="3" spans="1:16" x14ac:dyDescent="0.3">
      <c r="A3" s="1" t="s">
        <v>95</v>
      </c>
      <c r="B3" t="str">
        <f ca="1">_xlfn.LET(
  _xlpm.result,
  COUNTIFS(
    'Complaint RC Data'!$C:$C, $A3,
    'Complaint RC Data'!D:D, "x",
    'Complaint RC Data'!$B:$B, "&gt;=" &amp; EDATE($B$1, -12),
    'Complaint RC Data'!$B:$B, "&lt;=" &amp; $B$1
  ),
  IF(_xlpm.result = 0, "", _xlpm.result)
)</f>
        <v/>
      </c>
      <c r="C3" t="str">
        <f ca="1">_xlfn.LET(
  _xlpm.result,
  COUNTIFS(
    'Complaint RC Data'!$C:$C, $A3,
    'Complaint RC Data'!E:E, "x",
    'Complaint RC Data'!$B:$B, "&gt;=" &amp; EDATE($B$1, -12),
    'Complaint RC Data'!$B:$B, "&lt;=" &amp; $B$1
  ),
  IF(_xlpm.result = 0, "", _xlpm.result)
)</f>
        <v/>
      </c>
      <c r="D3" t="str">
        <f ca="1">_xlfn.LET(
  _xlpm.result,
  COUNTIFS(
    'Complaint RC Data'!$C:$C, $A3,
    'Complaint RC Data'!F:F, "x",
    'Complaint RC Data'!$B:$B, "&gt;=" &amp; EDATE($B$1, -12),
    'Complaint RC Data'!$B:$B, "&lt;=" &amp; $B$1
  ),
  IF(_xlpm.result = 0, "", _xlpm.result)
)</f>
        <v/>
      </c>
      <c r="E3" t="str">
        <f ca="1">_xlfn.LET(
  _xlpm.result,
  COUNTIFS(
    'Complaint RC Data'!$C:$C, $A3,
    'Complaint RC Data'!G:G, "x",
    'Complaint RC Data'!$B:$B, "&gt;=" &amp; EDATE($B$1, -12),
    'Complaint RC Data'!$B:$B, "&lt;=" &amp; $B$1
  ),
  IF(_xlpm.result = 0, "", _xlpm.result)
)</f>
        <v/>
      </c>
      <c r="F3" t="str">
        <f ca="1">_xlfn.LET(
  _xlpm.result,
  COUNTIFS(
    'Complaint RC Data'!$C:$C, $A3,
    'Complaint RC Data'!H:H, "x",
    'Complaint RC Data'!$B:$B, "&gt;=" &amp; EDATE($B$1, -12),
    'Complaint RC Data'!$B:$B, "&lt;=" &amp; $B$1
  ),
  IF(_xlpm.result = 0, "", _xlpm.result)
)</f>
        <v/>
      </c>
      <c r="G3" t="str">
        <f ca="1">_xlfn.LET(
  _xlpm.result,
  COUNTIFS(
    'Complaint RC Data'!$C:$C, $A3,
    'Complaint RC Data'!I:I, "x",
    'Complaint RC Data'!$B:$B, "&gt;=" &amp; EDATE($B$1, -12),
    'Complaint RC Data'!$B:$B, "&lt;=" &amp; $B$1
  ),
  IF(_xlpm.result = 0, "", _xlpm.result)
)</f>
        <v/>
      </c>
      <c r="H3" t="str">
        <f ca="1">_xlfn.LET(
  _xlpm.result,
  COUNTIFS(
    'Complaint RC Data'!$C:$C, $A3,
    'Complaint RC Data'!J:J, "x",
    'Complaint RC Data'!$B:$B, "&gt;=" &amp; EDATE($B$1, -12),
    'Complaint RC Data'!$B:$B, "&lt;=" &amp; $B$1
  ),
  IF(_xlpm.result = 0, "", _xlpm.result)
)</f>
        <v/>
      </c>
      <c r="I3" t="str">
        <f ca="1">_xlfn.LET(
  _xlpm.result,
  COUNTIFS(
    'Complaint RC Data'!$C:$C, $A3,
    'Complaint RC Data'!K:K, "x",
    'Complaint RC Data'!$B:$B, "&gt;=" &amp; EDATE($B$1, -12),
    'Complaint RC Data'!$B:$B, "&lt;=" &amp; $B$1
  ),
  IF(_xlpm.result = 0, "", _xlpm.result)
)</f>
        <v/>
      </c>
      <c r="J3" t="str">
        <f ca="1">_xlfn.LET(
  _xlpm.result,
  COUNTIFS(
    'Complaint RC Data'!$C:$C, $A3,
    'Complaint RC Data'!L:L, "x",
    'Complaint RC Data'!$B:$B, "&gt;=" &amp; EDATE($B$1, -12),
    'Complaint RC Data'!$B:$B, "&lt;=" &amp; $B$1
  ),
  IF(_xlpm.result = 0, "", _xlpm.result)
)</f>
        <v/>
      </c>
      <c r="K3" t="str">
        <f ca="1">_xlfn.LET(
  _xlpm.result,
  COUNTIFS(
    'Complaint RC Data'!$C:$C, $A3,
    'Complaint RC Data'!M:M, "x",
    'Complaint RC Data'!$B:$B, "&gt;=" &amp; EDATE($B$1, -12),
    'Complaint RC Data'!$B:$B, "&lt;=" &amp; $B$1
  ),
  IF(_xlpm.result = 0, "", _xlpm.result)
)</f>
        <v/>
      </c>
      <c r="L3" t="str">
        <f ca="1">_xlfn.LET(
  _xlpm.result,
  COUNTIFS(
    'Complaint RC Data'!$C:$C, $A3,
    'Complaint RC Data'!N:N, "x",
    'Complaint RC Data'!$B:$B, "&gt;=" &amp; EDATE($B$1, -12),
    'Complaint RC Data'!$B:$B, "&lt;=" &amp; $B$1
  ),
  IF(_xlpm.result = 0, "", _xlpm.result)
)</f>
        <v/>
      </c>
      <c r="M3" t="str">
        <f ca="1">_xlfn.LET(
  _xlpm.result,
  COUNTIFS(
    'Complaint RC Data'!$C:$C, $A3,
    'Complaint RC Data'!O:O, "x",
    'Complaint RC Data'!$B:$B, "&gt;=" &amp; EDATE($B$1, -12),
    'Complaint RC Data'!$B:$B, "&lt;=" &amp; $B$1
  ),
  IF(_xlpm.result = 0, "", _xlpm.result)
)</f>
        <v/>
      </c>
      <c r="N3" t="str">
        <f ca="1">_xlfn.LET(
  _xlpm.result,
  COUNTIFS(
    'Complaint RC Data'!$C:$C, $A3,
    'Complaint RC Data'!P:P, "x",
    'Complaint RC Data'!$B:$B, "&gt;=" &amp; EDATE($B$1, -12),
    'Complaint RC Data'!$B:$B, "&lt;=" &amp; $B$1
  ),
  IF(_xlpm.result = 0, "", _xlpm.result)
)</f>
        <v/>
      </c>
      <c r="O3" t="str">
        <f ca="1">_xlfn.LET(
  _xlpm.result,
  COUNTIFS(
    'Complaint RC Data'!$C:$C, $A3,
    'Complaint RC Data'!Q:Q, "x",
    'Complaint RC Data'!$B:$B, "&gt;=" &amp; EDATE($B$1, -12),
    'Complaint RC Data'!$B:$B, "&lt;=" &amp; $B$1
  ),
  IF(_xlpm.result = 0, "", _xlpm.result)
)</f>
        <v/>
      </c>
      <c r="P3" t="str">
        <f ca="1">_xlfn.LET(
  _xlpm.result,
  COUNTIFS(
    'Complaint RC Data'!$C:$C, $A3,
    'Complaint RC Data'!R:R, "x",
    'Complaint RC Data'!$B:$B, "&gt;=" &amp; EDATE($B$1, -12),
    'Complaint RC Data'!$B:$B, "&lt;=" &amp; $B$1
  ),
  IF(_xlpm.result = 0, "", _xlpm.result)
)</f>
        <v/>
      </c>
    </row>
    <row r="4" spans="1:16" x14ac:dyDescent="0.3">
      <c r="A4" s="84" t="s">
        <v>286</v>
      </c>
      <c r="B4" s="82" t="str">
        <f ca="1">_xlfn.LET(
  _xlpm.result,
  COUNTIFS(
    'Complaint RC Data'!$C:$C, $A4,
    'Complaint RC Data'!D:D, "x",
    'Complaint RC Data'!$B:$B, "&gt;=" &amp; EDATE($B$1, -12),
    'Complaint RC Data'!$B:$B, "&lt;=" &amp; $B$1
  ),
  IF(_xlpm.result = 0, "", _xlpm.result)
)</f>
        <v/>
      </c>
      <c r="C4" s="82" t="str">
        <f ca="1">_xlfn.LET(
  _xlpm.result,
  COUNTIFS(
    'Complaint RC Data'!$C:$C, $A4,
    'Complaint RC Data'!E:E, "x",
    'Complaint RC Data'!$B:$B, "&gt;=" &amp; EDATE($B$1, -12),
    'Complaint RC Data'!$B:$B, "&lt;=" &amp; $B$1
  ),
  IF(_xlpm.result = 0, "", _xlpm.result)
)</f>
        <v/>
      </c>
      <c r="D4" s="82" t="str">
        <f ca="1">_xlfn.LET(
  _xlpm.result,
  COUNTIFS(
    'Complaint RC Data'!$C:$C, $A4,
    'Complaint RC Data'!F:F, "x",
    'Complaint RC Data'!$B:$B, "&gt;=" &amp; EDATE($B$1, -12),
    'Complaint RC Data'!$B:$B, "&lt;=" &amp; $B$1
  ),
  IF(_xlpm.result = 0, "", _xlpm.result)
)</f>
        <v/>
      </c>
      <c r="E4" s="82" t="str">
        <f ca="1">_xlfn.LET(
  _xlpm.result,
  COUNTIFS(
    'Complaint RC Data'!$C:$C, $A4,
    'Complaint RC Data'!G:G, "x",
    'Complaint RC Data'!$B:$B, "&gt;=" &amp; EDATE($B$1, -12),
    'Complaint RC Data'!$B:$B, "&lt;=" &amp; $B$1
  ),
  IF(_xlpm.result = 0, "", _xlpm.result)
)</f>
        <v/>
      </c>
      <c r="F4" s="82" t="str">
        <f ca="1">_xlfn.LET(
  _xlpm.result,
  COUNTIFS(
    'Complaint RC Data'!$C:$C, $A4,
    'Complaint RC Data'!H:H, "x",
    'Complaint RC Data'!$B:$B, "&gt;=" &amp; EDATE($B$1, -12),
    'Complaint RC Data'!$B:$B, "&lt;=" &amp; $B$1
  ),
  IF(_xlpm.result = 0, "", _xlpm.result)
)</f>
        <v/>
      </c>
      <c r="G4" s="82" t="str">
        <f ca="1">_xlfn.LET(
  _xlpm.result,
  COUNTIFS(
    'Complaint RC Data'!$C:$C, $A4,
    'Complaint RC Data'!I:I, "x",
    'Complaint RC Data'!$B:$B, "&gt;=" &amp; EDATE($B$1, -12),
    'Complaint RC Data'!$B:$B, "&lt;=" &amp; $B$1
  ),
  IF(_xlpm.result = 0, "", _xlpm.result)
)</f>
        <v/>
      </c>
      <c r="H4" s="82" t="str">
        <f ca="1">_xlfn.LET(
  _xlpm.result,
  COUNTIFS(
    'Complaint RC Data'!$C:$C, $A4,
    'Complaint RC Data'!J:J, "x",
    'Complaint RC Data'!$B:$B, "&gt;=" &amp; EDATE($B$1, -12),
    'Complaint RC Data'!$B:$B, "&lt;=" &amp; $B$1
  ),
  IF(_xlpm.result = 0, "", _xlpm.result)
)</f>
        <v/>
      </c>
      <c r="I4" s="82" t="str">
        <f ca="1">_xlfn.LET(
  _xlpm.result,
  COUNTIFS(
    'Complaint RC Data'!$C:$C, $A4,
    'Complaint RC Data'!K:K, "x",
    'Complaint RC Data'!$B:$B, "&gt;=" &amp; EDATE($B$1, -12),
    'Complaint RC Data'!$B:$B, "&lt;=" &amp; $B$1
  ),
  IF(_xlpm.result = 0, "", _xlpm.result)
)</f>
        <v/>
      </c>
      <c r="J4" s="82" t="str">
        <f ca="1">_xlfn.LET(
  _xlpm.result,
  COUNTIFS(
    'Complaint RC Data'!$C:$C, $A4,
    'Complaint RC Data'!L:L, "x",
    'Complaint RC Data'!$B:$B, "&gt;=" &amp; EDATE($B$1, -12),
    'Complaint RC Data'!$B:$B, "&lt;=" &amp; $B$1
  ),
  IF(_xlpm.result = 0, "", _xlpm.result)
)</f>
        <v/>
      </c>
      <c r="K4" s="82" t="str">
        <f ca="1">_xlfn.LET(
  _xlpm.result,
  COUNTIFS(
    'Complaint RC Data'!$C:$C, $A4,
    'Complaint RC Data'!M:M, "x",
    'Complaint RC Data'!$B:$B, "&gt;=" &amp; EDATE($B$1, -12),
    'Complaint RC Data'!$B:$B, "&lt;=" &amp; $B$1
  ),
  IF(_xlpm.result = 0, "", _xlpm.result)
)</f>
        <v/>
      </c>
      <c r="L4" s="82" t="str">
        <f ca="1">_xlfn.LET(
  _xlpm.result,
  COUNTIFS(
    'Complaint RC Data'!$C:$C, $A4,
    'Complaint RC Data'!N:N, "x",
    'Complaint RC Data'!$B:$B, "&gt;=" &amp; EDATE($B$1, -12),
    'Complaint RC Data'!$B:$B, "&lt;=" &amp; $B$1
  ),
  IF(_xlpm.result = 0, "", _xlpm.result)
)</f>
        <v/>
      </c>
      <c r="M4" s="82" t="str">
        <f ca="1">_xlfn.LET(
  _xlpm.result,
  COUNTIFS(
    'Complaint RC Data'!$C:$C, $A4,
    'Complaint RC Data'!O:O, "x",
    'Complaint RC Data'!$B:$B, "&gt;=" &amp; EDATE($B$1, -12),
    'Complaint RC Data'!$B:$B, "&lt;=" &amp; $B$1
  ),
  IF(_xlpm.result = 0, "", _xlpm.result)
)</f>
        <v/>
      </c>
      <c r="N4" s="82" t="str">
        <f ca="1">_xlfn.LET(
  _xlpm.result,
  COUNTIFS(
    'Complaint RC Data'!$C:$C, $A4,
    'Complaint RC Data'!P:P, "x",
    'Complaint RC Data'!$B:$B, "&gt;=" &amp; EDATE($B$1, -12),
    'Complaint RC Data'!$B:$B, "&lt;=" &amp; $B$1
  ),
  IF(_xlpm.result = 0, "", _xlpm.result)
)</f>
        <v/>
      </c>
      <c r="O4" s="82" t="str">
        <f ca="1">_xlfn.LET(
  _xlpm.result,
  COUNTIFS(
    'Complaint RC Data'!$C:$C, $A4,
    'Complaint RC Data'!Q:Q, "x",
    'Complaint RC Data'!$B:$B, "&gt;=" &amp; EDATE($B$1, -12),
    'Complaint RC Data'!$B:$B, "&lt;=" &amp; $B$1
  ),
  IF(_xlpm.result = 0, "", _xlpm.result)
)</f>
        <v/>
      </c>
      <c r="P4" s="82" t="str">
        <f ca="1">_xlfn.LET(
  _xlpm.result,
  COUNTIFS(
    'Complaint RC Data'!$C:$C, $A4,
    'Complaint RC Data'!R:R, "x",
    'Complaint RC Data'!$B:$B, "&gt;=" &amp; EDATE($B$1, -12),
    'Complaint RC Data'!$B:$B, "&lt;=" &amp; $B$1
  ),
  IF(_xlpm.result = 0, "", _xlpm.result)
)</f>
        <v/>
      </c>
    </row>
    <row r="5" spans="1:16" x14ac:dyDescent="0.3">
      <c r="A5" s="1" t="s">
        <v>96</v>
      </c>
      <c r="B5" t="str">
        <f ca="1">_xlfn.LET(
  _xlpm.result,
  COUNTIFS(
    'Complaint RC Data'!$C:$C, $A5,
    'Complaint RC Data'!D:D, "x",
    'Complaint RC Data'!$B:$B, "&gt;=" &amp; EDATE($B$1, -12),
    'Complaint RC Data'!$B:$B, "&lt;=" &amp; $B$1
  ),
  IF(_xlpm.result = 0, "", _xlpm.result)
)</f>
        <v/>
      </c>
      <c r="C5" t="str">
        <f ca="1">_xlfn.LET(
  _xlpm.result,
  COUNTIFS(
    'Complaint RC Data'!$C:$C, $A5,
    'Complaint RC Data'!E:E, "x",
    'Complaint RC Data'!$B:$B, "&gt;=" &amp; EDATE($B$1, -12),
    'Complaint RC Data'!$B:$B, "&lt;=" &amp; $B$1
  ),
  IF(_xlpm.result = 0, "", _xlpm.result)
)</f>
        <v/>
      </c>
      <c r="D5" t="str">
        <f ca="1">_xlfn.LET(
  _xlpm.result,
  COUNTIFS(
    'Complaint RC Data'!$C:$C, $A5,
    'Complaint RC Data'!F:F, "x",
    'Complaint RC Data'!$B:$B, "&gt;=" &amp; EDATE($B$1, -12),
    'Complaint RC Data'!$B:$B, "&lt;=" &amp; $B$1
  ),
  IF(_xlpm.result = 0, "", _xlpm.result)
)</f>
        <v/>
      </c>
      <c r="E5" t="str">
        <f ca="1">_xlfn.LET(
  _xlpm.result,
  COUNTIFS(
    'Complaint RC Data'!$C:$C, $A5,
    'Complaint RC Data'!G:G, "x",
    'Complaint RC Data'!$B:$B, "&gt;=" &amp; EDATE($B$1, -12),
    'Complaint RC Data'!$B:$B, "&lt;=" &amp; $B$1
  ),
  IF(_xlpm.result = 0, "", _xlpm.result)
)</f>
        <v/>
      </c>
      <c r="F5" t="str">
        <f ca="1">_xlfn.LET(
  _xlpm.result,
  COUNTIFS(
    'Complaint RC Data'!$C:$C, $A5,
    'Complaint RC Data'!H:H, "x",
    'Complaint RC Data'!$B:$B, "&gt;=" &amp; EDATE($B$1, -12),
    'Complaint RC Data'!$B:$B, "&lt;=" &amp; $B$1
  ),
  IF(_xlpm.result = 0, "", _xlpm.result)
)</f>
        <v/>
      </c>
      <c r="G5" t="str">
        <f ca="1">_xlfn.LET(
  _xlpm.result,
  COUNTIFS(
    'Complaint RC Data'!$C:$C, $A5,
    'Complaint RC Data'!I:I, "x",
    'Complaint RC Data'!$B:$B, "&gt;=" &amp; EDATE($B$1, -12),
    'Complaint RC Data'!$B:$B, "&lt;=" &amp; $B$1
  ),
  IF(_xlpm.result = 0, "", _xlpm.result)
)</f>
        <v/>
      </c>
      <c r="H5" t="str">
        <f ca="1">_xlfn.LET(
  _xlpm.result,
  COUNTIFS(
    'Complaint RC Data'!$C:$C, $A5,
    'Complaint RC Data'!J:J, "x",
    'Complaint RC Data'!$B:$B, "&gt;=" &amp; EDATE($B$1, -12),
    'Complaint RC Data'!$B:$B, "&lt;=" &amp; $B$1
  ),
  IF(_xlpm.result = 0, "", _xlpm.result)
)</f>
        <v/>
      </c>
      <c r="I5" t="str">
        <f ca="1">_xlfn.LET(
  _xlpm.result,
  COUNTIFS(
    'Complaint RC Data'!$C:$C, $A5,
    'Complaint RC Data'!K:K, "x",
    'Complaint RC Data'!$B:$B, "&gt;=" &amp; EDATE($B$1, -12),
    'Complaint RC Data'!$B:$B, "&lt;=" &amp; $B$1
  ),
  IF(_xlpm.result = 0, "", _xlpm.result)
)</f>
        <v/>
      </c>
      <c r="J5" t="str">
        <f ca="1">_xlfn.LET(
  _xlpm.result,
  COUNTIFS(
    'Complaint RC Data'!$C:$C, $A5,
    'Complaint RC Data'!L:L, "x",
    'Complaint RC Data'!$B:$B, "&gt;=" &amp; EDATE($B$1, -12),
    'Complaint RC Data'!$B:$B, "&lt;=" &amp; $B$1
  ),
  IF(_xlpm.result = 0, "", _xlpm.result)
)</f>
        <v/>
      </c>
      <c r="K5" t="str">
        <f ca="1">_xlfn.LET(
  _xlpm.result,
  COUNTIFS(
    'Complaint RC Data'!$C:$C, $A5,
    'Complaint RC Data'!M:M, "x",
    'Complaint RC Data'!$B:$B, "&gt;=" &amp; EDATE($B$1, -12),
    'Complaint RC Data'!$B:$B, "&lt;=" &amp; $B$1
  ),
  IF(_xlpm.result = 0, "", _xlpm.result)
)</f>
        <v/>
      </c>
      <c r="L5" t="str">
        <f ca="1">_xlfn.LET(
  _xlpm.result,
  COUNTIFS(
    'Complaint RC Data'!$C:$C, $A5,
    'Complaint RC Data'!N:N, "x",
    'Complaint RC Data'!$B:$B, "&gt;=" &amp; EDATE($B$1, -12),
    'Complaint RC Data'!$B:$B, "&lt;=" &amp; $B$1
  ),
  IF(_xlpm.result = 0, "", _xlpm.result)
)</f>
        <v/>
      </c>
      <c r="M5" t="str">
        <f ca="1">_xlfn.LET(
  _xlpm.result,
  COUNTIFS(
    'Complaint RC Data'!$C:$C, $A5,
    'Complaint RC Data'!O:O, "x",
    'Complaint RC Data'!$B:$B, "&gt;=" &amp; EDATE($B$1, -12),
    'Complaint RC Data'!$B:$B, "&lt;=" &amp; $B$1
  ),
  IF(_xlpm.result = 0, "", _xlpm.result)
)</f>
        <v/>
      </c>
      <c r="N5" t="str">
        <f ca="1">_xlfn.LET(
  _xlpm.result,
  COUNTIFS(
    'Complaint RC Data'!$C:$C, $A5,
    'Complaint RC Data'!P:P, "x",
    'Complaint RC Data'!$B:$B, "&gt;=" &amp; EDATE($B$1, -12),
    'Complaint RC Data'!$B:$B, "&lt;=" &amp; $B$1
  ),
  IF(_xlpm.result = 0, "", _xlpm.result)
)</f>
        <v/>
      </c>
      <c r="O5" t="str">
        <f ca="1">_xlfn.LET(
  _xlpm.result,
  COUNTIFS(
    'Complaint RC Data'!$C:$C, $A5,
    'Complaint RC Data'!Q:Q, "x",
    'Complaint RC Data'!$B:$B, "&gt;=" &amp; EDATE($B$1, -12),
    'Complaint RC Data'!$B:$B, "&lt;=" &amp; $B$1
  ),
  IF(_xlpm.result = 0, "", _xlpm.result)
)</f>
        <v/>
      </c>
      <c r="P5">
        <f ca="1">_xlfn.LET(
  _xlpm.result,
  COUNTIFS(
    'Complaint RC Data'!$C:$C, $A5,
    'Complaint RC Data'!R:R, "x",
    'Complaint RC Data'!$B:$B, "&gt;=" &amp; EDATE($B$1, -12),
    'Complaint RC Data'!$B:$B, "&lt;=" &amp; $B$1
  ),
  IF(_xlpm.result = 0, "", _xlpm.result)
)</f>
        <v>2</v>
      </c>
    </row>
    <row r="6" spans="1:16" s="82" customFormat="1" x14ac:dyDescent="0.3">
      <c r="A6" s="84" t="s">
        <v>285</v>
      </c>
      <c r="B6" s="82" t="str">
        <f ca="1">_xlfn.LET(
  _xlpm.result,
  COUNTIFS(
    'Complaint RC Data'!$C:$C, $A6,
    'Complaint RC Data'!D:D, "x",
    'Complaint RC Data'!$B:$B, "&gt;=" &amp; EDATE($B$1, -12),
    'Complaint RC Data'!$B:$B, "&lt;=" &amp; $B$1
  ),
  IF(_xlpm.result = 0, "", _xlpm.result)
)</f>
        <v/>
      </c>
      <c r="C6" s="82" t="str">
        <f ca="1">_xlfn.LET(
  _xlpm.result,
  COUNTIFS(
    'Complaint RC Data'!$C:$C, $A6,
    'Complaint RC Data'!E:E, "x",
    'Complaint RC Data'!$B:$B, "&gt;=" &amp; EDATE($B$1, -12),
    'Complaint RC Data'!$B:$B, "&lt;=" &amp; $B$1
  ),
  IF(_xlpm.result = 0, "", _xlpm.result)
)</f>
        <v/>
      </c>
      <c r="D6" s="82" t="str">
        <f ca="1">_xlfn.LET(
  _xlpm.result,
  COUNTIFS(
    'Complaint RC Data'!$C:$C, $A6,
    'Complaint RC Data'!F:F, "x",
    'Complaint RC Data'!$B:$B, "&gt;=" &amp; EDATE($B$1, -12),
    'Complaint RC Data'!$B:$B, "&lt;=" &amp; $B$1
  ),
  IF(_xlpm.result = 0, "", _xlpm.result)
)</f>
        <v/>
      </c>
      <c r="E6" s="82" t="str">
        <f ca="1">_xlfn.LET(
  _xlpm.result,
  COUNTIFS(
    'Complaint RC Data'!$C:$C, $A6,
    'Complaint RC Data'!G:G, "x",
    'Complaint RC Data'!$B:$B, "&gt;=" &amp; EDATE($B$1, -12),
    'Complaint RC Data'!$B:$B, "&lt;=" &amp; $B$1
  ),
  IF(_xlpm.result = 0, "", _xlpm.result)
)</f>
        <v/>
      </c>
      <c r="F6" s="82" t="str">
        <f ca="1">_xlfn.LET(
  _xlpm.result,
  COUNTIFS(
    'Complaint RC Data'!$C:$C, $A6,
    'Complaint RC Data'!H:H, "x",
    'Complaint RC Data'!$B:$B, "&gt;=" &amp; EDATE($B$1, -12),
    'Complaint RC Data'!$B:$B, "&lt;=" &amp; $B$1
  ),
  IF(_xlpm.result = 0, "", _xlpm.result)
)</f>
        <v/>
      </c>
      <c r="G6" s="82" t="str">
        <f ca="1">_xlfn.LET(
  _xlpm.result,
  COUNTIFS(
    'Complaint RC Data'!$C:$C, $A6,
    'Complaint RC Data'!I:I, "x",
    'Complaint RC Data'!$B:$B, "&gt;=" &amp; EDATE($B$1, -12),
    'Complaint RC Data'!$B:$B, "&lt;=" &amp; $B$1
  ),
  IF(_xlpm.result = 0, "", _xlpm.result)
)</f>
        <v/>
      </c>
      <c r="H6" s="82" t="str">
        <f ca="1">_xlfn.LET(
  _xlpm.result,
  COUNTIFS(
    'Complaint RC Data'!$C:$C, $A6,
    'Complaint RC Data'!J:J, "x",
    'Complaint RC Data'!$B:$B, "&gt;=" &amp; EDATE($B$1, -12),
    'Complaint RC Data'!$B:$B, "&lt;=" &amp; $B$1
  ),
  IF(_xlpm.result = 0, "", _xlpm.result)
)</f>
        <v/>
      </c>
      <c r="I6" s="82" t="str">
        <f ca="1">_xlfn.LET(
  _xlpm.result,
  COUNTIFS(
    'Complaint RC Data'!$C:$C, $A6,
    'Complaint RC Data'!K:K, "x",
    'Complaint RC Data'!$B:$B, "&gt;=" &amp; EDATE($B$1, -12),
    'Complaint RC Data'!$B:$B, "&lt;=" &amp; $B$1
  ),
  IF(_xlpm.result = 0, "", _xlpm.result)
)</f>
        <v/>
      </c>
      <c r="J6" s="82" t="str">
        <f ca="1">_xlfn.LET(
  _xlpm.result,
  COUNTIFS(
    'Complaint RC Data'!$C:$C, $A6,
    'Complaint RC Data'!L:L, "x",
    'Complaint RC Data'!$B:$B, "&gt;=" &amp; EDATE($B$1, -12),
    'Complaint RC Data'!$B:$B, "&lt;=" &amp; $B$1
  ),
  IF(_xlpm.result = 0, "", _xlpm.result)
)</f>
        <v/>
      </c>
      <c r="K6" s="82" t="str">
        <f ca="1">_xlfn.LET(
  _xlpm.result,
  COUNTIFS(
    'Complaint RC Data'!$C:$C, $A6,
    'Complaint RC Data'!M:M, "x",
    'Complaint RC Data'!$B:$B, "&gt;=" &amp; EDATE($B$1, -12),
    'Complaint RC Data'!$B:$B, "&lt;=" &amp; $B$1
  ),
  IF(_xlpm.result = 0, "", _xlpm.result)
)</f>
        <v/>
      </c>
      <c r="L6" s="82" t="str">
        <f ca="1">_xlfn.LET(
  _xlpm.result,
  COUNTIFS(
    'Complaint RC Data'!$C:$C, $A6,
    'Complaint RC Data'!N:N, "x",
    'Complaint RC Data'!$B:$B, "&gt;=" &amp; EDATE($B$1, -12),
    'Complaint RC Data'!$B:$B, "&lt;=" &amp; $B$1
  ),
  IF(_xlpm.result = 0, "", _xlpm.result)
)</f>
        <v/>
      </c>
      <c r="M6" s="82" t="str">
        <f ca="1">_xlfn.LET(
  _xlpm.result,
  COUNTIFS(
    'Complaint RC Data'!$C:$C, $A6,
    'Complaint RC Data'!O:O, "x",
    'Complaint RC Data'!$B:$B, "&gt;=" &amp; EDATE($B$1, -12),
    'Complaint RC Data'!$B:$B, "&lt;=" &amp; $B$1
  ),
  IF(_xlpm.result = 0, "", _xlpm.result)
)</f>
        <v/>
      </c>
      <c r="N6" s="82" t="str">
        <f ca="1">_xlfn.LET(
  _xlpm.result,
  COUNTIFS(
    'Complaint RC Data'!$C:$C, $A6,
    'Complaint RC Data'!P:P, "x",
    'Complaint RC Data'!$B:$B, "&gt;=" &amp; EDATE($B$1, -12),
    'Complaint RC Data'!$B:$B, "&lt;=" &amp; $B$1
  ),
  IF(_xlpm.result = 0, "", _xlpm.result)
)</f>
        <v/>
      </c>
      <c r="O6" s="82" t="str">
        <f ca="1">_xlfn.LET(
  _xlpm.result,
  COUNTIFS(
    'Complaint RC Data'!$C:$C, $A6,
    'Complaint RC Data'!Q:Q, "x",
    'Complaint RC Data'!$B:$B, "&gt;=" &amp; EDATE($B$1, -12),
    'Complaint RC Data'!$B:$B, "&lt;=" &amp; $B$1
  ),
  IF(_xlpm.result = 0, "", _xlpm.result)
)</f>
        <v/>
      </c>
      <c r="P6" s="82" t="str">
        <f ca="1">_xlfn.LET(
  _xlpm.result,
  COUNTIFS(
    'Complaint RC Data'!$C:$C, $A6,
    'Complaint RC Data'!R:R, "x",
    'Complaint RC Data'!$B:$B, "&gt;=" &amp; EDATE($B$1, -12),
    'Complaint RC Data'!$B:$B, "&lt;=" &amp; $B$1
  ),
  IF(_xlpm.result = 0, "", _xlpm.result)
)</f>
        <v/>
      </c>
    </row>
    <row r="7" spans="1:16" x14ac:dyDescent="0.3">
      <c r="A7" s="1" t="s">
        <v>94</v>
      </c>
      <c r="B7" t="str">
        <f ca="1">_xlfn.LET(
  _xlpm.result,
  COUNTIFS(
    'Complaint RC Data'!$C:$C, $A7,
    'Complaint RC Data'!D:D, "x",
    'Complaint RC Data'!$B:$B, "&gt;=" &amp; EDATE($B$1, -12),
    'Complaint RC Data'!$B:$B, "&lt;=" &amp; $B$1
  ),
  IF(_xlpm.result = 0, "", _xlpm.result)
)</f>
        <v/>
      </c>
      <c r="C7" t="str">
        <f ca="1">_xlfn.LET(
  _xlpm.result,
  COUNTIFS(
    'Complaint RC Data'!$C:$C, $A7,
    'Complaint RC Data'!E:E, "x",
    'Complaint RC Data'!$B:$B, "&gt;=" &amp; EDATE($B$1, -12),
    'Complaint RC Data'!$B:$B, "&lt;=" &amp; $B$1
  ),
  IF(_xlpm.result = 0, "", _xlpm.result)
)</f>
        <v/>
      </c>
      <c r="D7" t="str">
        <f ca="1">_xlfn.LET(
  _xlpm.result,
  COUNTIFS(
    'Complaint RC Data'!$C:$C, $A7,
    'Complaint RC Data'!F:F, "x",
    'Complaint RC Data'!$B:$B, "&gt;=" &amp; EDATE($B$1, -12),
    'Complaint RC Data'!$B:$B, "&lt;=" &amp; $B$1
  ),
  IF(_xlpm.result = 0, "", _xlpm.result)
)</f>
        <v/>
      </c>
      <c r="E7" t="str">
        <f ca="1">_xlfn.LET(
  _xlpm.result,
  COUNTIFS(
    'Complaint RC Data'!$C:$C, $A7,
    'Complaint RC Data'!G:G, "x",
    'Complaint RC Data'!$B:$B, "&gt;=" &amp; EDATE($B$1, -12),
    'Complaint RC Data'!$B:$B, "&lt;=" &amp; $B$1
  ),
  IF(_xlpm.result = 0, "", _xlpm.result)
)</f>
        <v/>
      </c>
      <c r="F7" t="str">
        <f ca="1">_xlfn.LET(
  _xlpm.result,
  COUNTIFS(
    'Complaint RC Data'!$C:$C, $A7,
    'Complaint RC Data'!H:H, "x",
    'Complaint RC Data'!$B:$B, "&gt;=" &amp; EDATE($B$1, -12),
    'Complaint RC Data'!$B:$B, "&lt;=" &amp; $B$1
  ),
  IF(_xlpm.result = 0, "", _xlpm.result)
)</f>
        <v/>
      </c>
      <c r="G7" t="str">
        <f ca="1">_xlfn.LET(
  _xlpm.result,
  COUNTIFS(
    'Complaint RC Data'!$C:$C, $A7,
    'Complaint RC Data'!I:I, "x",
    'Complaint RC Data'!$B:$B, "&gt;=" &amp; EDATE($B$1, -12),
    'Complaint RC Data'!$B:$B, "&lt;=" &amp; $B$1
  ),
  IF(_xlpm.result = 0, "", _xlpm.result)
)</f>
        <v/>
      </c>
      <c r="H7" t="str">
        <f ca="1">_xlfn.LET(
  _xlpm.result,
  COUNTIFS(
    'Complaint RC Data'!$C:$C, $A7,
    'Complaint RC Data'!J:J, "x",
    'Complaint RC Data'!$B:$B, "&gt;=" &amp; EDATE($B$1, -12),
    'Complaint RC Data'!$B:$B, "&lt;=" &amp; $B$1
  ),
  IF(_xlpm.result = 0, "", _xlpm.result)
)</f>
        <v/>
      </c>
      <c r="I7" t="str">
        <f ca="1">_xlfn.LET(
  _xlpm.result,
  COUNTIFS(
    'Complaint RC Data'!$C:$C, $A7,
    'Complaint RC Data'!K:K, "x",
    'Complaint RC Data'!$B:$B, "&gt;=" &amp; EDATE($B$1, -12),
    'Complaint RC Data'!$B:$B, "&lt;=" &amp; $B$1
  ),
  IF(_xlpm.result = 0, "", _xlpm.result)
)</f>
        <v/>
      </c>
      <c r="J7" t="str">
        <f ca="1">_xlfn.LET(
  _xlpm.result,
  COUNTIFS(
    'Complaint RC Data'!$C:$C, $A7,
    'Complaint RC Data'!L:L, "x",
    'Complaint RC Data'!$B:$B, "&gt;=" &amp; EDATE($B$1, -12),
    'Complaint RC Data'!$B:$B, "&lt;=" &amp; $B$1
  ),
  IF(_xlpm.result = 0, "", _xlpm.result)
)</f>
        <v/>
      </c>
      <c r="K7" t="str">
        <f ca="1">_xlfn.LET(
  _xlpm.result,
  COUNTIFS(
    'Complaint RC Data'!$C:$C, $A7,
    'Complaint RC Data'!M:M, "x",
    'Complaint RC Data'!$B:$B, "&gt;=" &amp; EDATE($B$1, -12),
    'Complaint RC Data'!$B:$B, "&lt;=" &amp; $B$1
  ),
  IF(_xlpm.result = 0, "", _xlpm.result)
)</f>
        <v/>
      </c>
      <c r="L7" t="str">
        <f ca="1">_xlfn.LET(
  _xlpm.result,
  COUNTIFS(
    'Complaint RC Data'!$C:$C, $A7,
    'Complaint RC Data'!N:N, "x",
    'Complaint RC Data'!$B:$B, "&gt;=" &amp; EDATE($B$1, -12),
    'Complaint RC Data'!$B:$B, "&lt;=" &amp; $B$1
  ),
  IF(_xlpm.result = 0, "", _xlpm.result)
)</f>
        <v/>
      </c>
      <c r="M7" t="str">
        <f ca="1">_xlfn.LET(
  _xlpm.result,
  COUNTIFS(
    'Complaint RC Data'!$C:$C, $A7,
    'Complaint RC Data'!O:O, "x",
    'Complaint RC Data'!$B:$B, "&gt;=" &amp; EDATE($B$1, -12),
    'Complaint RC Data'!$B:$B, "&lt;=" &amp; $B$1
  ),
  IF(_xlpm.result = 0, "", _xlpm.result)
)</f>
        <v/>
      </c>
      <c r="N7" t="str">
        <f ca="1">_xlfn.LET(
  _xlpm.result,
  COUNTIFS(
    'Complaint RC Data'!$C:$C, $A7,
    'Complaint RC Data'!P:P, "x",
    'Complaint RC Data'!$B:$B, "&gt;=" &amp; EDATE($B$1, -12),
    'Complaint RC Data'!$B:$B, "&lt;=" &amp; $B$1
  ),
  IF(_xlpm.result = 0, "", _xlpm.result)
)</f>
        <v/>
      </c>
      <c r="O7" t="str">
        <f ca="1">_xlfn.LET(
  _xlpm.result,
  COUNTIFS(
    'Complaint RC Data'!$C:$C, $A7,
    'Complaint RC Data'!Q:Q, "x",
    'Complaint RC Data'!$B:$B, "&gt;=" &amp; EDATE($B$1, -12),
    'Complaint RC Data'!$B:$B, "&lt;=" &amp; $B$1
  ),
  IF(_xlpm.result = 0, "", _xlpm.result)
)</f>
        <v/>
      </c>
      <c r="P7" t="str">
        <f ca="1">_xlfn.LET(
  _xlpm.result,
  COUNTIFS(
    'Complaint RC Data'!$C:$C, $A7,
    'Complaint RC Data'!R:R, "x",
    'Complaint RC Data'!$B:$B, "&gt;=" &amp; EDATE($B$1, -12),
    'Complaint RC Data'!$B:$B, "&lt;=" &amp; $B$1
  ),
  IF(_xlpm.result = 0, "", _xlpm.result)
)</f>
        <v/>
      </c>
    </row>
    <row r="8" spans="1:16" s="82" customFormat="1" x14ac:dyDescent="0.3">
      <c r="A8" s="84" t="s">
        <v>258</v>
      </c>
      <c r="B8" s="82" t="str">
        <f ca="1">_xlfn.LET(
  _xlpm.result,
  COUNTIFS(
    'Complaint RC Data'!$C:$C, $A8,
    'Complaint RC Data'!D:D, "x",
    'Complaint RC Data'!$B:$B, "&gt;=" &amp; EDATE($B$1, -12),
    'Complaint RC Data'!$B:$B, "&lt;=" &amp; $B$1
  ),
  IF(_xlpm.result = 0, "", _xlpm.result)
)</f>
        <v/>
      </c>
      <c r="C8" s="82" t="str">
        <f ca="1">_xlfn.LET(
  _xlpm.result,
  COUNTIFS(
    'Complaint RC Data'!$C:$C, $A8,
    'Complaint RC Data'!E:E, "x",
    'Complaint RC Data'!$B:$B, "&gt;=" &amp; EDATE($B$1, -12),
    'Complaint RC Data'!$B:$B, "&lt;=" &amp; $B$1
  ),
  IF(_xlpm.result = 0, "", _xlpm.result)
)</f>
        <v/>
      </c>
      <c r="D8" s="82" t="str">
        <f ca="1">_xlfn.LET(
  _xlpm.result,
  COUNTIFS(
    'Complaint RC Data'!$C:$C, $A8,
    'Complaint RC Data'!F:F, "x",
    'Complaint RC Data'!$B:$B, "&gt;=" &amp; EDATE($B$1, -12),
    'Complaint RC Data'!$B:$B, "&lt;=" &amp; $B$1
  ),
  IF(_xlpm.result = 0, "", _xlpm.result)
)</f>
        <v/>
      </c>
      <c r="E8" s="82" t="str">
        <f ca="1">_xlfn.LET(
  _xlpm.result,
  COUNTIFS(
    'Complaint RC Data'!$C:$C, $A8,
    'Complaint RC Data'!G:G, "x",
    'Complaint RC Data'!$B:$B, "&gt;=" &amp; EDATE($B$1, -12),
    'Complaint RC Data'!$B:$B, "&lt;=" &amp; $B$1
  ),
  IF(_xlpm.result = 0, "", _xlpm.result)
)</f>
        <v/>
      </c>
      <c r="F8" s="82" t="str">
        <f ca="1">_xlfn.LET(
  _xlpm.result,
  COUNTIFS(
    'Complaint RC Data'!$C:$C, $A8,
    'Complaint RC Data'!H:H, "x",
    'Complaint RC Data'!$B:$B, "&gt;=" &amp; EDATE($B$1, -12),
    'Complaint RC Data'!$B:$B, "&lt;=" &amp; $B$1
  ),
  IF(_xlpm.result = 0, "", _xlpm.result)
)</f>
        <v/>
      </c>
      <c r="G8" s="82" t="str">
        <f ca="1">_xlfn.LET(
  _xlpm.result,
  COUNTIFS(
    'Complaint RC Data'!$C:$C, $A8,
    'Complaint RC Data'!I:I, "x",
    'Complaint RC Data'!$B:$B, "&gt;=" &amp; EDATE($B$1, -12),
    'Complaint RC Data'!$B:$B, "&lt;=" &amp; $B$1
  ),
  IF(_xlpm.result = 0, "", _xlpm.result)
)</f>
        <v/>
      </c>
      <c r="H8" s="82" t="str">
        <f ca="1">_xlfn.LET(
  _xlpm.result,
  COUNTIFS(
    'Complaint RC Data'!$C:$C, $A8,
    'Complaint RC Data'!J:J, "x",
    'Complaint RC Data'!$B:$B, "&gt;=" &amp; EDATE($B$1, -12),
    'Complaint RC Data'!$B:$B, "&lt;=" &amp; $B$1
  ),
  IF(_xlpm.result = 0, "", _xlpm.result)
)</f>
        <v/>
      </c>
      <c r="I8" s="82" t="str">
        <f ca="1">_xlfn.LET(
  _xlpm.result,
  COUNTIFS(
    'Complaint RC Data'!$C:$C, $A8,
    'Complaint RC Data'!K:K, "x",
    'Complaint RC Data'!$B:$B, "&gt;=" &amp; EDATE($B$1, -12),
    'Complaint RC Data'!$B:$B, "&lt;=" &amp; $B$1
  ),
  IF(_xlpm.result = 0, "", _xlpm.result)
)</f>
        <v/>
      </c>
      <c r="J8" s="82" t="str">
        <f ca="1">_xlfn.LET(
  _xlpm.result,
  COUNTIFS(
    'Complaint RC Data'!$C:$C, $A8,
    'Complaint RC Data'!L:L, "x",
    'Complaint RC Data'!$B:$B, "&gt;=" &amp; EDATE($B$1, -12),
    'Complaint RC Data'!$B:$B, "&lt;=" &amp; $B$1
  ),
  IF(_xlpm.result = 0, "", _xlpm.result)
)</f>
        <v/>
      </c>
      <c r="K8" s="82" t="str">
        <f ca="1">_xlfn.LET(
  _xlpm.result,
  COUNTIFS(
    'Complaint RC Data'!$C:$C, $A8,
    'Complaint RC Data'!M:M, "x",
    'Complaint RC Data'!$B:$B, "&gt;=" &amp; EDATE($B$1, -12),
    'Complaint RC Data'!$B:$B, "&lt;=" &amp; $B$1
  ),
  IF(_xlpm.result = 0, "", _xlpm.result)
)</f>
        <v/>
      </c>
      <c r="L8" s="82" t="str">
        <f ca="1">_xlfn.LET(
  _xlpm.result,
  COUNTIFS(
    'Complaint RC Data'!$C:$C, $A8,
    'Complaint RC Data'!N:N, "x",
    'Complaint RC Data'!$B:$B, "&gt;=" &amp; EDATE($B$1, -12),
    'Complaint RC Data'!$B:$B, "&lt;=" &amp; $B$1
  ),
  IF(_xlpm.result = 0, "", _xlpm.result)
)</f>
        <v/>
      </c>
      <c r="M8" s="82" t="str">
        <f ca="1">_xlfn.LET(
  _xlpm.result,
  COUNTIFS(
    'Complaint RC Data'!$C:$C, $A8,
    'Complaint RC Data'!O:O, "x",
    'Complaint RC Data'!$B:$B, "&gt;=" &amp; EDATE($B$1, -12),
    'Complaint RC Data'!$B:$B, "&lt;=" &amp; $B$1
  ),
  IF(_xlpm.result = 0, "", _xlpm.result)
)</f>
        <v/>
      </c>
      <c r="N8" s="82" t="str">
        <f ca="1">_xlfn.LET(
  _xlpm.result,
  COUNTIFS(
    'Complaint RC Data'!$C:$C, $A8,
    'Complaint RC Data'!P:P, "x",
    'Complaint RC Data'!$B:$B, "&gt;=" &amp; EDATE($B$1, -12),
    'Complaint RC Data'!$B:$B, "&lt;=" &amp; $B$1
  ),
  IF(_xlpm.result = 0, "", _xlpm.result)
)</f>
        <v/>
      </c>
      <c r="O8" s="82" t="str">
        <f ca="1">_xlfn.LET(
  _xlpm.result,
  COUNTIFS(
    'Complaint RC Data'!$C:$C, $A8,
    'Complaint RC Data'!Q:Q, "x",
    'Complaint RC Data'!$B:$B, "&gt;=" &amp; EDATE($B$1, -12),
    'Complaint RC Data'!$B:$B, "&lt;=" &amp; $B$1
  ),
  IF(_xlpm.result = 0, "", _xlpm.result)
)</f>
        <v/>
      </c>
      <c r="P8" s="82">
        <f ca="1">_xlfn.LET(
  _xlpm.result,
  COUNTIFS(
    'Complaint RC Data'!$C:$C, $A8,
    'Complaint RC Data'!R:R, "x",
    'Complaint RC Data'!$B:$B, "&gt;=" &amp; EDATE($B$1, -12),
    'Complaint RC Data'!$B:$B, "&lt;=" &amp; $B$1
  ),
  IF(_xlpm.result = 0, "", _xlpm.result)
)</f>
        <v>1</v>
      </c>
    </row>
    <row r="9" spans="1:16" x14ac:dyDescent="0.3">
      <c r="A9" s="1" t="s">
        <v>212</v>
      </c>
      <c r="B9" t="str">
        <f ca="1">_xlfn.LET(
  _xlpm.result,
  COUNTIFS(
    'Complaint RC Data'!$C:$C, $A9,
    'Complaint RC Data'!D:D, "x",
    'Complaint RC Data'!$B:$B, "&gt;=" &amp; EDATE($B$1, -12),
    'Complaint RC Data'!$B:$B, "&lt;=" &amp; $B$1
  ),
  IF(_xlpm.result = 0, "", _xlpm.result)
)</f>
        <v/>
      </c>
      <c r="C9" t="str">
        <f ca="1">_xlfn.LET(
  _xlpm.result,
  COUNTIFS(
    'Complaint RC Data'!$C:$C, $A9,
    'Complaint RC Data'!E:E, "x",
    'Complaint RC Data'!$B:$B, "&gt;=" &amp; EDATE($B$1, -12),
    'Complaint RC Data'!$B:$B, "&lt;=" &amp; $B$1
  ),
  IF(_xlpm.result = 0, "", _xlpm.result)
)</f>
        <v/>
      </c>
      <c r="D9" t="str">
        <f ca="1">_xlfn.LET(
  _xlpm.result,
  COUNTIFS(
    'Complaint RC Data'!$C:$C, $A9,
    'Complaint RC Data'!F:F, "x",
    'Complaint RC Data'!$B:$B, "&gt;=" &amp; EDATE($B$1, -12),
    'Complaint RC Data'!$B:$B, "&lt;=" &amp; $B$1
  ),
  IF(_xlpm.result = 0, "", _xlpm.result)
)</f>
        <v/>
      </c>
      <c r="E9" t="str">
        <f ca="1">_xlfn.LET(
  _xlpm.result,
  COUNTIFS(
    'Complaint RC Data'!$C:$C, $A9,
    'Complaint RC Data'!G:G, "x",
    'Complaint RC Data'!$B:$B, "&gt;=" &amp; EDATE($B$1, -12),
    'Complaint RC Data'!$B:$B, "&lt;=" &amp; $B$1
  ),
  IF(_xlpm.result = 0, "", _xlpm.result)
)</f>
        <v/>
      </c>
      <c r="F9" t="str">
        <f ca="1">_xlfn.LET(
  _xlpm.result,
  COUNTIFS(
    'Complaint RC Data'!$C:$C, $A9,
    'Complaint RC Data'!H:H, "x",
    'Complaint RC Data'!$B:$B, "&gt;=" &amp; EDATE($B$1, -12),
    'Complaint RC Data'!$B:$B, "&lt;=" &amp; $B$1
  ),
  IF(_xlpm.result = 0, "", _xlpm.result)
)</f>
        <v/>
      </c>
      <c r="G9" t="str">
        <f ca="1">_xlfn.LET(
  _xlpm.result,
  COUNTIFS(
    'Complaint RC Data'!$C:$C, $A9,
    'Complaint RC Data'!I:I, "x",
    'Complaint RC Data'!$B:$B, "&gt;=" &amp; EDATE($B$1, -12),
    'Complaint RC Data'!$B:$B, "&lt;=" &amp; $B$1
  ),
  IF(_xlpm.result = 0, "", _xlpm.result)
)</f>
        <v/>
      </c>
      <c r="H9" t="str">
        <f ca="1">_xlfn.LET(
  _xlpm.result,
  COUNTIFS(
    'Complaint RC Data'!$C:$C, $A9,
    'Complaint RC Data'!J:J, "x",
    'Complaint RC Data'!$B:$B, "&gt;=" &amp; EDATE($B$1, -12),
    'Complaint RC Data'!$B:$B, "&lt;=" &amp; $B$1
  ),
  IF(_xlpm.result = 0, "", _xlpm.result)
)</f>
        <v/>
      </c>
      <c r="I9" t="str">
        <f ca="1">_xlfn.LET(
  _xlpm.result,
  COUNTIFS(
    'Complaint RC Data'!$C:$C, $A9,
    'Complaint RC Data'!K:K, "x",
    'Complaint RC Data'!$B:$B, "&gt;=" &amp; EDATE($B$1, -12),
    'Complaint RC Data'!$B:$B, "&lt;=" &amp; $B$1
  ),
  IF(_xlpm.result = 0, "", _xlpm.result)
)</f>
        <v/>
      </c>
      <c r="J9" t="str">
        <f ca="1">_xlfn.LET(
  _xlpm.result,
  COUNTIFS(
    'Complaint RC Data'!$C:$C, $A9,
    'Complaint RC Data'!L:L, "x",
    'Complaint RC Data'!$B:$B, "&gt;=" &amp; EDATE($B$1, -12),
    'Complaint RC Data'!$B:$B, "&lt;=" &amp; $B$1
  ),
  IF(_xlpm.result = 0, "", _xlpm.result)
)</f>
        <v/>
      </c>
      <c r="K9" t="str">
        <f ca="1">_xlfn.LET(
  _xlpm.result,
  COUNTIFS(
    'Complaint RC Data'!$C:$C, $A9,
    'Complaint RC Data'!M:M, "x",
    'Complaint RC Data'!$B:$B, "&gt;=" &amp; EDATE($B$1, -12),
    'Complaint RC Data'!$B:$B, "&lt;=" &amp; $B$1
  ),
  IF(_xlpm.result = 0, "", _xlpm.result)
)</f>
        <v/>
      </c>
      <c r="L9" t="str">
        <f ca="1">_xlfn.LET(
  _xlpm.result,
  COUNTIFS(
    'Complaint RC Data'!$C:$C, $A9,
    'Complaint RC Data'!N:N, "x",
    'Complaint RC Data'!$B:$B, "&gt;=" &amp; EDATE($B$1, -12),
    'Complaint RC Data'!$B:$B, "&lt;=" &amp; $B$1
  ),
  IF(_xlpm.result = 0, "", _xlpm.result)
)</f>
        <v/>
      </c>
      <c r="M9" t="str">
        <f ca="1">_xlfn.LET(
  _xlpm.result,
  COUNTIFS(
    'Complaint RC Data'!$C:$C, $A9,
    'Complaint RC Data'!O:O, "x",
    'Complaint RC Data'!$B:$B, "&gt;=" &amp; EDATE($B$1, -12),
    'Complaint RC Data'!$B:$B, "&lt;=" &amp; $B$1
  ),
  IF(_xlpm.result = 0, "", _xlpm.result)
)</f>
        <v/>
      </c>
      <c r="N9" t="str">
        <f ca="1">_xlfn.LET(
  _xlpm.result,
  COUNTIFS(
    'Complaint RC Data'!$C:$C, $A9,
    'Complaint RC Data'!P:P, "x",
    'Complaint RC Data'!$B:$B, "&gt;=" &amp; EDATE($B$1, -12),
    'Complaint RC Data'!$B:$B, "&lt;=" &amp; $B$1
  ),
  IF(_xlpm.result = 0, "", _xlpm.result)
)</f>
        <v/>
      </c>
      <c r="O9" t="str">
        <f ca="1">_xlfn.LET(
  _xlpm.result,
  COUNTIFS(
    'Complaint RC Data'!$C:$C, $A9,
    'Complaint RC Data'!Q:Q, "x",
    'Complaint RC Data'!$B:$B, "&gt;=" &amp; EDATE($B$1, -12),
    'Complaint RC Data'!$B:$B, "&lt;=" &amp; $B$1
  ),
  IF(_xlpm.result = 0, "", _xlpm.result)
)</f>
        <v/>
      </c>
      <c r="P9" t="str">
        <f ca="1">_xlfn.LET(
  _xlpm.result,
  COUNTIFS(
    'Complaint RC Data'!$C:$C, $A9,
    'Complaint RC Data'!R:R, "x",
    'Complaint RC Data'!$B:$B, "&gt;=" &amp; EDATE($B$1, -12),
    'Complaint RC Data'!$B:$B, "&lt;=" &amp; $B$1
  ),
  IF(_xlpm.result = 0, "", _xlpm.result)
)</f>
        <v/>
      </c>
    </row>
    <row r="10" spans="1:16" s="82" customFormat="1" x14ac:dyDescent="0.3">
      <c r="A10" s="84" t="s">
        <v>97</v>
      </c>
      <c r="B10" s="82" t="str">
        <f ca="1">_xlfn.LET(
  _xlpm.result,
  COUNTIFS(
    'Complaint RC Data'!$C:$C, $A10,
    'Complaint RC Data'!D:D, "x",
    'Complaint RC Data'!$B:$B, "&gt;=" &amp; EDATE($B$1, -12),
    'Complaint RC Data'!$B:$B, "&lt;=" &amp; $B$1
  ),
  IF(_xlpm.result = 0, "", _xlpm.result)
)</f>
        <v/>
      </c>
      <c r="C10" s="82" t="str">
        <f ca="1">_xlfn.LET(
  _xlpm.result,
  COUNTIFS(
    'Complaint RC Data'!$C:$C, $A10,
    'Complaint RC Data'!E:E, "x",
    'Complaint RC Data'!$B:$B, "&gt;=" &amp; EDATE($B$1, -12),
    'Complaint RC Data'!$B:$B, "&lt;=" &amp; $B$1
  ),
  IF(_xlpm.result = 0, "", _xlpm.result)
)</f>
        <v/>
      </c>
      <c r="D10" s="82" t="str">
        <f ca="1">_xlfn.LET(
  _xlpm.result,
  COUNTIFS(
    'Complaint RC Data'!$C:$C, $A10,
    'Complaint RC Data'!F:F, "x",
    'Complaint RC Data'!$B:$B, "&gt;=" &amp; EDATE($B$1, -12),
    'Complaint RC Data'!$B:$B, "&lt;=" &amp; $B$1
  ),
  IF(_xlpm.result = 0, "", _xlpm.result)
)</f>
        <v/>
      </c>
      <c r="E10" s="82" t="str">
        <f ca="1">_xlfn.LET(
  _xlpm.result,
  COUNTIFS(
    'Complaint RC Data'!$C:$C, $A10,
    'Complaint RC Data'!G:G, "x",
    'Complaint RC Data'!$B:$B, "&gt;=" &amp; EDATE($B$1, -12),
    'Complaint RC Data'!$B:$B, "&lt;=" &amp; $B$1
  ),
  IF(_xlpm.result = 0, "", _xlpm.result)
)</f>
        <v/>
      </c>
      <c r="F10" s="82" t="str">
        <f ca="1">_xlfn.LET(
  _xlpm.result,
  COUNTIFS(
    'Complaint RC Data'!$C:$C, $A10,
    'Complaint RC Data'!H:H, "x",
    'Complaint RC Data'!$B:$B, "&gt;=" &amp; EDATE($B$1, -12),
    'Complaint RC Data'!$B:$B, "&lt;=" &amp; $B$1
  ),
  IF(_xlpm.result = 0, "", _xlpm.result)
)</f>
        <v/>
      </c>
      <c r="G10" s="82" t="str">
        <f ca="1">_xlfn.LET(
  _xlpm.result,
  COUNTIFS(
    'Complaint RC Data'!$C:$C, $A10,
    'Complaint RC Data'!I:I, "x",
    'Complaint RC Data'!$B:$B, "&gt;=" &amp; EDATE($B$1, -12),
    'Complaint RC Data'!$B:$B, "&lt;=" &amp; $B$1
  ),
  IF(_xlpm.result = 0, "", _xlpm.result)
)</f>
        <v/>
      </c>
      <c r="H10" s="82" t="str">
        <f ca="1">_xlfn.LET(
  _xlpm.result,
  COUNTIFS(
    'Complaint RC Data'!$C:$C, $A10,
    'Complaint RC Data'!J:J, "x",
    'Complaint RC Data'!$B:$B, "&gt;=" &amp; EDATE($B$1, -12),
    'Complaint RC Data'!$B:$B, "&lt;=" &amp; $B$1
  ),
  IF(_xlpm.result = 0, "", _xlpm.result)
)</f>
        <v/>
      </c>
      <c r="I10" s="82" t="str">
        <f ca="1">_xlfn.LET(
  _xlpm.result,
  COUNTIFS(
    'Complaint RC Data'!$C:$C, $A10,
    'Complaint RC Data'!K:K, "x",
    'Complaint RC Data'!$B:$B, "&gt;=" &amp; EDATE($B$1, -12),
    'Complaint RC Data'!$B:$B, "&lt;=" &amp; $B$1
  ),
  IF(_xlpm.result = 0, "", _xlpm.result)
)</f>
        <v/>
      </c>
      <c r="J10" s="82" t="str">
        <f ca="1">_xlfn.LET(
  _xlpm.result,
  COUNTIFS(
    'Complaint RC Data'!$C:$C, $A10,
    'Complaint RC Data'!L:L, "x",
    'Complaint RC Data'!$B:$B, "&gt;=" &amp; EDATE($B$1, -12),
    'Complaint RC Data'!$B:$B, "&lt;=" &amp; $B$1
  ),
  IF(_xlpm.result = 0, "", _xlpm.result)
)</f>
        <v/>
      </c>
      <c r="K10" s="82" t="str">
        <f ca="1">_xlfn.LET(
  _xlpm.result,
  COUNTIFS(
    'Complaint RC Data'!$C:$C, $A10,
    'Complaint RC Data'!M:M, "x",
    'Complaint RC Data'!$B:$B, "&gt;=" &amp; EDATE($B$1, -12),
    'Complaint RC Data'!$B:$B, "&lt;=" &amp; $B$1
  ),
  IF(_xlpm.result = 0, "", _xlpm.result)
)</f>
        <v/>
      </c>
      <c r="L10" s="82" t="str">
        <f ca="1">_xlfn.LET(
  _xlpm.result,
  COUNTIFS(
    'Complaint RC Data'!$C:$C, $A10,
    'Complaint RC Data'!N:N, "x",
    'Complaint RC Data'!$B:$B, "&gt;=" &amp; EDATE($B$1, -12),
    'Complaint RC Data'!$B:$B, "&lt;=" &amp; $B$1
  ),
  IF(_xlpm.result = 0, "", _xlpm.result)
)</f>
        <v/>
      </c>
      <c r="M10" s="82" t="str">
        <f ca="1">_xlfn.LET(
  _xlpm.result,
  COUNTIFS(
    'Complaint RC Data'!$C:$C, $A10,
    'Complaint RC Data'!O:O, "x",
    'Complaint RC Data'!$B:$B, "&gt;=" &amp; EDATE($B$1, -12),
    'Complaint RC Data'!$B:$B, "&lt;=" &amp; $B$1
  ),
  IF(_xlpm.result = 0, "", _xlpm.result)
)</f>
        <v/>
      </c>
      <c r="N10" s="82" t="str">
        <f ca="1">_xlfn.LET(
  _xlpm.result,
  COUNTIFS(
    'Complaint RC Data'!$C:$C, $A10,
    'Complaint RC Data'!P:P, "x",
    'Complaint RC Data'!$B:$B, "&gt;=" &amp; EDATE($B$1, -12),
    'Complaint RC Data'!$B:$B, "&lt;=" &amp; $B$1
  ),
  IF(_xlpm.result = 0, "", _xlpm.result)
)</f>
        <v/>
      </c>
      <c r="O10" s="82" t="str">
        <f ca="1">_xlfn.LET(
  _xlpm.result,
  COUNTIFS(
    'Complaint RC Data'!$C:$C, $A10,
    'Complaint RC Data'!Q:Q, "x",
    'Complaint RC Data'!$B:$B, "&gt;=" &amp; EDATE($B$1, -12),
    'Complaint RC Data'!$B:$B, "&lt;=" &amp; $B$1
  ),
  IF(_xlpm.result = 0, "", _xlpm.result)
)</f>
        <v/>
      </c>
      <c r="P10" s="82" t="str">
        <f ca="1">_xlfn.LET(
  _xlpm.result,
  COUNTIFS(
    'Complaint RC Data'!$C:$C, $A10,
    'Complaint RC Data'!R:R, "x",
    'Complaint RC Data'!$B:$B, "&gt;=" &amp; EDATE($B$1, -12),
    'Complaint RC Data'!$B:$B, "&lt;=" &amp; $B$1
  ),
  IF(_xlpm.result = 0, "", _xlpm.result)
)</f>
        <v/>
      </c>
    </row>
    <row r="11" spans="1:16" x14ac:dyDescent="0.3">
      <c r="A11" s="1" t="s">
        <v>287</v>
      </c>
      <c r="B11" t="str">
        <f ca="1">_xlfn.LET(
  _xlpm.result,
  COUNTIFS(
    'Complaint RC Data'!$C:$C, $A11,
    'Complaint RC Data'!D:D, "x",
    'Complaint RC Data'!$B:$B, "&gt;=" &amp; EDATE($B$1, -12),
    'Complaint RC Data'!$B:$B, "&lt;=" &amp; $B$1
  ),
  IF(_xlpm.result = 0, "", _xlpm.result)
)</f>
        <v/>
      </c>
      <c r="C11" t="str">
        <f ca="1">_xlfn.LET(
  _xlpm.result,
  COUNTIFS(
    'Complaint RC Data'!$C:$C, $A11,
    'Complaint RC Data'!E:E, "x",
    'Complaint RC Data'!$B:$B, "&gt;=" &amp; EDATE($B$1, -12),
    'Complaint RC Data'!$B:$B, "&lt;=" &amp; $B$1
  ),
  IF(_xlpm.result = 0, "", _xlpm.result)
)</f>
        <v/>
      </c>
      <c r="D11" t="str">
        <f ca="1">_xlfn.LET(
  _xlpm.result,
  COUNTIFS(
    'Complaint RC Data'!$C:$C, $A11,
    'Complaint RC Data'!F:F, "x",
    'Complaint RC Data'!$B:$B, "&gt;=" &amp; EDATE($B$1, -12),
    'Complaint RC Data'!$B:$B, "&lt;=" &amp; $B$1
  ),
  IF(_xlpm.result = 0, "", _xlpm.result)
)</f>
        <v/>
      </c>
      <c r="E11" t="str">
        <f ca="1">_xlfn.LET(
  _xlpm.result,
  COUNTIFS(
    'Complaint RC Data'!$C:$C, $A11,
    'Complaint RC Data'!G:G, "x",
    'Complaint RC Data'!$B:$B, "&gt;=" &amp; EDATE($B$1, -12),
    'Complaint RC Data'!$B:$B, "&lt;=" &amp; $B$1
  ),
  IF(_xlpm.result = 0, "", _xlpm.result)
)</f>
        <v/>
      </c>
      <c r="F11" t="str">
        <f ca="1">_xlfn.LET(
  _xlpm.result,
  COUNTIFS(
    'Complaint RC Data'!$C:$C, $A11,
    'Complaint RC Data'!H:H, "x",
    'Complaint RC Data'!$B:$B, "&gt;=" &amp; EDATE($B$1, -12),
    'Complaint RC Data'!$B:$B, "&lt;=" &amp; $B$1
  ),
  IF(_xlpm.result = 0, "", _xlpm.result)
)</f>
        <v/>
      </c>
      <c r="G11" t="str">
        <f ca="1">_xlfn.LET(
  _xlpm.result,
  COUNTIFS(
    'Complaint RC Data'!$C:$C, $A11,
    'Complaint RC Data'!I:I, "x",
    'Complaint RC Data'!$B:$B, "&gt;=" &amp; EDATE($B$1, -12),
    'Complaint RC Data'!$B:$B, "&lt;=" &amp; $B$1
  ),
  IF(_xlpm.result = 0, "", _xlpm.result)
)</f>
        <v/>
      </c>
      <c r="H11" t="str">
        <f ca="1">_xlfn.LET(
  _xlpm.result,
  COUNTIFS(
    'Complaint RC Data'!$C:$C, $A11,
    'Complaint RC Data'!J:J, "x",
    'Complaint RC Data'!$B:$B, "&gt;=" &amp; EDATE($B$1, -12),
    'Complaint RC Data'!$B:$B, "&lt;=" &amp; $B$1
  ),
  IF(_xlpm.result = 0, "", _xlpm.result)
)</f>
        <v/>
      </c>
      <c r="I11" t="str">
        <f ca="1">_xlfn.LET(
  _xlpm.result,
  COUNTIFS(
    'Complaint RC Data'!$C:$C, $A11,
    'Complaint RC Data'!K:K, "x",
    'Complaint RC Data'!$B:$B, "&gt;=" &amp; EDATE($B$1, -12),
    'Complaint RC Data'!$B:$B, "&lt;=" &amp; $B$1
  ),
  IF(_xlpm.result = 0, "", _xlpm.result)
)</f>
        <v/>
      </c>
      <c r="J11" t="str">
        <f ca="1">_xlfn.LET(
  _xlpm.result,
  COUNTIFS(
    'Complaint RC Data'!$C:$C, $A11,
    'Complaint RC Data'!L:L, "x",
    'Complaint RC Data'!$B:$B, "&gt;=" &amp; EDATE($B$1, -12),
    'Complaint RC Data'!$B:$B, "&lt;=" &amp; $B$1
  ),
  IF(_xlpm.result = 0, "", _xlpm.result)
)</f>
        <v/>
      </c>
      <c r="K11" t="str">
        <f ca="1">_xlfn.LET(
  _xlpm.result,
  COUNTIFS(
    'Complaint RC Data'!$C:$C, $A11,
    'Complaint RC Data'!M:M, "x",
    'Complaint RC Data'!$B:$B, "&gt;=" &amp; EDATE($B$1, -12),
    'Complaint RC Data'!$B:$B, "&lt;=" &amp; $B$1
  ),
  IF(_xlpm.result = 0, "", _xlpm.result)
)</f>
        <v/>
      </c>
      <c r="L11" t="str">
        <f ca="1">_xlfn.LET(
  _xlpm.result,
  COUNTIFS(
    'Complaint RC Data'!$C:$C, $A11,
    'Complaint RC Data'!N:N, "x",
    'Complaint RC Data'!$B:$B, "&gt;=" &amp; EDATE($B$1, -12),
    'Complaint RC Data'!$B:$B, "&lt;=" &amp; $B$1
  ),
  IF(_xlpm.result = 0, "", _xlpm.result)
)</f>
        <v/>
      </c>
      <c r="M11" t="str">
        <f ca="1">_xlfn.LET(
  _xlpm.result,
  COUNTIFS(
    'Complaint RC Data'!$C:$C, $A11,
    'Complaint RC Data'!O:O, "x",
    'Complaint RC Data'!$B:$B, "&gt;=" &amp; EDATE($B$1, -12),
    'Complaint RC Data'!$B:$B, "&lt;=" &amp; $B$1
  ),
  IF(_xlpm.result = 0, "", _xlpm.result)
)</f>
        <v/>
      </c>
      <c r="N11" t="str">
        <f ca="1">_xlfn.LET(
  _xlpm.result,
  COUNTIFS(
    'Complaint RC Data'!$C:$C, $A11,
    'Complaint RC Data'!P:P, "x",
    'Complaint RC Data'!$B:$B, "&gt;=" &amp; EDATE($B$1, -12),
    'Complaint RC Data'!$B:$B, "&lt;=" &amp; $B$1
  ),
  IF(_xlpm.result = 0, "", _xlpm.result)
)</f>
        <v/>
      </c>
      <c r="O11" t="str">
        <f ca="1">_xlfn.LET(
  _xlpm.result,
  COUNTIFS(
    'Complaint RC Data'!$C:$C, $A11,
    'Complaint RC Data'!Q:Q, "x",
    'Complaint RC Data'!$B:$B, "&gt;=" &amp; EDATE($B$1, -12),
    'Complaint RC Data'!$B:$B, "&lt;=" &amp; $B$1
  ),
  IF(_xlpm.result = 0, "", _xlpm.result)
)</f>
        <v/>
      </c>
      <c r="P11" t="str">
        <f ca="1">_xlfn.LET(
  _xlpm.result,
  COUNTIFS(
    'Complaint RC Data'!$C:$C, $A11,
    'Complaint RC Data'!R:R, "x",
    'Complaint RC Data'!$B:$B, "&gt;=" &amp; EDATE($B$1, -12),
    'Complaint RC Data'!$B:$B, "&lt;=" &amp; $B$1
  ),
  IF(_xlpm.result = 0, "", _xlpm.result)
)</f>
        <v/>
      </c>
    </row>
    <row r="12" spans="1:16" s="82" customFormat="1" x14ac:dyDescent="0.3">
      <c r="A12" s="84" t="s">
        <v>98</v>
      </c>
      <c r="B12" s="82" t="str">
        <f ca="1">_xlfn.LET(
  _xlpm.result,
  COUNTIFS(
    'Complaint RC Data'!$C:$C, $A12,
    'Complaint RC Data'!D:D, "x",
    'Complaint RC Data'!$B:$B, "&gt;=" &amp; EDATE($B$1, -12),
    'Complaint RC Data'!$B:$B, "&lt;=" &amp; $B$1
  ),
  IF(_xlpm.result = 0, "", _xlpm.result)
)</f>
        <v/>
      </c>
      <c r="C12" s="82" t="str">
        <f ca="1">_xlfn.LET(
  _xlpm.result,
  COUNTIFS(
    'Complaint RC Data'!$C:$C, $A12,
    'Complaint RC Data'!E:E, "x",
    'Complaint RC Data'!$B:$B, "&gt;=" &amp; EDATE($B$1, -12),
    'Complaint RC Data'!$B:$B, "&lt;=" &amp; $B$1
  ),
  IF(_xlpm.result = 0, "", _xlpm.result)
)</f>
        <v/>
      </c>
      <c r="D12" s="82">
        <f ca="1">_xlfn.LET(
  _xlpm.result,
  COUNTIFS(
    'Complaint RC Data'!$C:$C, $A12,
    'Complaint RC Data'!F:F, "x",
    'Complaint RC Data'!$B:$B, "&gt;=" &amp; EDATE($B$1, -12),
    'Complaint RC Data'!$B:$B, "&lt;=" &amp; $B$1
  ),
  IF(_xlpm.result = 0, "", _xlpm.result)
)</f>
        <v>1</v>
      </c>
      <c r="E12" s="82" t="str">
        <f ca="1">_xlfn.LET(
  _xlpm.result,
  COUNTIFS(
    'Complaint RC Data'!$C:$C, $A12,
    'Complaint RC Data'!G:G, "x",
    'Complaint RC Data'!$B:$B, "&gt;=" &amp; EDATE($B$1, -12),
    'Complaint RC Data'!$B:$B, "&lt;=" &amp; $B$1
  ),
  IF(_xlpm.result = 0, "", _xlpm.result)
)</f>
        <v/>
      </c>
      <c r="F12" s="82">
        <f ca="1">_xlfn.LET(
  _xlpm.result,
  COUNTIFS(
    'Complaint RC Data'!$C:$C, $A12,
    'Complaint RC Data'!H:H, "x",
    'Complaint RC Data'!$B:$B, "&gt;=" &amp; EDATE($B$1, -12),
    'Complaint RC Data'!$B:$B, "&lt;=" &amp; $B$1
  ),
  IF(_xlpm.result = 0, "", _xlpm.result)
)</f>
        <v>1</v>
      </c>
      <c r="G12" s="82" t="str">
        <f ca="1">_xlfn.LET(
  _xlpm.result,
  COUNTIFS(
    'Complaint RC Data'!$C:$C, $A12,
    'Complaint RC Data'!I:I, "x",
    'Complaint RC Data'!$B:$B, "&gt;=" &amp; EDATE($B$1, -12),
    'Complaint RC Data'!$B:$B, "&lt;=" &amp; $B$1
  ),
  IF(_xlpm.result = 0, "", _xlpm.result)
)</f>
        <v/>
      </c>
      <c r="H12" s="82" t="str">
        <f ca="1">_xlfn.LET(
  _xlpm.result,
  COUNTIFS(
    'Complaint RC Data'!$C:$C, $A12,
    'Complaint RC Data'!J:J, "x",
    'Complaint RC Data'!$B:$B, "&gt;=" &amp; EDATE($B$1, -12),
    'Complaint RC Data'!$B:$B, "&lt;=" &amp; $B$1
  ),
  IF(_xlpm.result = 0, "", _xlpm.result)
)</f>
        <v/>
      </c>
      <c r="I12" s="82" t="str">
        <f ca="1">_xlfn.LET(
  _xlpm.result,
  COUNTIFS(
    'Complaint RC Data'!$C:$C, $A12,
    'Complaint RC Data'!K:K, "x",
    'Complaint RC Data'!$B:$B, "&gt;=" &amp; EDATE($B$1, -12),
    'Complaint RC Data'!$B:$B, "&lt;=" &amp; $B$1
  ),
  IF(_xlpm.result = 0, "", _xlpm.result)
)</f>
        <v/>
      </c>
      <c r="J12" s="82" t="str">
        <f ca="1">_xlfn.LET(
  _xlpm.result,
  COUNTIFS(
    'Complaint RC Data'!$C:$C, $A12,
    'Complaint RC Data'!L:L, "x",
    'Complaint RC Data'!$B:$B, "&gt;=" &amp; EDATE($B$1, -12),
    'Complaint RC Data'!$B:$B, "&lt;=" &amp; $B$1
  ),
  IF(_xlpm.result = 0, "", _xlpm.result)
)</f>
        <v/>
      </c>
      <c r="K12" s="82" t="str">
        <f ca="1">_xlfn.LET(
  _xlpm.result,
  COUNTIFS(
    'Complaint RC Data'!$C:$C, $A12,
    'Complaint RC Data'!M:M, "x",
    'Complaint RC Data'!$B:$B, "&gt;=" &amp; EDATE($B$1, -12),
    'Complaint RC Data'!$B:$B, "&lt;=" &amp; $B$1
  ),
  IF(_xlpm.result = 0, "", _xlpm.result)
)</f>
        <v/>
      </c>
      <c r="L12" s="82" t="str">
        <f ca="1">_xlfn.LET(
  _xlpm.result,
  COUNTIFS(
    'Complaint RC Data'!$C:$C, $A12,
    'Complaint RC Data'!N:N, "x",
    'Complaint RC Data'!$B:$B, "&gt;=" &amp; EDATE($B$1, -12),
    'Complaint RC Data'!$B:$B, "&lt;=" &amp; $B$1
  ),
  IF(_xlpm.result = 0, "", _xlpm.result)
)</f>
        <v/>
      </c>
      <c r="M12" s="82" t="str">
        <f ca="1">_xlfn.LET(
  _xlpm.result,
  COUNTIFS(
    'Complaint RC Data'!$C:$C, $A12,
    'Complaint RC Data'!O:O, "x",
    'Complaint RC Data'!$B:$B, "&gt;=" &amp; EDATE($B$1, -12),
    'Complaint RC Data'!$B:$B, "&lt;=" &amp; $B$1
  ),
  IF(_xlpm.result = 0, "", _xlpm.result)
)</f>
        <v/>
      </c>
      <c r="N12" s="82">
        <f ca="1">_xlfn.LET(
  _xlpm.result,
  COUNTIFS(
    'Complaint RC Data'!$C:$C, $A12,
    'Complaint RC Data'!P:P, "x",
    'Complaint RC Data'!$B:$B, "&gt;=" &amp; EDATE($B$1, -12),
    'Complaint RC Data'!$B:$B, "&lt;=" &amp; $B$1
  ),
  IF(_xlpm.result = 0, "", _xlpm.result)
)</f>
        <v>1</v>
      </c>
      <c r="O12" s="82" t="str">
        <f ca="1">_xlfn.LET(
  _xlpm.result,
  COUNTIFS(
    'Complaint RC Data'!$C:$C, $A12,
    'Complaint RC Data'!Q:Q, "x",
    'Complaint RC Data'!$B:$B, "&gt;=" &amp; EDATE($B$1, -12),
    'Complaint RC Data'!$B:$B, "&lt;=" &amp; $B$1
  ),
  IF(_xlpm.result = 0, "", _xlpm.result)
)</f>
        <v/>
      </c>
      <c r="P12" s="82" t="str">
        <f ca="1">_xlfn.LET(
  _xlpm.result,
  COUNTIFS(
    'Complaint RC Data'!$C:$C, $A12,
    'Complaint RC Data'!R:R, "x",
    'Complaint RC Data'!$B:$B, "&gt;=" &amp; EDATE($B$1, -12),
    'Complaint RC Data'!$B:$B, "&lt;=" &amp; $B$1
  ),
  IF(_xlpm.result = 0, "", _xlpm.result)
)</f>
        <v/>
      </c>
    </row>
    <row r="13" spans="1:16" x14ac:dyDescent="0.3">
      <c r="A13" s="1" t="s">
        <v>119</v>
      </c>
      <c r="B13" t="str">
        <f ca="1">_xlfn.LET(
  _xlpm.result,
  COUNTIFS(
    'Complaint RC Data'!$C:$C, $A13,
    'Complaint RC Data'!D:D, "x",
    'Complaint RC Data'!$B:$B, "&gt;=" &amp; EDATE($B$1, -12),
    'Complaint RC Data'!$B:$B, "&lt;=" &amp; $B$1
  ),
  IF(_xlpm.result = 0, "", _xlpm.result)
)</f>
        <v/>
      </c>
      <c r="C13" t="str">
        <f ca="1">_xlfn.LET(
  _xlpm.result,
  COUNTIFS(
    'Complaint RC Data'!$C:$C, $A13,
    'Complaint RC Data'!E:E, "x",
    'Complaint RC Data'!$B:$B, "&gt;=" &amp; EDATE($B$1, -12),
    'Complaint RC Data'!$B:$B, "&lt;=" &amp; $B$1
  ),
  IF(_xlpm.result = 0, "", _xlpm.result)
)</f>
        <v/>
      </c>
      <c r="D13" t="str">
        <f ca="1">_xlfn.LET(
  _xlpm.result,
  COUNTIFS(
    'Complaint RC Data'!$C:$C, $A13,
    'Complaint RC Data'!F:F, "x",
    'Complaint RC Data'!$B:$B, "&gt;=" &amp; EDATE($B$1, -12),
    'Complaint RC Data'!$B:$B, "&lt;=" &amp; $B$1
  ),
  IF(_xlpm.result = 0, "", _xlpm.result)
)</f>
        <v/>
      </c>
      <c r="E13" t="str">
        <f ca="1">_xlfn.LET(
  _xlpm.result,
  COUNTIFS(
    'Complaint RC Data'!$C:$C, $A13,
    'Complaint RC Data'!G:G, "x",
    'Complaint RC Data'!$B:$B, "&gt;=" &amp; EDATE($B$1, -12),
    'Complaint RC Data'!$B:$B, "&lt;=" &amp; $B$1
  ),
  IF(_xlpm.result = 0, "", _xlpm.result)
)</f>
        <v/>
      </c>
      <c r="F13" t="str">
        <f ca="1">_xlfn.LET(
  _xlpm.result,
  COUNTIFS(
    'Complaint RC Data'!$C:$C, $A13,
    'Complaint RC Data'!H:H, "x",
    'Complaint RC Data'!$B:$B, "&gt;=" &amp; EDATE($B$1, -12),
    'Complaint RC Data'!$B:$B, "&lt;=" &amp; $B$1
  ),
  IF(_xlpm.result = 0, "", _xlpm.result)
)</f>
        <v/>
      </c>
      <c r="G13" t="str">
        <f ca="1">_xlfn.LET(
  _xlpm.result,
  COUNTIFS(
    'Complaint RC Data'!$C:$C, $A13,
    'Complaint RC Data'!I:I, "x",
    'Complaint RC Data'!$B:$B, "&gt;=" &amp; EDATE($B$1, -12),
    'Complaint RC Data'!$B:$B, "&lt;=" &amp; $B$1
  ),
  IF(_xlpm.result = 0, "", _xlpm.result)
)</f>
        <v/>
      </c>
      <c r="H13" t="str">
        <f ca="1">_xlfn.LET(
  _xlpm.result,
  COUNTIFS(
    'Complaint RC Data'!$C:$C, $A13,
    'Complaint RC Data'!J:J, "x",
    'Complaint RC Data'!$B:$B, "&gt;=" &amp; EDATE($B$1, -12),
    'Complaint RC Data'!$B:$B, "&lt;=" &amp; $B$1
  ),
  IF(_xlpm.result = 0, "", _xlpm.result)
)</f>
        <v/>
      </c>
      <c r="I13" t="str">
        <f ca="1">_xlfn.LET(
  _xlpm.result,
  COUNTIFS(
    'Complaint RC Data'!$C:$C, $A13,
    'Complaint RC Data'!K:K, "x",
    'Complaint RC Data'!$B:$B, "&gt;=" &amp; EDATE($B$1, -12),
    'Complaint RC Data'!$B:$B, "&lt;=" &amp; $B$1
  ),
  IF(_xlpm.result = 0, "", _xlpm.result)
)</f>
        <v/>
      </c>
      <c r="J13" t="str">
        <f ca="1">_xlfn.LET(
  _xlpm.result,
  COUNTIFS(
    'Complaint RC Data'!$C:$C, $A13,
    'Complaint RC Data'!L:L, "x",
    'Complaint RC Data'!$B:$B, "&gt;=" &amp; EDATE($B$1, -12),
    'Complaint RC Data'!$B:$B, "&lt;=" &amp; $B$1
  ),
  IF(_xlpm.result = 0, "", _xlpm.result)
)</f>
        <v/>
      </c>
      <c r="K13" t="str">
        <f ca="1">_xlfn.LET(
  _xlpm.result,
  COUNTIFS(
    'Complaint RC Data'!$C:$C, $A13,
    'Complaint RC Data'!M:M, "x",
    'Complaint RC Data'!$B:$B, "&gt;=" &amp; EDATE($B$1, -12),
    'Complaint RC Data'!$B:$B, "&lt;=" &amp; $B$1
  ),
  IF(_xlpm.result = 0, "", _xlpm.result)
)</f>
        <v/>
      </c>
      <c r="L13" t="str">
        <f ca="1">_xlfn.LET(
  _xlpm.result,
  COUNTIFS(
    'Complaint RC Data'!$C:$C, $A13,
    'Complaint RC Data'!N:N, "x",
    'Complaint RC Data'!$B:$B, "&gt;=" &amp; EDATE($B$1, -12),
    'Complaint RC Data'!$B:$B, "&lt;=" &amp; $B$1
  ),
  IF(_xlpm.result = 0, "", _xlpm.result)
)</f>
        <v/>
      </c>
      <c r="M13" t="str">
        <f ca="1">_xlfn.LET(
  _xlpm.result,
  COUNTIFS(
    'Complaint RC Data'!$C:$C, $A13,
    'Complaint RC Data'!O:O, "x",
    'Complaint RC Data'!$B:$B, "&gt;=" &amp; EDATE($B$1, -12),
    'Complaint RC Data'!$B:$B, "&lt;=" &amp; $B$1
  ),
  IF(_xlpm.result = 0, "", _xlpm.result)
)</f>
        <v/>
      </c>
      <c r="N13" t="str">
        <f ca="1">_xlfn.LET(
  _xlpm.result,
  COUNTIFS(
    'Complaint RC Data'!$C:$C, $A13,
    'Complaint RC Data'!P:P, "x",
    'Complaint RC Data'!$B:$B, "&gt;=" &amp; EDATE($B$1, -12),
    'Complaint RC Data'!$B:$B, "&lt;=" &amp; $B$1
  ),
  IF(_xlpm.result = 0, "", _xlpm.result)
)</f>
        <v/>
      </c>
      <c r="O13" t="str">
        <f ca="1">_xlfn.LET(
  _xlpm.result,
  COUNTIFS(
    'Complaint RC Data'!$C:$C, $A13,
    'Complaint RC Data'!Q:Q, "x",
    'Complaint RC Data'!$B:$B, "&gt;=" &amp; EDATE($B$1, -12),
    'Complaint RC Data'!$B:$B, "&lt;=" &amp; $B$1
  ),
  IF(_xlpm.result = 0, "", _xlpm.result)
)</f>
        <v/>
      </c>
      <c r="P13" t="str">
        <f ca="1">_xlfn.LET(
  _xlpm.result,
  COUNTIFS(
    'Complaint RC Data'!$C:$C, $A13,
    'Complaint RC Data'!R:R, "x",
    'Complaint RC Data'!$B:$B, "&gt;=" &amp; EDATE($B$1, -12),
    'Complaint RC Data'!$B:$B, "&lt;=" &amp; $B$1
  ),
  IF(_xlpm.result = 0, "", _xlpm.result)
)</f>
        <v/>
      </c>
    </row>
    <row r="14" spans="1:16" s="82" customFormat="1" x14ac:dyDescent="0.3">
      <c r="A14" s="84" t="s">
        <v>288</v>
      </c>
      <c r="B14" s="82" t="str">
        <f ca="1">_xlfn.LET(
  _xlpm.result,
  COUNTIFS(
    'Complaint RC Data'!$C:$C, $A14,
    'Complaint RC Data'!D:D, "x",
    'Complaint RC Data'!$B:$B, "&gt;=" &amp; EDATE($B$1, -12),
    'Complaint RC Data'!$B:$B, "&lt;=" &amp; $B$1
  ),
  IF(_xlpm.result = 0, "", _xlpm.result)
)</f>
        <v/>
      </c>
      <c r="C14" s="82" t="str">
        <f ca="1">_xlfn.LET(
  _xlpm.result,
  COUNTIFS(
    'Complaint RC Data'!$C:$C, $A14,
    'Complaint RC Data'!E:E, "x",
    'Complaint RC Data'!$B:$B, "&gt;=" &amp; EDATE($B$1, -12),
    'Complaint RC Data'!$B:$B, "&lt;=" &amp; $B$1
  ),
  IF(_xlpm.result = 0, "", _xlpm.result)
)</f>
        <v/>
      </c>
      <c r="D14" s="82" t="str">
        <f ca="1">_xlfn.LET(
  _xlpm.result,
  COUNTIFS(
    'Complaint RC Data'!$C:$C, $A14,
    'Complaint RC Data'!F:F, "x",
    'Complaint RC Data'!$B:$B, "&gt;=" &amp; EDATE($B$1, -12),
    'Complaint RC Data'!$B:$B, "&lt;=" &amp; $B$1
  ),
  IF(_xlpm.result = 0, "", _xlpm.result)
)</f>
        <v/>
      </c>
      <c r="E14" s="82" t="str">
        <f ca="1">_xlfn.LET(
  _xlpm.result,
  COUNTIFS(
    'Complaint RC Data'!$C:$C, $A14,
    'Complaint RC Data'!G:G, "x",
    'Complaint RC Data'!$B:$B, "&gt;=" &amp; EDATE($B$1, -12),
    'Complaint RC Data'!$B:$B, "&lt;=" &amp; $B$1
  ),
  IF(_xlpm.result = 0, "", _xlpm.result)
)</f>
        <v/>
      </c>
      <c r="F14" s="82" t="str">
        <f ca="1">_xlfn.LET(
  _xlpm.result,
  COUNTIFS(
    'Complaint RC Data'!$C:$C, $A14,
    'Complaint RC Data'!H:H, "x",
    'Complaint RC Data'!$B:$B, "&gt;=" &amp; EDATE($B$1, -12),
    'Complaint RC Data'!$B:$B, "&lt;=" &amp; $B$1
  ),
  IF(_xlpm.result = 0, "", _xlpm.result)
)</f>
        <v/>
      </c>
      <c r="G14" s="82" t="str">
        <f ca="1">_xlfn.LET(
  _xlpm.result,
  COUNTIFS(
    'Complaint RC Data'!$C:$C, $A14,
    'Complaint RC Data'!I:I, "x",
    'Complaint RC Data'!$B:$B, "&gt;=" &amp; EDATE($B$1, -12),
    'Complaint RC Data'!$B:$B, "&lt;=" &amp; $B$1
  ),
  IF(_xlpm.result = 0, "", _xlpm.result)
)</f>
        <v/>
      </c>
      <c r="H14" s="82" t="str">
        <f ca="1">_xlfn.LET(
  _xlpm.result,
  COUNTIFS(
    'Complaint RC Data'!$C:$C, $A14,
    'Complaint RC Data'!J:J, "x",
    'Complaint RC Data'!$B:$B, "&gt;=" &amp; EDATE($B$1, -12),
    'Complaint RC Data'!$B:$B, "&lt;=" &amp; $B$1
  ),
  IF(_xlpm.result = 0, "", _xlpm.result)
)</f>
        <v/>
      </c>
      <c r="I14" s="82" t="str">
        <f ca="1">_xlfn.LET(
  _xlpm.result,
  COUNTIFS(
    'Complaint RC Data'!$C:$C, $A14,
    'Complaint RC Data'!K:K, "x",
    'Complaint RC Data'!$B:$B, "&gt;=" &amp; EDATE($B$1, -12),
    'Complaint RC Data'!$B:$B, "&lt;=" &amp; $B$1
  ),
  IF(_xlpm.result = 0, "", _xlpm.result)
)</f>
        <v/>
      </c>
      <c r="J14" s="82" t="str">
        <f ca="1">_xlfn.LET(
  _xlpm.result,
  COUNTIFS(
    'Complaint RC Data'!$C:$C, $A14,
    'Complaint RC Data'!L:L, "x",
    'Complaint RC Data'!$B:$B, "&gt;=" &amp; EDATE($B$1, -12),
    'Complaint RC Data'!$B:$B, "&lt;=" &amp; $B$1
  ),
  IF(_xlpm.result = 0, "", _xlpm.result)
)</f>
        <v/>
      </c>
      <c r="K14" s="82" t="str">
        <f ca="1">_xlfn.LET(
  _xlpm.result,
  COUNTIFS(
    'Complaint RC Data'!$C:$C, $A14,
    'Complaint RC Data'!M:M, "x",
    'Complaint RC Data'!$B:$B, "&gt;=" &amp; EDATE($B$1, -12),
    'Complaint RC Data'!$B:$B, "&lt;=" &amp; $B$1
  ),
  IF(_xlpm.result = 0, "", _xlpm.result)
)</f>
        <v/>
      </c>
      <c r="L14" s="82" t="str">
        <f ca="1">_xlfn.LET(
  _xlpm.result,
  COUNTIFS(
    'Complaint RC Data'!$C:$C, $A14,
    'Complaint RC Data'!N:N, "x",
    'Complaint RC Data'!$B:$B, "&gt;=" &amp; EDATE($B$1, -12),
    'Complaint RC Data'!$B:$B, "&lt;=" &amp; $B$1
  ),
  IF(_xlpm.result = 0, "", _xlpm.result)
)</f>
        <v/>
      </c>
      <c r="M14" s="82" t="str">
        <f ca="1">_xlfn.LET(
  _xlpm.result,
  COUNTIFS(
    'Complaint RC Data'!$C:$C, $A14,
    'Complaint RC Data'!O:O, "x",
    'Complaint RC Data'!$B:$B, "&gt;=" &amp; EDATE($B$1, -12),
    'Complaint RC Data'!$B:$B, "&lt;=" &amp; $B$1
  ),
  IF(_xlpm.result = 0, "", _xlpm.result)
)</f>
        <v/>
      </c>
      <c r="N14" s="82" t="str">
        <f ca="1">_xlfn.LET(
  _xlpm.result,
  COUNTIFS(
    'Complaint RC Data'!$C:$C, $A14,
    'Complaint RC Data'!P:P, "x",
    'Complaint RC Data'!$B:$B, "&gt;=" &amp; EDATE($B$1, -12),
    'Complaint RC Data'!$B:$B, "&lt;=" &amp; $B$1
  ),
  IF(_xlpm.result = 0, "", _xlpm.result)
)</f>
        <v/>
      </c>
      <c r="O14" s="82" t="str">
        <f ca="1">_xlfn.LET(
  _xlpm.result,
  COUNTIFS(
    'Complaint RC Data'!$C:$C, $A14,
    'Complaint RC Data'!Q:Q, "x",
    'Complaint RC Data'!$B:$B, "&gt;=" &amp; EDATE($B$1, -12),
    'Complaint RC Data'!$B:$B, "&lt;=" &amp; $B$1
  ),
  IF(_xlpm.result = 0, "", _xlpm.result)
)</f>
        <v/>
      </c>
      <c r="P14" s="82" t="str">
        <f ca="1">_xlfn.LET(
  _xlpm.result,
  COUNTIFS(
    'Complaint RC Data'!$C:$C, $A14,
    'Complaint RC Data'!R:R, "x",
    'Complaint RC Data'!$B:$B, "&gt;=" &amp; EDATE($B$1, -12),
    'Complaint RC Data'!$B:$B, "&lt;=" &amp; $B$1
  ),
  IF(_xlpm.result = 0, "", _xlpm.result)
)</f>
        <v/>
      </c>
    </row>
    <row r="15" spans="1:16" x14ac:dyDescent="0.3">
      <c r="A15" s="1" t="s">
        <v>289</v>
      </c>
      <c r="B15" t="str">
        <f ca="1">_xlfn.LET(
  _xlpm.result,
  COUNTIFS(
    'Complaint RC Data'!$C:$C, $A15,
    'Complaint RC Data'!D:D, "x",
    'Complaint RC Data'!$B:$B, "&gt;=" &amp; EDATE($B$1, -12),
    'Complaint RC Data'!$B:$B, "&lt;=" &amp; $B$1
  ),
  IF(_xlpm.result = 0, "", _xlpm.result)
)</f>
        <v/>
      </c>
      <c r="C15" t="str">
        <f ca="1">_xlfn.LET(
  _xlpm.result,
  COUNTIFS(
    'Complaint RC Data'!$C:$C, $A15,
    'Complaint RC Data'!E:E, "x",
    'Complaint RC Data'!$B:$B, "&gt;=" &amp; EDATE($B$1, -12),
    'Complaint RC Data'!$B:$B, "&lt;=" &amp; $B$1
  ),
  IF(_xlpm.result = 0, "", _xlpm.result)
)</f>
        <v/>
      </c>
      <c r="D15" t="str">
        <f ca="1">_xlfn.LET(
  _xlpm.result,
  COUNTIFS(
    'Complaint RC Data'!$C:$C, $A15,
    'Complaint RC Data'!F:F, "x",
    'Complaint RC Data'!$B:$B, "&gt;=" &amp; EDATE($B$1, -12),
    'Complaint RC Data'!$B:$B, "&lt;=" &amp; $B$1
  ),
  IF(_xlpm.result = 0, "", _xlpm.result)
)</f>
        <v/>
      </c>
      <c r="E15" t="str">
        <f ca="1">_xlfn.LET(
  _xlpm.result,
  COUNTIFS(
    'Complaint RC Data'!$C:$C, $A15,
    'Complaint RC Data'!G:G, "x",
    'Complaint RC Data'!$B:$B, "&gt;=" &amp; EDATE($B$1, -12),
    'Complaint RC Data'!$B:$B, "&lt;=" &amp; $B$1
  ),
  IF(_xlpm.result = 0, "", _xlpm.result)
)</f>
        <v/>
      </c>
      <c r="F15" t="str">
        <f ca="1">_xlfn.LET(
  _xlpm.result,
  COUNTIFS(
    'Complaint RC Data'!$C:$C, $A15,
    'Complaint RC Data'!H:H, "x",
    'Complaint RC Data'!$B:$B, "&gt;=" &amp; EDATE($B$1, -12),
    'Complaint RC Data'!$B:$B, "&lt;=" &amp; $B$1
  ),
  IF(_xlpm.result = 0, "", _xlpm.result)
)</f>
        <v/>
      </c>
      <c r="G15" t="str">
        <f ca="1">_xlfn.LET(
  _xlpm.result,
  COUNTIFS(
    'Complaint RC Data'!$C:$C, $A15,
    'Complaint RC Data'!I:I, "x",
    'Complaint RC Data'!$B:$B, "&gt;=" &amp; EDATE($B$1, -12),
    'Complaint RC Data'!$B:$B, "&lt;=" &amp; $B$1
  ),
  IF(_xlpm.result = 0, "", _xlpm.result)
)</f>
        <v/>
      </c>
      <c r="H15" t="str">
        <f ca="1">_xlfn.LET(
  _xlpm.result,
  COUNTIFS(
    'Complaint RC Data'!$C:$C, $A15,
    'Complaint RC Data'!J:J, "x",
    'Complaint RC Data'!$B:$B, "&gt;=" &amp; EDATE($B$1, -12),
    'Complaint RC Data'!$B:$B, "&lt;=" &amp; $B$1
  ),
  IF(_xlpm.result = 0, "", _xlpm.result)
)</f>
        <v/>
      </c>
      <c r="I15" t="str">
        <f ca="1">_xlfn.LET(
  _xlpm.result,
  COUNTIFS(
    'Complaint RC Data'!$C:$C, $A15,
    'Complaint RC Data'!K:K, "x",
    'Complaint RC Data'!$B:$B, "&gt;=" &amp; EDATE($B$1, -12),
    'Complaint RC Data'!$B:$B, "&lt;=" &amp; $B$1
  ),
  IF(_xlpm.result = 0, "", _xlpm.result)
)</f>
        <v/>
      </c>
      <c r="J15" t="str">
        <f ca="1">_xlfn.LET(
  _xlpm.result,
  COUNTIFS(
    'Complaint RC Data'!$C:$C, $A15,
    'Complaint RC Data'!L:L, "x",
    'Complaint RC Data'!$B:$B, "&gt;=" &amp; EDATE($B$1, -12),
    'Complaint RC Data'!$B:$B, "&lt;=" &amp; $B$1
  ),
  IF(_xlpm.result = 0, "", _xlpm.result)
)</f>
        <v/>
      </c>
      <c r="K15" t="str">
        <f ca="1">_xlfn.LET(
  _xlpm.result,
  COUNTIFS(
    'Complaint RC Data'!$C:$C, $A15,
    'Complaint RC Data'!M:M, "x",
    'Complaint RC Data'!$B:$B, "&gt;=" &amp; EDATE($B$1, -12),
    'Complaint RC Data'!$B:$B, "&lt;=" &amp; $B$1
  ),
  IF(_xlpm.result = 0, "", _xlpm.result)
)</f>
        <v/>
      </c>
      <c r="L15" t="str">
        <f ca="1">_xlfn.LET(
  _xlpm.result,
  COUNTIFS(
    'Complaint RC Data'!$C:$C, $A15,
    'Complaint RC Data'!N:N, "x",
    'Complaint RC Data'!$B:$B, "&gt;=" &amp; EDATE($B$1, -12),
    'Complaint RC Data'!$B:$B, "&lt;=" &amp; $B$1
  ),
  IF(_xlpm.result = 0, "", _xlpm.result)
)</f>
        <v/>
      </c>
      <c r="M15" t="str">
        <f ca="1">_xlfn.LET(
  _xlpm.result,
  COUNTIFS(
    'Complaint RC Data'!$C:$C, $A15,
    'Complaint RC Data'!O:O, "x",
    'Complaint RC Data'!$B:$B, "&gt;=" &amp; EDATE($B$1, -12),
    'Complaint RC Data'!$B:$B, "&lt;=" &amp; $B$1
  ),
  IF(_xlpm.result = 0, "", _xlpm.result)
)</f>
        <v/>
      </c>
      <c r="N15" t="str">
        <f ca="1">_xlfn.LET(
  _xlpm.result,
  COUNTIFS(
    'Complaint RC Data'!$C:$C, $A15,
    'Complaint RC Data'!P:P, "x",
    'Complaint RC Data'!$B:$B, "&gt;=" &amp; EDATE($B$1, -12),
    'Complaint RC Data'!$B:$B, "&lt;=" &amp; $B$1
  ),
  IF(_xlpm.result = 0, "", _xlpm.result)
)</f>
        <v/>
      </c>
      <c r="O15" t="str">
        <f ca="1">_xlfn.LET(
  _xlpm.result,
  COUNTIFS(
    'Complaint RC Data'!$C:$C, $A15,
    'Complaint RC Data'!Q:Q, "x",
    'Complaint RC Data'!$B:$B, "&gt;=" &amp; EDATE($B$1, -12),
    'Complaint RC Data'!$B:$B, "&lt;=" &amp; $B$1
  ),
  IF(_xlpm.result = 0, "", _xlpm.result)
)</f>
        <v/>
      </c>
      <c r="P15" t="str">
        <f ca="1">_xlfn.LET(
  _xlpm.result,
  COUNTIFS(
    'Complaint RC Data'!$C:$C, $A15,
    'Complaint RC Data'!R:R, "x",
    'Complaint RC Data'!$B:$B, "&gt;=" &amp; EDATE($B$1, -12),
    'Complaint RC Data'!$B:$B, "&lt;=" &amp; $B$1
  ),
  IF(_xlpm.result = 0, "", _xlpm.result)
)</f>
        <v/>
      </c>
    </row>
    <row r="16" spans="1:16" s="82" customFormat="1" x14ac:dyDescent="0.3">
      <c r="A16" s="84" t="s">
        <v>290</v>
      </c>
      <c r="B16" s="82" t="str">
        <f ca="1">_xlfn.LET(
  _xlpm.result,
  COUNTIFS(
    'Complaint RC Data'!$C:$C, $A16,
    'Complaint RC Data'!D:D, "x",
    'Complaint RC Data'!$B:$B, "&gt;=" &amp; EDATE($B$1, -12),
    'Complaint RC Data'!$B:$B, "&lt;=" &amp; $B$1
  ),
  IF(_xlpm.result = 0, "", _xlpm.result)
)</f>
        <v/>
      </c>
      <c r="C16" s="82" t="str">
        <f ca="1">_xlfn.LET(
  _xlpm.result,
  COUNTIFS(
    'Complaint RC Data'!$C:$C, $A16,
    'Complaint RC Data'!E:E, "x",
    'Complaint RC Data'!$B:$B, "&gt;=" &amp; EDATE($B$1, -12),
    'Complaint RC Data'!$B:$B, "&lt;=" &amp; $B$1
  ),
  IF(_xlpm.result = 0, "", _xlpm.result)
)</f>
        <v/>
      </c>
      <c r="D16" s="82" t="str">
        <f ca="1">_xlfn.LET(
  _xlpm.result,
  COUNTIFS(
    'Complaint RC Data'!$C:$C, $A16,
    'Complaint RC Data'!F:F, "x",
    'Complaint RC Data'!$B:$B, "&gt;=" &amp; EDATE($B$1, -12),
    'Complaint RC Data'!$B:$B, "&lt;=" &amp; $B$1
  ),
  IF(_xlpm.result = 0, "", _xlpm.result)
)</f>
        <v/>
      </c>
      <c r="E16" s="82" t="str">
        <f ca="1">_xlfn.LET(
  _xlpm.result,
  COUNTIFS(
    'Complaint RC Data'!$C:$C, $A16,
    'Complaint RC Data'!G:G, "x",
    'Complaint RC Data'!$B:$B, "&gt;=" &amp; EDATE($B$1, -12),
    'Complaint RC Data'!$B:$B, "&lt;=" &amp; $B$1
  ),
  IF(_xlpm.result = 0, "", _xlpm.result)
)</f>
        <v/>
      </c>
      <c r="F16" s="82" t="str">
        <f ca="1">_xlfn.LET(
  _xlpm.result,
  COUNTIFS(
    'Complaint RC Data'!$C:$C, $A16,
    'Complaint RC Data'!H:H, "x",
    'Complaint RC Data'!$B:$B, "&gt;=" &amp; EDATE($B$1, -12),
    'Complaint RC Data'!$B:$B, "&lt;=" &amp; $B$1
  ),
  IF(_xlpm.result = 0, "", _xlpm.result)
)</f>
        <v/>
      </c>
      <c r="G16" s="82" t="str">
        <f ca="1">_xlfn.LET(
  _xlpm.result,
  COUNTIFS(
    'Complaint RC Data'!$C:$C, $A16,
    'Complaint RC Data'!I:I, "x",
    'Complaint RC Data'!$B:$B, "&gt;=" &amp; EDATE($B$1, -12),
    'Complaint RC Data'!$B:$B, "&lt;=" &amp; $B$1
  ),
  IF(_xlpm.result = 0, "", _xlpm.result)
)</f>
        <v/>
      </c>
      <c r="H16" s="82" t="str">
        <f ca="1">_xlfn.LET(
  _xlpm.result,
  COUNTIFS(
    'Complaint RC Data'!$C:$C, $A16,
    'Complaint RC Data'!J:J, "x",
    'Complaint RC Data'!$B:$B, "&gt;=" &amp; EDATE($B$1, -12),
    'Complaint RC Data'!$B:$B, "&lt;=" &amp; $B$1
  ),
  IF(_xlpm.result = 0, "", _xlpm.result)
)</f>
        <v/>
      </c>
      <c r="I16" s="82" t="str">
        <f ca="1">_xlfn.LET(
  _xlpm.result,
  COUNTIFS(
    'Complaint RC Data'!$C:$C, $A16,
    'Complaint RC Data'!K:K, "x",
    'Complaint RC Data'!$B:$B, "&gt;=" &amp; EDATE($B$1, -12),
    'Complaint RC Data'!$B:$B, "&lt;=" &amp; $B$1
  ),
  IF(_xlpm.result = 0, "", _xlpm.result)
)</f>
        <v/>
      </c>
      <c r="J16" s="82" t="str">
        <f ca="1">_xlfn.LET(
  _xlpm.result,
  COUNTIFS(
    'Complaint RC Data'!$C:$C, $A16,
    'Complaint RC Data'!L:L, "x",
    'Complaint RC Data'!$B:$B, "&gt;=" &amp; EDATE($B$1, -12),
    'Complaint RC Data'!$B:$B, "&lt;=" &amp; $B$1
  ),
  IF(_xlpm.result = 0, "", _xlpm.result)
)</f>
        <v/>
      </c>
      <c r="K16" s="82" t="str">
        <f ca="1">_xlfn.LET(
  _xlpm.result,
  COUNTIFS(
    'Complaint RC Data'!$C:$C, $A16,
    'Complaint RC Data'!M:M, "x",
    'Complaint RC Data'!$B:$B, "&gt;=" &amp; EDATE($B$1, -12),
    'Complaint RC Data'!$B:$B, "&lt;=" &amp; $B$1
  ),
  IF(_xlpm.result = 0, "", _xlpm.result)
)</f>
        <v/>
      </c>
      <c r="L16" s="82" t="str">
        <f ca="1">_xlfn.LET(
  _xlpm.result,
  COUNTIFS(
    'Complaint RC Data'!$C:$C, $A16,
    'Complaint RC Data'!N:N, "x",
    'Complaint RC Data'!$B:$B, "&gt;=" &amp; EDATE($B$1, -12),
    'Complaint RC Data'!$B:$B, "&lt;=" &amp; $B$1
  ),
  IF(_xlpm.result = 0, "", _xlpm.result)
)</f>
        <v/>
      </c>
      <c r="M16" s="82" t="str">
        <f ca="1">_xlfn.LET(
  _xlpm.result,
  COUNTIFS(
    'Complaint RC Data'!$C:$C, $A16,
    'Complaint RC Data'!O:O, "x",
    'Complaint RC Data'!$B:$B, "&gt;=" &amp; EDATE($B$1, -12),
    'Complaint RC Data'!$B:$B, "&lt;=" &amp; $B$1
  ),
  IF(_xlpm.result = 0, "", _xlpm.result)
)</f>
        <v/>
      </c>
      <c r="N16" s="82" t="str">
        <f ca="1">_xlfn.LET(
  _xlpm.result,
  COUNTIFS(
    'Complaint RC Data'!$C:$C, $A16,
    'Complaint RC Data'!P:P, "x",
    'Complaint RC Data'!$B:$B, "&gt;=" &amp; EDATE($B$1, -12),
    'Complaint RC Data'!$B:$B, "&lt;=" &amp; $B$1
  ),
  IF(_xlpm.result = 0, "", _xlpm.result)
)</f>
        <v/>
      </c>
      <c r="O16" s="82" t="str">
        <f ca="1">_xlfn.LET(
  _xlpm.result,
  COUNTIFS(
    'Complaint RC Data'!$C:$C, $A16,
    'Complaint RC Data'!Q:Q, "x",
    'Complaint RC Data'!$B:$B, "&gt;=" &amp; EDATE($B$1, -12),
    'Complaint RC Data'!$B:$B, "&lt;=" &amp; $B$1
  ),
  IF(_xlpm.result = 0, "", _xlpm.result)
)</f>
        <v/>
      </c>
      <c r="P16" s="82" t="str">
        <f ca="1">_xlfn.LET(
  _xlpm.result,
  COUNTIFS(
    'Complaint RC Data'!$C:$C, $A16,
    'Complaint RC Data'!R:R, "x",
    'Complaint RC Data'!$B:$B, "&gt;=" &amp; EDATE($B$1, -12),
    'Complaint RC Data'!$B:$B, "&lt;=" &amp; $B$1
  ),
  IF(_xlpm.result = 0, "", _xlpm.result)
)</f>
        <v/>
      </c>
    </row>
    <row r="17" spans="1:16" s="97" customFormat="1" x14ac:dyDescent="0.3">
      <c r="A17" s="96" t="s">
        <v>148</v>
      </c>
      <c r="B17" s="97" t="str">
        <f ca="1">_xlfn.LET(
  _xlpm.result,
  COUNTIFS(
    'Complaint RC Data'!$C:$C, $A17,
    'Complaint RC Data'!D:D, "x",
    'Complaint RC Data'!$B:$B, "&gt;=" &amp; EDATE($B$1, -12),
    'Complaint RC Data'!$B:$B, "&lt;=" &amp; $B$1
  ),
  IF(_xlpm.result = 0, "", _xlpm.result)
)</f>
        <v/>
      </c>
      <c r="C17" s="97" t="str">
        <f ca="1">_xlfn.LET(
  _xlpm.result,
  COUNTIFS(
    'Complaint RC Data'!$C:$C, $A17,
    'Complaint RC Data'!E:E, "x",
    'Complaint RC Data'!$B:$B, "&gt;=" &amp; EDATE($B$1, -12),
    'Complaint RC Data'!$B:$B, "&lt;=" &amp; $B$1
  ),
  IF(_xlpm.result = 0, "", _xlpm.result)
)</f>
        <v/>
      </c>
      <c r="D17" s="97" t="str">
        <f ca="1">_xlfn.LET(
  _xlpm.result,
  COUNTIFS(
    'Complaint RC Data'!$C:$C, $A17,
    'Complaint RC Data'!F:F, "x",
    'Complaint RC Data'!$B:$B, "&gt;=" &amp; EDATE($B$1, -12),
    'Complaint RC Data'!$B:$B, "&lt;=" &amp; $B$1
  ),
  IF(_xlpm.result = 0, "", _xlpm.result)
)</f>
        <v/>
      </c>
      <c r="E17" s="97" t="str">
        <f ca="1">_xlfn.LET(
  _xlpm.result,
  COUNTIFS(
    'Complaint RC Data'!$C:$C, $A17,
    'Complaint RC Data'!G:G, "x",
    'Complaint RC Data'!$B:$B, "&gt;=" &amp; EDATE($B$1, -12),
    'Complaint RC Data'!$B:$B, "&lt;=" &amp; $B$1
  ),
  IF(_xlpm.result = 0, "", _xlpm.result)
)</f>
        <v/>
      </c>
      <c r="F17" s="97" t="str">
        <f ca="1">_xlfn.LET(
  _xlpm.result,
  COUNTIFS(
    'Complaint RC Data'!$C:$C, $A17,
    'Complaint RC Data'!H:H, "x",
    'Complaint RC Data'!$B:$B, "&gt;=" &amp; EDATE($B$1, -12),
    'Complaint RC Data'!$B:$B, "&lt;=" &amp; $B$1
  ),
  IF(_xlpm.result = 0, "", _xlpm.result)
)</f>
        <v/>
      </c>
      <c r="G17" s="97" t="str">
        <f ca="1">_xlfn.LET(
  _xlpm.result,
  COUNTIFS(
    'Complaint RC Data'!$C:$C, $A17,
    'Complaint RC Data'!I:I, "x",
    'Complaint RC Data'!$B:$B, "&gt;=" &amp; EDATE($B$1, -12),
    'Complaint RC Data'!$B:$B, "&lt;=" &amp; $B$1
  ),
  IF(_xlpm.result = 0, "", _xlpm.result)
)</f>
        <v/>
      </c>
      <c r="H17" s="97" t="str">
        <f ca="1">_xlfn.LET(
  _xlpm.result,
  COUNTIFS(
    'Complaint RC Data'!$C:$C, $A17,
    'Complaint RC Data'!J:J, "x",
    'Complaint RC Data'!$B:$B, "&gt;=" &amp; EDATE($B$1, -12),
    'Complaint RC Data'!$B:$B, "&lt;=" &amp; $B$1
  ),
  IF(_xlpm.result = 0, "", _xlpm.result)
)</f>
        <v/>
      </c>
      <c r="I17" s="97" t="str">
        <f ca="1">_xlfn.LET(
  _xlpm.result,
  COUNTIFS(
    'Complaint RC Data'!$C:$C, $A17,
    'Complaint RC Data'!K:K, "x",
    'Complaint RC Data'!$B:$B, "&gt;=" &amp; EDATE($B$1, -12),
    'Complaint RC Data'!$B:$B, "&lt;=" &amp; $B$1
  ),
  IF(_xlpm.result = 0, "", _xlpm.result)
)</f>
        <v/>
      </c>
      <c r="J17" s="97" t="str">
        <f ca="1">_xlfn.LET(
  _xlpm.result,
  COUNTIFS(
    'Complaint RC Data'!$C:$C, $A17,
    'Complaint RC Data'!L:L, "x",
    'Complaint RC Data'!$B:$B, "&gt;=" &amp; EDATE($B$1, -12),
    'Complaint RC Data'!$B:$B, "&lt;=" &amp; $B$1
  ),
  IF(_xlpm.result = 0, "", _xlpm.result)
)</f>
        <v/>
      </c>
      <c r="K17" s="97" t="str">
        <f ca="1">_xlfn.LET(
  _xlpm.result,
  COUNTIFS(
    'Complaint RC Data'!$C:$C, $A17,
    'Complaint RC Data'!M:M, "x",
    'Complaint RC Data'!$B:$B, "&gt;=" &amp; EDATE($B$1, -12),
    'Complaint RC Data'!$B:$B, "&lt;=" &amp; $B$1
  ),
  IF(_xlpm.result = 0, "", _xlpm.result)
)</f>
        <v/>
      </c>
      <c r="L17" s="97" t="str">
        <f ca="1">_xlfn.LET(
  _xlpm.result,
  COUNTIFS(
    'Complaint RC Data'!$C:$C, $A17,
    'Complaint RC Data'!N:N, "x",
    'Complaint RC Data'!$B:$B, "&gt;=" &amp; EDATE($B$1, -12),
    'Complaint RC Data'!$B:$B, "&lt;=" &amp; $B$1
  ),
  IF(_xlpm.result = 0, "", _xlpm.result)
)</f>
        <v/>
      </c>
      <c r="M17" s="97" t="str">
        <f ca="1">_xlfn.LET(
  _xlpm.result,
  COUNTIFS(
    'Complaint RC Data'!$C:$C, $A17,
    'Complaint RC Data'!O:O, "x",
    'Complaint RC Data'!$B:$B, "&gt;=" &amp; EDATE($B$1, -12),
    'Complaint RC Data'!$B:$B, "&lt;=" &amp; $B$1
  ),
  IF(_xlpm.result = 0, "", _xlpm.result)
)</f>
        <v/>
      </c>
      <c r="N17" s="97" t="str">
        <f ca="1">_xlfn.LET(
  _xlpm.result,
  COUNTIFS(
    'Complaint RC Data'!$C:$C, $A17,
    'Complaint RC Data'!P:P, "x",
    'Complaint RC Data'!$B:$B, "&gt;=" &amp; EDATE($B$1, -12),
    'Complaint RC Data'!$B:$B, "&lt;=" &amp; $B$1
  ),
  IF(_xlpm.result = 0, "", _xlpm.result)
)</f>
        <v/>
      </c>
      <c r="O17" s="97" t="str">
        <f ca="1">_xlfn.LET(
  _xlpm.result,
  COUNTIFS(
    'Complaint RC Data'!$C:$C, $A17,
    'Complaint RC Data'!Q:Q, "x",
    'Complaint RC Data'!$B:$B, "&gt;=" &amp; EDATE($B$1, -12),
    'Complaint RC Data'!$B:$B, "&lt;=" &amp; $B$1
  ),
  IF(_xlpm.result = 0, "", _xlpm.result)
)</f>
        <v/>
      </c>
      <c r="P17" s="97">
        <f ca="1">_xlfn.LET(
  _xlpm.result,
  COUNTIFS(
    'Complaint RC Data'!$C:$C, $A17,
    'Complaint RC Data'!R:R, "x",
    'Complaint RC Data'!$B:$B, "&gt;=" &amp; EDATE($B$1, -12),
    'Complaint RC Data'!$B:$B, "&lt;=" &amp; $B$1
  ),
  IF(_xlpm.result = 0, "", _xlpm.result)
)</f>
        <v>2</v>
      </c>
    </row>
    <row r="18" spans="1:16" s="82" customFormat="1" x14ac:dyDescent="0.3">
      <c r="A18" s="84" t="s">
        <v>291</v>
      </c>
      <c r="B18" s="82" t="str">
        <f ca="1">_xlfn.LET(
  _xlpm.result,
  COUNTIFS(
    'Complaint RC Data'!$C:$C, $A18,
    'Complaint RC Data'!D:D, "x",
    'Complaint RC Data'!$B:$B, "&gt;=" &amp; EDATE($B$1, -12),
    'Complaint RC Data'!$B:$B, "&lt;=" &amp; $B$1
  ),
  IF(_xlpm.result = 0, "", _xlpm.result)
)</f>
        <v/>
      </c>
      <c r="C18" s="82" t="str">
        <f ca="1">_xlfn.LET(
  _xlpm.result,
  COUNTIFS(
    'Complaint RC Data'!$C:$C, $A18,
    'Complaint RC Data'!E:E, "x",
    'Complaint RC Data'!$B:$B, "&gt;=" &amp; EDATE($B$1, -12),
    'Complaint RC Data'!$B:$B, "&lt;=" &amp; $B$1
  ),
  IF(_xlpm.result = 0, "", _xlpm.result)
)</f>
        <v/>
      </c>
      <c r="D18" s="82" t="str">
        <f ca="1">_xlfn.LET(
  _xlpm.result,
  COUNTIFS(
    'Complaint RC Data'!$C:$C, $A18,
    'Complaint RC Data'!F:F, "x",
    'Complaint RC Data'!$B:$B, "&gt;=" &amp; EDATE($B$1, -12),
    'Complaint RC Data'!$B:$B, "&lt;=" &amp; $B$1
  ),
  IF(_xlpm.result = 0, "", _xlpm.result)
)</f>
        <v/>
      </c>
      <c r="E18" s="82" t="str">
        <f ca="1">_xlfn.LET(
  _xlpm.result,
  COUNTIFS(
    'Complaint RC Data'!$C:$C, $A18,
    'Complaint RC Data'!G:G, "x",
    'Complaint RC Data'!$B:$B, "&gt;=" &amp; EDATE($B$1, -12),
    'Complaint RC Data'!$B:$B, "&lt;=" &amp; $B$1
  ),
  IF(_xlpm.result = 0, "", _xlpm.result)
)</f>
        <v/>
      </c>
      <c r="F18" s="82" t="str">
        <f ca="1">_xlfn.LET(
  _xlpm.result,
  COUNTIFS(
    'Complaint RC Data'!$C:$C, $A18,
    'Complaint RC Data'!H:H, "x",
    'Complaint RC Data'!$B:$B, "&gt;=" &amp; EDATE($B$1, -12),
    'Complaint RC Data'!$B:$B, "&lt;=" &amp; $B$1
  ),
  IF(_xlpm.result = 0, "", _xlpm.result)
)</f>
        <v/>
      </c>
      <c r="G18" s="82" t="str">
        <f ca="1">_xlfn.LET(
  _xlpm.result,
  COUNTIFS(
    'Complaint RC Data'!$C:$C, $A18,
    'Complaint RC Data'!I:I, "x",
    'Complaint RC Data'!$B:$B, "&gt;=" &amp; EDATE($B$1, -12),
    'Complaint RC Data'!$B:$B, "&lt;=" &amp; $B$1
  ),
  IF(_xlpm.result = 0, "", _xlpm.result)
)</f>
        <v/>
      </c>
      <c r="H18" s="82" t="str">
        <f ca="1">_xlfn.LET(
  _xlpm.result,
  COUNTIFS(
    'Complaint RC Data'!$C:$C, $A18,
    'Complaint RC Data'!J:J, "x",
    'Complaint RC Data'!$B:$B, "&gt;=" &amp; EDATE($B$1, -12),
    'Complaint RC Data'!$B:$B, "&lt;=" &amp; $B$1
  ),
  IF(_xlpm.result = 0, "", _xlpm.result)
)</f>
        <v/>
      </c>
      <c r="I18" s="82" t="str">
        <f ca="1">_xlfn.LET(
  _xlpm.result,
  COUNTIFS(
    'Complaint RC Data'!$C:$C, $A18,
    'Complaint RC Data'!K:K, "x",
    'Complaint RC Data'!$B:$B, "&gt;=" &amp; EDATE($B$1, -12),
    'Complaint RC Data'!$B:$B, "&lt;=" &amp; $B$1
  ),
  IF(_xlpm.result = 0, "", _xlpm.result)
)</f>
        <v/>
      </c>
      <c r="J18" s="82" t="str">
        <f ca="1">_xlfn.LET(
  _xlpm.result,
  COUNTIFS(
    'Complaint RC Data'!$C:$C, $A18,
    'Complaint RC Data'!L:L, "x",
    'Complaint RC Data'!$B:$B, "&gt;=" &amp; EDATE($B$1, -12),
    'Complaint RC Data'!$B:$B, "&lt;=" &amp; $B$1
  ),
  IF(_xlpm.result = 0, "", _xlpm.result)
)</f>
        <v/>
      </c>
      <c r="K18" s="82" t="str">
        <f ca="1">_xlfn.LET(
  _xlpm.result,
  COUNTIFS(
    'Complaint RC Data'!$C:$C, $A18,
    'Complaint RC Data'!M:M, "x",
    'Complaint RC Data'!$B:$B, "&gt;=" &amp; EDATE($B$1, -12),
    'Complaint RC Data'!$B:$B, "&lt;=" &amp; $B$1
  ),
  IF(_xlpm.result = 0, "", _xlpm.result)
)</f>
        <v/>
      </c>
      <c r="L18" s="82" t="str">
        <f ca="1">_xlfn.LET(
  _xlpm.result,
  COUNTIFS(
    'Complaint RC Data'!$C:$C, $A18,
    'Complaint RC Data'!N:N, "x",
    'Complaint RC Data'!$B:$B, "&gt;=" &amp; EDATE($B$1, -12),
    'Complaint RC Data'!$B:$B, "&lt;=" &amp; $B$1
  ),
  IF(_xlpm.result = 0, "", _xlpm.result)
)</f>
        <v/>
      </c>
      <c r="M18" s="82" t="str">
        <f ca="1">_xlfn.LET(
  _xlpm.result,
  COUNTIFS(
    'Complaint RC Data'!$C:$C, $A18,
    'Complaint RC Data'!O:O, "x",
    'Complaint RC Data'!$B:$B, "&gt;=" &amp; EDATE($B$1, -12),
    'Complaint RC Data'!$B:$B, "&lt;=" &amp; $B$1
  ),
  IF(_xlpm.result = 0, "", _xlpm.result)
)</f>
        <v/>
      </c>
      <c r="N18" s="82" t="str">
        <f ca="1">_xlfn.LET(
  _xlpm.result,
  COUNTIFS(
    'Complaint RC Data'!$C:$C, $A18,
    'Complaint RC Data'!P:P, "x",
    'Complaint RC Data'!$B:$B, "&gt;=" &amp; EDATE($B$1, -12),
    'Complaint RC Data'!$B:$B, "&lt;=" &amp; $B$1
  ),
  IF(_xlpm.result = 0, "", _xlpm.result)
)</f>
        <v/>
      </c>
      <c r="O18" s="82" t="str">
        <f ca="1">_xlfn.LET(
  _xlpm.result,
  COUNTIFS(
    'Complaint RC Data'!$C:$C, $A18,
    'Complaint RC Data'!Q:Q, "x",
    'Complaint RC Data'!$B:$B, "&gt;=" &amp; EDATE($B$1, -12),
    'Complaint RC Data'!$B:$B, "&lt;=" &amp; $B$1
  ),
  IF(_xlpm.result = 0, "", _xlpm.result)
)</f>
        <v/>
      </c>
      <c r="P18" s="82" t="str">
        <f ca="1">_xlfn.LET(
  _xlpm.result,
  COUNTIFS(
    'Complaint RC Data'!$C:$C, $A18,
    'Complaint RC Data'!R:R, "x",
    'Complaint RC Data'!$B:$B, "&gt;=" &amp; EDATE($B$1, -12),
    'Complaint RC Data'!$B:$B, "&lt;=" &amp; $B$1
  ),
  IF(_xlpm.result = 0, "", _xlpm.result)
)</f>
        <v/>
      </c>
    </row>
    <row r="19" spans="1:16" s="97" customFormat="1" x14ac:dyDescent="0.3">
      <c r="A19" s="96" t="s">
        <v>89</v>
      </c>
      <c r="B19" s="97" t="str">
        <f ca="1">_xlfn.LET(
  _xlpm.result,
  COUNTIFS(
    'Complaint RC Data'!$C:$C, $A19,
    'Complaint RC Data'!D:D, "x",
    'Complaint RC Data'!$B:$B, "&gt;=" &amp; EDATE($B$1, -12),
    'Complaint RC Data'!$B:$B, "&lt;=" &amp; $B$1
  ),
  IF(_xlpm.result = 0, "", _xlpm.result)
)</f>
        <v/>
      </c>
      <c r="C19" s="97" t="str">
        <f ca="1">_xlfn.LET(
  _xlpm.result,
  COUNTIFS(
    'Complaint RC Data'!$C:$C, $A19,
    'Complaint RC Data'!E:E, "x",
    'Complaint RC Data'!$B:$B, "&gt;=" &amp; EDATE($B$1, -12),
    'Complaint RC Data'!$B:$B, "&lt;=" &amp; $B$1
  ),
  IF(_xlpm.result = 0, "", _xlpm.result)
)</f>
        <v/>
      </c>
      <c r="D19" s="97" t="str">
        <f ca="1">_xlfn.LET(
  _xlpm.result,
  COUNTIFS(
    'Complaint RC Data'!$C:$C, $A19,
    'Complaint RC Data'!F:F, "x",
    'Complaint RC Data'!$B:$B, "&gt;=" &amp; EDATE($B$1, -12),
    'Complaint RC Data'!$B:$B, "&lt;=" &amp; $B$1
  ),
  IF(_xlpm.result = 0, "", _xlpm.result)
)</f>
        <v/>
      </c>
      <c r="E19" s="97" t="str">
        <f ca="1">_xlfn.LET(
  _xlpm.result,
  COUNTIFS(
    'Complaint RC Data'!$C:$C, $A19,
    'Complaint RC Data'!G:G, "x",
    'Complaint RC Data'!$B:$B, "&gt;=" &amp; EDATE($B$1, -12),
    'Complaint RC Data'!$B:$B, "&lt;=" &amp; $B$1
  ),
  IF(_xlpm.result = 0, "", _xlpm.result)
)</f>
        <v/>
      </c>
      <c r="F19" s="97" t="str">
        <f ca="1">_xlfn.LET(
  _xlpm.result,
  COUNTIFS(
    'Complaint RC Data'!$C:$C, $A19,
    'Complaint RC Data'!H:H, "x",
    'Complaint RC Data'!$B:$B, "&gt;=" &amp; EDATE($B$1, -12),
    'Complaint RC Data'!$B:$B, "&lt;=" &amp; $B$1
  ),
  IF(_xlpm.result = 0, "", _xlpm.result)
)</f>
        <v/>
      </c>
      <c r="G19" s="97" t="str">
        <f ca="1">_xlfn.LET(
  _xlpm.result,
  COUNTIFS(
    'Complaint RC Data'!$C:$C, $A19,
    'Complaint RC Data'!I:I, "x",
    'Complaint RC Data'!$B:$B, "&gt;=" &amp; EDATE($B$1, -12),
    'Complaint RC Data'!$B:$B, "&lt;=" &amp; $B$1
  ),
  IF(_xlpm.result = 0, "", _xlpm.result)
)</f>
        <v/>
      </c>
      <c r="H19" s="97" t="str">
        <f ca="1">_xlfn.LET(
  _xlpm.result,
  COUNTIFS(
    'Complaint RC Data'!$C:$C, $A19,
    'Complaint RC Data'!J:J, "x",
    'Complaint RC Data'!$B:$B, "&gt;=" &amp; EDATE($B$1, -12),
    'Complaint RC Data'!$B:$B, "&lt;=" &amp; $B$1
  ),
  IF(_xlpm.result = 0, "", _xlpm.result)
)</f>
        <v/>
      </c>
      <c r="I19" s="97" t="str">
        <f ca="1">_xlfn.LET(
  _xlpm.result,
  COUNTIFS(
    'Complaint RC Data'!$C:$C, $A19,
    'Complaint RC Data'!K:K, "x",
    'Complaint RC Data'!$B:$B, "&gt;=" &amp; EDATE($B$1, -12),
    'Complaint RC Data'!$B:$B, "&lt;=" &amp; $B$1
  ),
  IF(_xlpm.result = 0, "", _xlpm.result)
)</f>
        <v/>
      </c>
      <c r="J19" s="97" t="str">
        <f ca="1">_xlfn.LET(
  _xlpm.result,
  COUNTIFS(
    'Complaint RC Data'!$C:$C, $A19,
    'Complaint RC Data'!L:L, "x",
    'Complaint RC Data'!$B:$B, "&gt;=" &amp; EDATE($B$1, -12),
    'Complaint RC Data'!$B:$B, "&lt;=" &amp; $B$1
  ),
  IF(_xlpm.result = 0, "", _xlpm.result)
)</f>
        <v/>
      </c>
      <c r="K19" s="97" t="str">
        <f ca="1">_xlfn.LET(
  _xlpm.result,
  COUNTIFS(
    'Complaint RC Data'!$C:$C, $A19,
    'Complaint RC Data'!M:M, "x",
    'Complaint RC Data'!$B:$B, "&gt;=" &amp; EDATE($B$1, -12),
    'Complaint RC Data'!$B:$B, "&lt;=" &amp; $B$1
  ),
  IF(_xlpm.result = 0, "", _xlpm.result)
)</f>
        <v/>
      </c>
      <c r="L19" s="97" t="str">
        <f ca="1">_xlfn.LET(
  _xlpm.result,
  COUNTIFS(
    'Complaint RC Data'!$C:$C, $A19,
    'Complaint RC Data'!N:N, "x",
    'Complaint RC Data'!$B:$B, "&gt;=" &amp; EDATE($B$1, -12),
    'Complaint RC Data'!$B:$B, "&lt;=" &amp; $B$1
  ),
  IF(_xlpm.result = 0, "", _xlpm.result)
)</f>
        <v/>
      </c>
      <c r="M19" s="97" t="str">
        <f ca="1">_xlfn.LET(
  _xlpm.result,
  COUNTIFS(
    'Complaint RC Data'!$C:$C, $A19,
    'Complaint RC Data'!O:O, "x",
    'Complaint RC Data'!$B:$B, "&gt;=" &amp; EDATE($B$1, -12),
    'Complaint RC Data'!$B:$B, "&lt;=" &amp; $B$1
  ),
  IF(_xlpm.result = 0, "", _xlpm.result)
)</f>
        <v/>
      </c>
      <c r="N19" s="97" t="str">
        <f ca="1">_xlfn.LET(
  _xlpm.result,
  COUNTIFS(
    'Complaint RC Data'!$C:$C, $A19,
    'Complaint RC Data'!P:P, "x",
    'Complaint RC Data'!$B:$B, "&gt;=" &amp; EDATE($B$1, -12),
    'Complaint RC Data'!$B:$B, "&lt;=" &amp; $B$1
  ),
  IF(_xlpm.result = 0, "", _xlpm.result)
)</f>
        <v/>
      </c>
      <c r="O19" s="97" t="str">
        <f ca="1">_xlfn.LET(
  _xlpm.result,
  COUNTIFS(
    'Complaint RC Data'!$C:$C, $A19,
    'Complaint RC Data'!Q:Q, "x",
    'Complaint RC Data'!$B:$B, "&gt;=" &amp; EDATE($B$1, -12),
    'Complaint RC Data'!$B:$B, "&lt;=" &amp; $B$1
  ),
  IF(_xlpm.result = 0, "", _xlpm.result)
)</f>
        <v/>
      </c>
      <c r="P19" s="97" t="str">
        <f ca="1">_xlfn.LET(
  _xlpm.result,
  COUNTIFS(
    'Complaint RC Data'!$C:$C, $A19,
    'Complaint RC Data'!R:R, "x",
    'Complaint RC Data'!$B:$B, "&gt;=" &amp; EDATE($B$1, -12),
    'Complaint RC Data'!$B:$B, "&lt;=" &amp; $B$1
  ),
  IF(_xlpm.result = 0, "", _xlpm.result)
)</f>
        <v/>
      </c>
    </row>
    <row r="20" spans="1:16" x14ac:dyDescent="0.3"/>
  </sheetData>
  <sheetProtection algorithmName="SHA-512" hashValue="ynEoV3ttZ+rVn/sWGvbrTXh1bXf9/WD/i7eYEtZVYjj2S1yHa+/36z23TQEbuEmARNsB3Ywt9BtKZ+YiQS2z7Q==" saltValue="ymiekHITaMugatCzDMrljg==" spinCount="100000" sheet="1" objects="1" scenarios="1" autoFilter="0" pivotTables="0"/>
  <conditionalFormatting sqref="B3:P19">
    <cfRule type="colorScale" priority="101">
      <colorScale>
        <cfvo type="num" val="1"/>
        <cfvo type="percentile" val="85"/>
        <cfvo type="max"/>
        <color rgb="FFFFFFCC"/>
        <color rgb="FFFFC000"/>
        <color rgb="FFC00000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5E70C4-55BE-4BEA-8C23-D4CC5D319D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 Data</vt:lpstr>
      <vt:lpstr>Deviation RC Data</vt:lpstr>
      <vt:lpstr>Deviation Root Cause Trending</vt:lpstr>
      <vt:lpstr>Complaint RC Data</vt:lpstr>
      <vt:lpstr>Complaint Root Cause Trending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Minhaz Raja</dc:creator>
  <cp:lastModifiedBy>Minhaz Raja</cp:lastModifiedBy>
  <dcterms:created xsi:type="dcterms:W3CDTF">2024-07-18T11:33:20Z</dcterms:created>
  <dcterms:modified xsi:type="dcterms:W3CDTF">2026-09-04T18:19:04Z</dcterms:modified>
</cp:coreProperties>
</file>